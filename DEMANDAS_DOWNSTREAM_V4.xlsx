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FISSIONAL\ANP\APRESENTACAO_IA_MAIO_2026\"/>
    </mc:Choice>
  </mc:AlternateContent>
  <xr:revisionPtr revIDLastSave="0" documentId="13_ncr:1_{DFCD7559-AB29-4411-9CE5-2F81C094F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Planilha" sheetId="1" r:id="rId1"/>
  </sheets>
  <definedNames>
    <definedName name="_xlnm._FilterDatabase" localSheetId="0" hidden="1">'Exportar Planilha'!$A$1:$Z$1633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1" i="1"/>
  <c r="N162" i="1"/>
  <c r="N163" i="1"/>
  <c r="N164" i="1"/>
  <c r="N165" i="1"/>
  <c r="N166" i="1"/>
  <c r="N167" i="1"/>
  <c r="N168" i="1"/>
  <c r="N169" i="1"/>
  <c r="N170" i="1"/>
  <c r="N171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2" i="1"/>
  <c r="N303" i="1"/>
  <c r="N304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9" i="1"/>
  <c r="N490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7" i="1"/>
  <c r="N1298" i="1"/>
  <c r="N1299" i="1"/>
  <c r="N1300" i="1"/>
  <c r="N1301" i="1"/>
  <c r="N1302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4" i="1"/>
  <c r="N1595" i="1"/>
  <c r="N1596" i="1"/>
  <c r="N1597" i="1"/>
  <c r="N1598" i="1"/>
  <c r="N1599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8" i="1"/>
  <c r="N19" i="1"/>
  <c r="N20" i="1"/>
  <c r="N21" i="1"/>
  <c r="N22" i="1"/>
  <c r="N2" i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2" i="1"/>
  <c r="L302" i="1" s="1"/>
  <c r="J303" i="1"/>
  <c r="L303" i="1" s="1"/>
  <c r="J304" i="1"/>
  <c r="L304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L453" i="1" s="1"/>
  <c r="J454" i="1"/>
  <c r="L454" i="1" s="1"/>
  <c r="J455" i="1"/>
  <c r="L455" i="1" s="1"/>
  <c r="J456" i="1"/>
  <c r="L456" i="1" s="1"/>
  <c r="J457" i="1"/>
  <c r="L457" i="1" s="1"/>
  <c r="J458" i="1"/>
  <c r="L458" i="1" s="1"/>
  <c r="J459" i="1"/>
  <c r="L459" i="1" s="1"/>
  <c r="J460" i="1"/>
  <c r="L460" i="1" s="1"/>
  <c r="J461" i="1"/>
  <c r="L461" i="1" s="1"/>
  <c r="J462" i="1"/>
  <c r="L462" i="1" s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L468" i="1" s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L477" i="1" s="1"/>
  <c r="J478" i="1"/>
  <c r="L478" i="1" s="1"/>
  <c r="J479" i="1"/>
  <c r="L479" i="1" s="1"/>
  <c r="J480" i="1"/>
  <c r="L480" i="1" s="1"/>
  <c r="J481" i="1"/>
  <c r="L481" i="1" s="1"/>
  <c r="J482" i="1"/>
  <c r="L482" i="1" s="1"/>
  <c r="J483" i="1"/>
  <c r="L483" i="1" s="1"/>
  <c r="J484" i="1"/>
  <c r="L484" i="1" s="1"/>
  <c r="J485" i="1"/>
  <c r="L485" i="1" s="1"/>
  <c r="J486" i="1"/>
  <c r="L486" i="1" s="1"/>
  <c r="J487" i="1"/>
  <c r="L487" i="1" s="1"/>
  <c r="J489" i="1"/>
  <c r="L489" i="1" s="1"/>
  <c r="J490" i="1"/>
  <c r="L490" i="1" s="1"/>
  <c r="J492" i="1"/>
  <c r="L492" i="1" s="1"/>
  <c r="J493" i="1"/>
  <c r="L493" i="1" s="1"/>
  <c r="J494" i="1"/>
  <c r="L494" i="1" s="1"/>
  <c r="J495" i="1"/>
  <c r="L495" i="1" s="1"/>
  <c r="J496" i="1"/>
  <c r="L496" i="1" s="1"/>
  <c r="J497" i="1"/>
  <c r="L497" i="1" s="1"/>
  <c r="J498" i="1"/>
  <c r="L498" i="1" s="1"/>
  <c r="J499" i="1"/>
  <c r="L499" i="1" s="1"/>
  <c r="J500" i="1"/>
  <c r="L500" i="1" s="1"/>
  <c r="J501" i="1"/>
  <c r="L501" i="1" s="1"/>
  <c r="J502" i="1"/>
  <c r="L502" i="1" s="1"/>
  <c r="J503" i="1"/>
  <c r="L503" i="1" s="1"/>
  <c r="J504" i="1"/>
  <c r="L504" i="1" s="1"/>
  <c r="J505" i="1"/>
  <c r="L505" i="1" s="1"/>
  <c r="J506" i="1"/>
  <c r="L506" i="1" s="1"/>
  <c r="J507" i="1"/>
  <c r="L507" i="1" s="1"/>
  <c r="J508" i="1"/>
  <c r="L508" i="1" s="1"/>
  <c r="J509" i="1"/>
  <c r="L509" i="1" s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L517" i="1" s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L525" i="1" s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L533" i="1" s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L541" i="1" s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L549" i="1" s="1"/>
  <c r="J550" i="1"/>
  <c r="L550" i="1" s="1"/>
  <c r="J551" i="1"/>
  <c r="L551" i="1" s="1"/>
  <c r="J552" i="1"/>
  <c r="L552" i="1" s="1"/>
  <c r="J553" i="1"/>
  <c r="L553" i="1" s="1"/>
  <c r="J555" i="1"/>
  <c r="L555" i="1" s="1"/>
  <c r="J556" i="1"/>
  <c r="L556" i="1" s="1"/>
  <c r="J557" i="1"/>
  <c r="L557" i="1" s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L565" i="1" s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L573" i="1" s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L581" i="1" s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L589" i="1" s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L597" i="1" s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L605" i="1" s="1"/>
  <c r="J606" i="1"/>
  <c r="L606" i="1" s="1"/>
  <c r="J607" i="1"/>
  <c r="L607" i="1" s="1"/>
  <c r="J608" i="1"/>
  <c r="L608" i="1" s="1"/>
  <c r="J609" i="1"/>
  <c r="L609" i="1" s="1"/>
  <c r="J611" i="1"/>
  <c r="L611" i="1" s="1"/>
  <c r="J612" i="1"/>
  <c r="L612" i="1" s="1"/>
  <c r="J613" i="1"/>
  <c r="L613" i="1" s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L621" i="1" s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L637" i="1" s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L645" i="1" s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L653" i="1" s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L669" i="1" s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L696" i="1" s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L707" i="1" s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L728" i="1" s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L739" i="1" s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L827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1002" i="1"/>
  <c r="L1002" i="1" s="1"/>
  <c r="J1003" i="1"/>
  <c r="L1003" i="1" s="1"/>
  <c r="J1004" i="1"/>
  <c r="L1004" i="1" s="1"/>
  <c r="J1005" i="1"/>
  <c r="L1005" i="1" s="1"/>
  <c r="J1006" i="1"/>
  <c r="L1006" i="1" s="1"/>
  <c r="J1007" i="1"/>
  <c r="L1007" i="1" s="1"/>
  <c r="J1008" i="1"/>
  <c r="L1008" i="1" s="1"/>
  <c r="J1009" i="1"/>
  <c r="L1009" i="1" s="1"/>
  <c r="J1010" i="1"/>
  <c r="L1010" i="1" s="1"/>
  <c r="J1011" i="1"/>
  <c r="L1011" i="1" s="1"/>
  <c r="J1012" i="1"/>
  <c r="L1012" i="1" s="1"/>
  <c r="J1013" i="1"/>
  <c r="L1013" i="1" s="1"/>
  <c r="J1014" i="1"/>
  <c r="L1014" i="1" s="1"/>
  <c r="J1015" i="1"/>
  <c r="L1015" i="1" s="1"/>
  <c r="J1016" i="1"/>
  <c r="L1016" i="1" s="1"/>
  <c r="J1017" i="1"/>
  <c r="L1017" i="1" s="1"/>
  <c r="J1018" i="1"/>
  <c r="L1018" i="1" s="1"/>
  <c r="J1019" i="1"/>
  <c r="L1019" i="1" s="1"/>
  <c r="J1020" i="1"/>
  <c r="L1020" i="1" s="1"/>
  <c r="J1021" i="1"/>
  <c r="L1021" i="1" s="1"/>
  <c r="J1022" i="1"/>
  <c r="L1022" i="1" s="1"/>
  <c r="J1023" i="1"/>
  <c r="L1023" i="1" s="1"/>
  <c r="J1024" i="1"/>
  <c r="L1024" i="1" s="1"/>
  <c r="J1025" i="1"/>
  <c r="L1025" i="1" s="1"/>
  <c r="J1026" i="1"/>
  <c r="L1026" i="1" s="1"/>
  <c r="J1027" i="1"/>
  <c r="L1027" i="1" s="1"/>
  <c r="J1028" i="1"/>
  <c r="L1028" i="1" s="1"/>
  <c r="J1029" i="1"/>
  <c r="L1029" i="1" s="1"/>
  <c r="J1030" i="1"/>
  <c r="L1030" i="1" s="1"/>
  <c r="J1031" i="1"/>
  <c r="L1031" i="1" s="1"/>
  <c r="J1032" i="1"/>
  <c r="L1032" i="1" s="1"/>
  <c r="J1033" i="1"/>
  <c r="L1033" i="1" s="1"/>
  <c r="J1034" i="1"/>
  <c r="L1034" i="1" s="1"/>
  <c r="J1035" i="1"/>
  <c r="L1035" i="1" s="1"/>
  <c r="J1036" i="1"/>
  <c r="L1036" i="1" s="1"/>
  <c r="J1037" i="1"/>
  <c r="L1037" i="1" s="1"/>
  <c r="J1038" i="1"/>
  <c r="L1038" i="1" s="1"/>
  <c r="J1039" i="1"/>
  <c r="L1039" i="1" s="1"/>
  <c r="J1040" i="1"/>
  <c r="L1040" i="1" s="1"/>
  <c r="J1041" i="1"/>
  <c r="L1041" i="1" s="1"/>
  <c r="J1042" i="1"/>
  <c r="L1042" i="1" s="1"/>
  <c r="J1043" i="1"/>
  <c r="L1043" i="1" s="1"/>
  <c r="J1044" i="1"/>
  <c r="L1044" i="1" s="1"/>
  <c r="J1045" i="1"/>
  <c r="L1045" i="1" s="1"/>
  <c r="J1046" i="1"/>
  <c r="L1046" i="1" s="1"/>
  <c r="J1047" i="1"/>
  <c r="L1047" i="1" s="1"/>
  <c r="J1048" i="1"/>
  <c r="L1048" i="1" s="1"/>
  <c r="J1049" i="1"/>
  <c r="L1049" i="1" s="1"/>
  <c r="J1050" i="1"/>
  <c r="L1050" i="1" s="1"/>
  <c r="J1051" i="1"/>
  <c r="L1051" i="1" s="1"/>
  <c r="J1052" i="1"/>
  <c r="L1052" i="1" s="1"/>
  <c r="J1053" i="1"/>
  <c r="L1053" i="1" s="1"/>
  <c r="J1054" i="1"/>
  <c r="L1054" i="1" s="1"/>
  <c r="J1055" i="1"/>
  <c r="L1055" i="1" s="1"/>
  <c r="J1056" i="1"/>
  <c r="L1056" i="1" s="1"/>
  <c r="J1057" i="1"/>
  <c r="L1057" i="1" s="1"/>
  <c r="J1058" i="1"/>
  <c r="L1058" i="1" s="1"/>
  <c r="J1059" i="1"/>
  <c r="L1059" i="1" s="1"/>
  <c r="J1060" i="1"/>
  <c r="L1060" i="1" s="1"/>
  <c r="J1061" i="1"/>
  <c r="L1061" i="1" s="1"/>
  <c r="J1062" i="1"/>
  <c r="L1062" i="1" s="1"/>
  <c r="J1063" i="1"/>
  <c r="L1063" i="1" s="1"/>
  <c r="J1064" i="1"/>
  <c r="L1064" i="1" s="1"/>
  <c r="J1065" i="1"/>
  <c r="L1065" i="1" s="1"/>
  <c r="J1066" i="1"/>
  <c r="L1066" i="1" s="1"/>
  <c r="J1067" i="1"/>
  <c r="L1067" i="1" s="1"/>
  <c r="J1068" i="1"/>
  <c r="L1068" i="1" s="1"/>
  <c r="J1069" i="1"/>
  <c r="L1069" i="1" s="1"/>
  <c r="J1070" i="1"/>
  <c r="L1070" i="1" s="1"/>
  <c r="J1071" i="1"/>
  <c r="L1071" i="1" s="1"/>
  <c r="J1072" i="1"/>
  <c r="L1072" i="1" s="1"/>
  <c r="J1073" i="1"/>
  <c r="L1073" i="1" s="1"/>
  <c r="J1074" i="1"/>
  <c r="L1074" i="1" s="1"/>
  <c r="J1075" i="1"/>
  <c r="L1075" i="1" s="1"/>
  <c r="J1076" i="1"/>
  <c r="L1076" i="1" s="1"/>
  <c r="J1077" i="1"/>
  <c r="L1077" i="1" s="1"/>
  <c r="J1078" i="1"/>
  <c r="L1078" i="1" s="1"/>
  <c r="J1080" i="1"/>
  <c r="L1080" i="1" s="1"/>
  <c r="J1081" i="1"/>
  <c r="L1081" i="1" s="1"/>
  <c r="J1082" i="1"/>
  <c r="L1082" i="1" s="1"/>
  <c r="J1083" i="1"/>
  <c r="L1083" i="1" s="1"/>
  <c r="J1084" i="1"/>
  <c r="L1084" i="1" s="1"/>
  <c r="J1085" i="1"/>
  <c r="L1085" i="1" s="1"/>
  <c r="J1086" i="1"/>
  <c r="L1086" i="1" s="1"/>
  <c r="J1087" i="1"/>
  <c r="L1087" i="1" s="1"/>
  <c r="J1088" i="1"/>
  <c r="L1088" i="1" s="1"/>
  <c r="J1089" i="1"/>
  <c r="L1089" i="1" s="1"/>
  <c r="J1090" i="1"/>
  <c r="L1090" i="1" s="1"/>
  <c r="J1091" i="1"/>
  <c r="L1091" i="1" s="1"/>
  <c r="J1092" i="1"/>
  <c r="L1092" i="1" s="1"/>
  <c r="J1093" i="1"/>
  <c r="L1093" i="1" s="1"/>
  <c r="J1094" i="1"/>
  <c r="L1094" i="1" s="1"/>
  <c r="J1095" i="1"/>
  <c r="L1095" i="1" s="1"/>
  <c r="J1096" i="1"/>
  <c r="L1096" i="1" s="1"/>
  <c r="J1098" i="1"/>
  <c r="L1098" i="1" s="1"/>
  <c r="J1099" i="1"/>
  <c r="L1099" i="1" s="1"/>
  <c r="J1100" i="1"/>
  <c r="L1100" i="1" s="1"/>
  <c r="J1101" i="1"/>
  <c r="L1101" i="1" s="1"/>
  <c r="J1102" i="1"/>
  <c r="L1102" i="1" s="1"/>
  <c r="J1103" i="1"/>
  <c r="L1103" i="1" s="1"/>
  <c r="J1104" i="1"/>
  <c r="L1104" i="1" s="1"/>
  <c r="J1105" i="1"/>
  <c r="L1105" i="1" s="1"/>
  <c r="J1106" i="1"/>
  <c r="L1106" i="1" s="1"/>
  <c r="J1107" i="1"/>
  <c r="L1107" i="1" s="1"/>
  <c r="J1108" i="1"/>
  <c r="L1108" i="1" s="1"/>
  <c r="J1109" i="1"/>
  <c r="L1109" i="1" s="1"/>
  <c r="J1110" i="1"/>
  <c r="L1110" i="1" s="1"/>
  <c r="J1111" i="1"/>
  <c r="L1111" i="1" s="1"/>
  <c r="J1112" i="1"/>
  <c r="L1112" i="1" s="1"/>
  <c r="J1113" i="1"/>
  <c r="L1113" i="1" s="1"/>
  <c r="J1114" i="1"/>
  <c r="L1114" i="1" s="1"/>
  <c r="J1115" i="1"/>
  <c r="L1115" i="1" s="1"/>
  <c r="J1116" i="1"/>
  <c r="L1116" i="1" s="1"/>
  <c r="J1117" i="1"/>
  <c r="L1117" i="1" s="1"/>
  <c r="J1118" i="1"/>
  <c r="L1118" i="1" s="1"/>
  <c r="J1119" i="1"/>
  <c r="L1119" i="1" s="1"/>
  <c r="J1120" i="1"/>
  <c r="L1120" i="1" s="1"/>
  <c r="J1121" i="1"/>
  <c r="L1121" i="1" s="1"/>
  <c r="J1122" i="1"/>
  <c r="L1122" i="1" s="1"/>
  <c r="J1123" i="1"/>
  <c r="L1123" i="1" s="1"/>
  <c r="J1124" i="1"/>
  <c r="L1124" i="1" s="1"/>
  <c r="J1125" i="1"/>
  <c r="L1125" i="1" s="1"/>
  <c r="J1126" i="1"/>
  <c r="L1126" i="1" s="1"/>
  <c r="J1127" i="1"/>
  <c r="L1127" i="1" s="1"/>
  <c r="J1128" i="1"/>
  <c r="L1128" i="1" s="1"/>
  <c r="J1129" i="1"/>
  <c r="L1129" i="1" s="1"/>
  <c r="J1130" i="1"/>
  <c r="L1130" i="1" s="1"/>
  <c r="J1131" i="1"/>
  <c r="L1131" i="1" s="1"/>
  <c r="J1132" i="1"/>
  <c r="L1132" i="1" s="1"/>
  <c r="J1133" i="1"/>
  <c r="L1133" i="1" s="1"/>
  <c r="J1134" i="1"/>
  <c r="L1134" i="1" s="1"/>
  <c r="J1135" i="1"/>
  <c r="L1135" i="1" s="1"/>
  <c r="J1136" i="1"/>
  <c r="L1136" i="1" s="1"/>
  <c r="J1137" i="1"/>
  <c r="L1137" i="1" s="1"/>
  <c r="J1138" i="1"/>
  <c r="L1138" i="1" s="1"/>
  <c r="J1139" i="1"/>
  <c r="L1139" i="1" s="1"/>
  <c r="J1140" i="1"/>
  <c r="L1140" i="1" s="1"/>
  <c r="J1141" i="1"/>
  <c r="L1141" i="1" s="1"/>
  <c r="J1142" i="1"/>
  <c r="L1142" i="1" s="1"/>
  <c r="J1143" i="1"/>
  <c r="L1143" i="1" s="1"/>
  <c r="J1144" i="1"/>
  <c r="L1144" i="1" s="1"/>
  <c r="J1145" i="1"/>
  <c r="L1145" i="1" s="1"/>
  <c r="J1146" i="1"/>
  <c r="L1146" i="1" s="1"/>
  <c r="J1147" i="1"/>
  <c r="L1147" i="1" s="1"/>
  <c r="J1148" i="1"/>
  <c r="L1148" i="1" s="1"/>
  <c r="J1149" i="1"/>
  <c r="L1149" i="1" s="1"/>
  <c r="J1150" i="1"/>
  <c r="L1150" i="1" s="1"/>
  <c r="J1151" i="1"/>
  <c r="L1151" i="1" s="1"/>
  <c r="J1152" i="1"/>
  <c r="L1152" i="1" s="1"/>
  <c r="J1153" i="1"/>
  <c r="L1153" i="1" s="1"/>
  <c r="J1154" i="1"/>
  <c r="L1154" i="1" s="1"/>
  <c r="J1155" i="1"/>
  <c r="L1155" i="1" s="1"/>
  <c r="J1156" i="1"/>
  <c r="L1156" i="1" s="1"/>
  <c r="J1157" i="1"/>
  <c r="L1157" i="1" s="1"/>
  <c r="J1158" i="1"/>
  <c r="L1158" i="1" s="1"/>
  <c r="J1159" i="1"/>
  <c r="L1159" i="1" s="1"/>
  <c r="J1160" i="1"/>
  <c r="L1160" i="1" s="1"/>
  <c r="J1161" i="1"/>
  <c r="L1161" i="1" s="1"/>
  <c r="J1162" i="1"/>
  <c r="L1162" i="1" s="1"/>
  <c r="J1163" i="1"/>
  <c r="L1163" i="1" s="1"/>
  <c r="J1164" i="1"/>
  <c r="L1164" i="1" s="1"/>
  <c r="J1165" i="1"/>
  <c r="L1165" i="1" s="1"/>
  <c r="J1166" i="1"/>
  <c r="L1166" i="1" s="1"/>
  <c r="J1167" i="1"/>
  <c r="L1167" i="1" s="1"/>
  <c r="J1168" i="1"/>
  <c r="L1168" i="1" s="1"/>
  <c r="J1169" i="1"/>
  <c r="L1169" i="1" s="1"/>
  <c r="J1170" i="1"/>
  <c r="L1170" i="1" s="1"/>
  <c r="J1171" i="1"/>
  <c r="L1171" i="1" s="1"/>
  <c r="J1172" i="1"/>
  <c r="L1172" i="1" s="1"/>
  <c r="J1173" i="1"/>
  <c r="L1173" i="1" s="1"/>
  <c r="J1174" i="1"/>
  <c r="L1174" i="1" s="1"/>
  <c r="J1175" i="1"/>
  <c r="L1175" i="1" s="1"/>
  <c r="J1176" i="1"/>
  <c r="L1176" i="1" s="1"/>
  <c r="J1177" i="1"/>
  <c r="L1177" i="1" s="1"/>
  <c r="J1178" i="1"/>
  <c r="L1178" i="1" s="1"/>
  <c r="J1179" i="1"/>
  <c r="L1179" i="1" s="1"/>
  <c r="J1180" i="1"/>
  <c r="L1180" i="1" s="1"/>
  <c r="J1181" i="1"/>
  <c r="L1181" i="1" s="1"/>
  <c r="J1182" i="1"/>
  <c r="L1182" i="1" s="1"/>
  <c r="J1183" i="1"/>
  <c r="L1183" i="1" s="1"/>
  <c r="J1184" i="1"/>
  <c r="L1184" i="1" s="1"/>
  <c r="J1185" i="1"/>
  <c r="L1185" i="1" s="1"/>
  <c r="J1186" i="1"/>
  <c r="L1186" i="1" s="1"/>
  <c r="J1187" i="1"/>
  <c r="L1187" i="1" s="1"/>
  <c r="J1188" i="1"/>
  <c r="L1188" i="1" s="1"/>
  <c r="J1189" i="1"/>
  <c r="L1189" i="1" s="1"/>
  <c r="J1190" i="1"/>
  <c r="L1190" i="1" s="1"/>
  <c r="J1191" i="1"/>
  <c r="L1191" i="1" s="1"/>
  <c r="J1192" i="1"/>
  <c r="L1192" i="1" s="1"/>
  <c r="J1193" i="1"/>
  <c r="L1193" i="1" s="1"/>
  <c r="J1194" i="1"/>
  <c r="L1194" i="1" s="1"/>
  <c r="J1195" i="1"/>
  <c r="L1195" i="1" s="1"/>
  <c r="J1196" i="1"/>
  <c r="L1196" i="1" s="1"/>
  <c r="J1197" i="1"/>
  <c r="L1197" i="1" s="1"/>
  <c r="J1198" i="1"/>
  <c r="L1198" i="1" s="1"/>
  <c r="J1199" i="1"/>
  <c r="L1199" i="1" s="1"/>
  <c r="J1200" i="1"/>
  <c r="L1200" i="1" s="1"/>
  <c r="J1201" i="1"/>
  <c r="L1201" i="1" s="1"/>
  <c r="J1202" i="1"/>
  <c r="L1202" i="1" s="1"/>
  <c r="J1203" i="1"/>
  <c r="L1203" i="1" s="1"/>
  <c r="J1204" i="1"/>
  <c r="L1204" i="1" s="1"/>
  <c r="J1205" i="1"/>
  <c r="L1205" i="1" s="1"/>
  <c r="J1206" i="1"/>
  <c r="L1206" i="1" s="1"/>
  <c r="J1207" i="1"/>
  <c r="L1207" i="1" s="1"/>
  <c r="J1208" i="1"/>
  <c r="L1208" i="1" s="1"/>
  <c r="J1209" i="1"/>
  <c r="L1209" i="1" s="1"/>
  <c r="J1210" i="1"/>
  <c r="L1210" i="1" s="1"/>
  <c r="J1211" i="1"/>
  <c r="L1211" i="1" s="1"/>
  <c r="J1212" i="1"/>
  <c r="L1212" i="1" s="1"/>
  <c r="J1213" i="1"/>
  <c r="L1213" i="1" s="1"/>
  <c r="J1214" i="1"/>
  <c r="L1214" i="1" s="1"/>
  <c r="J1215" i="1"/>
  <c r="L1215" i="1" s="1"/>
  <c r="J1216" i="1"/>
  <c r="L1216" i="1" s="1"/>
  <c r="J1217" i="1"/>
  <c r="L1217" i="1" s="1"/>
  <c r="J1218" i="1"/>
  <c r="L1218" i="1" s="1"/>
  <c r="J1219" i="1"/>
  <c r="L1219" i="1" s="1"/>
  <c r="J1220" i="1"/>
  <c r="L1220" i="1" s="1"/>
  <c r="J1221" i="1"/>
  <c r="L1221" i="1" s="1"/>
  <c r="J1222" i="1"/>
  <c r="L1222" i="1" s="1"/>
  <c r="J1223" i="1"/>
  <c r="L1223" i="1" s="1"/>
  <c r="J1224" i="1"/>
  <c r="L1224" i="1" s="1"/>
  <c r="J1225" i="1"/>
  <c r="L1225" i="1" s="1"/>
  <c r="J1226" i="1"/>
  <c r="L1226" i="1" s="1"/>
  <c r="J1227" i="1"/>
  <c r="L1227" i="1" s="1"/>
  <c r="J1228" i="1"/>
  <c r="L1228" i="1" s="1"/>
  <c r="J1229" i="1"/>
  <c r="L1229" i="1" s="1"/>
  <c r="J1230" i="1"/>
  <c r="L1230" i="1" s="1"/>
  <c r="J1231" i="1"/>
  <c r="L1231" i="1" s="1"/>
  <c r="J1232" i="1"/>
  <c r="L1232" i="1" s="1"/>
  <c r="J1233" i="1"/>
  <c r="L1233" i="1" s="1"/>
  <c r="J1234" i="1"/>
  <c r="L1234" i="1" s="1"/>
  <c r="J1235" i="1"/>
  <c r="L1235" i="1" s="1"/>
  <c r="J1236" i="1"/>
  <c r="L1236" i="1" s="1"/>
  <c r="J1237" i="1"/>
  <c r="L1237" i="1" s="1"/>
  <c r="J1238" i="1"/>
  <c r="L1238" i="1" s="1"/>
  <c r="J1239" i="1"/>
  <c r="L1239" i="1" s="1"/>
  <c r="J1240" i="1"/>
  <c r="L1240" i="1" s="1"/>
  <c r="J1241" i="1"/>
  <c r="L1241" i="1" s="1"/>
  <c r="J1242" i="1"/>
  <c r="L1242" i="1" s="1"/>
  <c r="J1243" i="1"/>
  <c r="L1243" i="1" s="1"/>
  <c r="J1244" i="1"/>
  <c r="L1244" i="1" s="1"/>
  <c r="J1245" i="1"/>
  <c r="L1245" i="1" s="1"/>
  <c r="J1246" i="1"/>
  <c r="L1246" i="1" s="1"/>
  <c r="J1247" i="1"/>
  <c r="L1247" i="1" s="1"/>
  <c r="J1248" i="1"/>
  <c r="L1248" i="1" s="1"/>
  <c r="J1249" i="1"/>
  <c r="L1249" i="1" s="1"/>
  <c r="J1250" i="1"/>
  <c r="L1250" i="1" s="1"/>
  <c r="J1251" i="1"/>
  <c r="L1251" i="1" s="1"/>
  <c r="J1252" i="1"/>
  <c r="L1252" i="1" s="1"/>
  <c r="J1253" i="1"/>
  <c r="L1253" i="1" s="1"/>
  <c r="J1254" i="1"/>
  <c r="L1254" i="1" s="1"/>
  <c r="J1255" i="1"/>
  <c r="L1255" i="1" s="1"/>
  <c r="J1256" i="1"/>
  <c r="L1256" i="1" s="1"/>
  <c r="J1257" i="1"/>
  <c r="L1257" i="1" s="1"/>
  <c r="J1258" i="1"/>
  <c r="L1258" i="1" s="1"/>
  <c r="J1259" i="1"/>
  <c r="L1259" i="1" s="1"/>
  <c r="J1260" i="1"/>
  <c r="L1260" i="1" s="1"/>
  <c r="J1261" i="1"/>
  <c r="L1261" i="1" s="1"/>
  <c r="J1262" i="1"/>
  <c r="L1262" i="1" s="1"/>
  <c r="J1263" i="1"/>
  <c r="L1263" i="1" s="1"/>
  <c r="J1264" i="1"/>
  <c r="L1264" i="1" s="1"/>
  <c r="J1265" i="1"/>
  <c r="L1265" i="1" s="1"/>
  <c r="J1266" i="1"/>
  <c r="L1266" i="1" s="1"/>
  <c r="J1267" i="1"/>
  <c r="L1267" i="1" s="1"/>
  <c r="J1268" i="1"/>
  <c r="L1268" i="1" s="1"/>
  <c r="J1269" i="1"/>
  <c r="L1269" i="1" s="1"/>
  <c r="J1270" i="1"/>
  <c r="L1270" i="1" s="1"/>
  <c r="J1271" i="1"/>
  <c r="L1271" i="1" s="1"/>
  <c r="J1272" i="1"/>
  <c r="L1272" i="1" s="1"/>
  <c r="J1273" i="1"/>
  <c r="L1273" i="1" s="1"/>
  <c r="J1274" i="1"/>
  <c r="L1274" i="1" s="1"/>
  <c r="J1275" i="1"/>
  <c r="L1275" i="1" s="1"/>
  <c r="J1276" i="1"/>
  <c r="L1276" i="1" s="1"/>
  <c r="J1277" i="1"/>
  <c r="L1277" i="1" s="1"/>
  <c r="J1278" i="1"/>
  <c r="L1278" i="1" s="1"/>
  <c r="J1279" i="1"/>
  <c r="L1279" i="1" s="1"/>
  <c r="J1280" i="1"/>
  <c r="L1280" i="1" s="1"/>
  <c r="J1281" i="1"/>
  <c r="L1281" i="1" s="1"/>
  <c r="J1282" i="1"/>
  <c r="L1282" i="1" s="1"/>
  <c r="J1283" i="1"/>
  <c r="L1283" i="1" s="1"/>
  <c r="J1284" i="1"/>
  <c r="L1284" i="1" s="1"/>
  <c r="J1285" i="1"/>
  <c r="L1285" i="1" s="1"/>
  <c r="J1286" i="1"/>
  <c r="L1286" i="1" s="1"/>
  <c r="J1287" i="1"/>
  <c r="L1287" i="1" s="1"/>
  <c r="J1288" i="1"/>
  <c r="L1288" i="1" s="1"/>
  <c r="J1289" i="1"/>
  <c r="L1289" i="1" s="1"/>
  <c r="J1290" i="1"/>
  <c r="L1290" i="1" s="1"/>
  <c r="J1291" i="1"/>
  <c r="L1291" i="1" s="1"/>
  <c r="J1292" i="1"/>
  <c r="L1292" i="1" s="1"/>
  <c r="J1293" i="1"/>
  <c r="L1293" i="1" s="1"/>
  <c r="J1294" i="1"/>
  <c r="L1294" i="1" s="1"/>
  <c r="J1295" i="1"/>
  <c r="L1295" i="1" s="1"/>
  <c r="J1297" i="1"/>
  <c r="L1297" i="1" s="1"/>
  <c r="J1298" i="1"/>
  <c r="L1298" i="1" s="1"/>
  <c r="J1299" i="1"/>
  <c r="L1299" i="1" s="1"/>
  <c r="J1300" i="1"/>
  <c r="L1300" i="1" s="1"/>
  <c r="J1301" i="1"/>
  <c r="L1301" i="1" s="1"/>
  <c r="J1302" i="1"/>
  <c r="L1302" i="1" s="1"/>
  <c r="J1304" i="1"/>
  <c r="L1304" i="1" s="1"/>
  <c r="J1305" i="1"/>
  <c r="L1305" i="1" s="1"/>
  <c r="J1306" i="1"/>
  <c r="L1306" i="1" s="1"/>
  <c r="J1307" i="1"/>
  <c r="L1307" i="1" s="1"/>
  <c r="J1308" i="1"/>
  <c r="L1308" i="1" s="1"/>
  <c r="J1309" i="1"/>
  <c r="L1309" i="1" s="1"/>
  <c r="J1310" i="1"/>
  <c r="L1310" i="1" s="1"/>
  <c r="J1311" i="1"/>
  <c r="L1311" i="1" s="1"/>
  <c r="J1312" i="1"/>
  <c r="L1312" i="1" s="1"/>
  <c r="J1313" i="1"/>
  <c r="L1313" i="1" s="1"/>
  <c r="J1314" i="1"/>
  <c r="L1314" i="1" s="1"/>
  <c r="J1315" i="1"/>
  <c r="L1315" i="1" s="1"/>
  <c r="J1316" i="1"/>
  <c r="L1316" i="1" s="1"/>
  <c r="J1317" i="1"/>
  <c r="L1317" i="1" s="1"/>
  <c r="J1318" i="1"/>
  <c r="L1318" i="1" s="1"/>
  <c r="J1319" i="1"/>
  <c r="L1319" i="1" s="1"/>
  <c r="J1320" i="1"/>
  <c r="L1320" i="1" s="1"/>
  <c r="J1321" i="1"/>
  <c r="L1321" i="1" s="1"/>
  <c r="J1322" i="1"/>
  <c r="L1322" i="1" s="1"/>
  <c r="J1323" i="1"/>
  <c r="L1323" i="1" s="1"/>
  <c r="J1324" i="1"/>
  <c r="L1324" i="1" s="1"/>
  <c r="J1325" i="1"/>
  <c r="L1325" i="1" s="1"/>
  <c r="J1326" i="1"/>
  <c r="L1326" i="1" s="1"/>
  <c r="J1327" i="1"/>
  <c r="L1327" i="1" s="1"/>
  <c r="J1328" i="1"/>
  <c r="L1328" i="1" s="1"/>
  <c r="J1329" i="1"/>
  <c r="L1329" i="1" s="1"/>
  <c r="J1330" i="1"/>
  <c r="L1330" i="1" s="1"/>
  <c r="J1331" i="1"/>
  <c r="L1331" i="1" s="1"/>
  <c r="J1332" i="1"/>
  <c r="L1332" i="1" s="1"/>
  <c r="J1333" i="1"/>
  <c r="L1333" i="1" s="1"/>
  <c r="J1334" i="1"/>
  <c r="L1334" i="1" s="1"/>
  <c r="J1335" i="1"/>
  <c r="L1335" i="1" s="1"/>
  <c r="J1336" i="1"/>
  <c r="L1336" i="1" s="1"/>
  <c r="J1337" i="1"/>
  <c r="L1337" i="1" s="1"/>
  <c r="J1338" i="1"/>
  <c r="L1338" i="1" s="1"/>
  <c r="J1339" i="1"/>
  <c r="L1339" i="1" s="1"/>
  <c r="J1341" i="1"/>
  <c r="L1341" i="1" s="1"/>
  <c r="J1342" i="1"/>
  <c r="L1342" i="1" s="1"/>
  <c r="J1343" i="1"/>
  <c r="L1343" i="1" s="1"/>
  <c r="J1344" i="1"/>
  <c r="L1344" i="1" s="1"/>
  <c r="J1345" i="1"/>
  <c r="L1345" i="1" s="1"/>
  <c r="J1346" i="1"/>
  <c r="L1346" i="1" s="1"/>
  <c r="J1347" i="1"/>
  <c r="L1347" i="1" s="1"/>
  <c r="J1348" i="1"/>
  <c r="L1348" i="1" s="1"/>
  <c r="J1349" i="1"/>
  <c r="L1349" i="1" s="1"/>
  <c r="J1350" i="1"/>
  <c r="L1350" i="1" s="1"/>
  <c r="J1351" i="1"/>
  <c r="L1351" i="1" s="1"/>
  <c r="J1352" i="1"/>
  <c r="L1352" i="1" s="1"/>
  <c r="J1353" i="1"/>
  <c r="L1353" i="1" s="1"/>
  <c r="J1354" i="1"/>
  <c r="L1354" i="1" s="1"/>
  <c r="J1355" i="1"/>
  <c r="L1355" i="1" s="1"/>
  <c r="J1356" i="1"/>
  <c r="L1356" i="1" s="1"/>
  <c r="J1357" i="1"/>
  <c r="L1357" i="1" s="1"/>
  <c r="J1358" i="1"/>
  <c r="L1358" i="1" s="1"/>
  <c r="J1359" i="1"/>
  <c r="L1359" i="1" s="1"/>
  <c r="J1360" i="1"/>
  <c r="L1360" i="1" s="1"/>
  <c r="J1361" i="1"/>
  <c r="L1361" i="1" s="1"/>
  <c r="J1362" i="1"/>
  <c r="L1362" i="1" s="1"/>
  <c r="J1363" i="1"/>
  <c r="L1363" i="1" s="1"/>
  <c r="J1364" i="1"/>
  <c r="L1364" i="1" s="1"/>
  <c r="J1365" i="1"/>
  <c r="L1365" i="1" s="1"/>
  <c r="J1366" i="1"/>
  <c r="L1366" i="1" s="1"/>
  <c r="J1367" i="1"/>
  <c r="L1367" i="1" s="1"/>
  <c r="J1368" i="1"/>
  <c r="L1368" i="1" s="1"/>
  <c r="J1369" i="1"/>
  <c r="L1369" i="1" s="1"/>
  <c r="J1370" i="1"/>
  <c r="L1370" i="1" s="1"/>
  <c r="J1371" i="1"/>
  <c r="L1371" i="1" s="1"/>
  <c r="J1372" i="1"/>
  <c r="L1372" i="1" s="1"/>
  <c r="J1373" i="1"/>
  <c r="L1373" i="1" s="1"/>
  <c r="J1374" i="1"/>
  <c r="L1374" i="1" s="1"/>
  <c r="J1375" i="1"/>
  <c r="L1375" i="1" s="1"/>
  <c r="J1376" i="1"/>
  <c r="L1376" i="1" s="1"/>
  <c r="J1377" i="1"/>
  <c r="L1377" i="1" s="1"/>
  <c r="J1378" i="1"/>
  <c r="L1378" i="1" s="1"/>
  <c r="J1379" i="1"/>
  <c r="L1379" i="1" s="1"/>
  <c r="J1380" i="1"/>
  <c r="L1380" i="1" s="1"/>
  <c r="J1381" i="1"/>
  <c r="L1381" i="1" s="1"/>
  <c r="J1382" i="1"/>
  <c r="L1382" i="1" s="1"/>
  <c r="J1383" i="1"/>
  <c r="L1383" i="1" s="1"/>
  <c r="J1384" i="1"/>
  <c r="L1384" i="1" s="1"/>
  <c r="J1385" i="1"/>
  <c r="L1385" i="1" s="1"/>
  <c r="J1386" i="1"/>
  <c r="L1386" i="1" s="1"/>
  <c r="J1387" i="1"/>
  <c r="L1387" i="1" s="1"/>
  <c r="J1388" i="1"/>
  <c r="L1388" i="1" s="1"/>
  <c r="J1389" i="1"/>
  <c r="L1389" i="1" s="1"/>
  <c r="J1390" i="1"/>
  <c r="L1390" i="1" s="1"/>
  <c r="J1391" i="1"/>
  <c r="L1391" i="1" s="1"/>
  <c r="J1392" i="1"/>
  <c r="L1392" i="1" s="1"/>
  <c r="J1393" i="1"/>
  <c r="L1393" i="1" s="1"/>
  <c r="J1394" i="1"/>
  <c r="L1394" i="1" s="1"/>
  <c r="J1395" i="1"/>
  <c r="L1395" i="1" s="1"/>
  <c r="J1396" i="1"/>
  <c r="L1396" i="1" s="1"/>
  <c r="J1397" i="1"/>
  <c r="L1397" i="1" s="1"/>
  <c r="J1398" i="1"/>
  <c r="L1398" i="1" s="1"/>
  <c r="J1399" i="1"/>
  <c r="L1399" i="1" s="1"/>
  <c r="J1400" i="1"/>
  <c r="L1400" i="1" s="1"/>
  <c r="J1401" i="1"/>
  <c r="L1401" i="1" s="1"/>
  <c r="J1402" i="1"/>
  <c r="L1402" i="1" s="1"/>
  <c r="J1403" i="1"/>
  <c r="L1403" i="1" s="1"/>
  <c r="J1404" i="1"/>
  <c r="L1404" i="1" s="1"/>
  <c r="J1405" i="1"/>
  <c r="L1405" i="1" s="1"/>
  <c r="J1406" i="1"/>
  <c r="L1406" i="1" s="1"/>
  <c r="J1407" i="1"/>
  <c r="L1407" i="1" s="1"/>
  <c r="J1408" i="1"/>
  <c r="L1408" i="1" s="1"/>
  <c r="J1409" i="1"/>
  <c r="L1409" i="1" s="1"/>
  <c r="J1410" i="1"/>
  <c r="L1410" i="1" s="1"/>
  <c r="J1411" i="1"/>
  <c r="L1411" i="1" s="1"/>
  <c r="J1412" i="1"/>
  <c r="L1412" i="1" s="1"/>
  <c r="J1413" i="1"/>
  <c r="L1413" i="1" s="1"/>
  <c r="J1414" i="1"/>
  <c r="L1414" i="1" s="1"/>
  <c r="J1415" i="1"/>
  <c r="L1415" i="1" s="1"/>
  <c r="J1416" i="1"/>
  <c r="L1416" i="1" s="1"/>
  <c r="J1417" i="1"/>
  <c r="L1417" i="1" s="1"/>
  <c r="J1418" i="1"/>
  <c r="L1418" i="1" s="1"/>
  <c r="J1419" i="1"/>
  <c r="L1419" i="1" s="1"/>
  <c r="J1420" i="1"/>
  <c r="L1420" i="1" s="1"/>
  <c r="J1421" i="1"/>
  <c r="L1421" i="1" s="1"/>
  <c r="J1422" i="1"/>
  <c r="L1422" i="1" s="1"/>
  <c r="J1423" i="1"/>
  <c r="L1423" i="1" s="1"/>
  <c r="J1424" i="1"/>
  <c r="L1424" i="1" s="1"/>
  <c r="J1425" i="1"/>
  <c r="L1425" i="1" s="1"/>
  <c r="J1426" i="1"/>
  <c r="L1426" i="1" s="1"/>
  <c r="J1427" i="1"/>
  <c r="L1427" i="1" s="1"/>
  <c r="J1428" i="1"/>
  <c r="L1428" i="1" s="1"/>
  <c r="J1429" i="1"/>
  <c r="L1429" i="1" s="1"/>
  <c r="J1430" i="1"/>
  <c r="L1430" i="1" s="1"/>
  <c r="J1431" i="1"/>
  <c r="L1431" i="1" s="1"/>
  <c r="J1432" i="1"/>
  <c r="L1432" i="1" s="1"/>
  <c r="J1433" i="1"/>
  <c r="L1433" i="1" s="1"/>
  <c r="J1434" i="1"/>
  <c r="L1434" i="1" s="1"/>
  <c r="J1435" i="1"/>
  <c r="L1435" i="1" s="1"/>
  <c r="J1436" i="1"/>
  <c r="L1436" i="1" s="1"/>
  <c r="J1437" i="1"/>
  <c r="L1437" i="1" s="1"/>
  <c r="J1438" i="1"/>
  <c r="L1438" i="1" s="1"/>
  <c r="J1439" i="1"/>
  <c r="L1439" i="1" s="1"/>
  <c r="J1440" i="1"/>
  <c r="L1440" i="1" s="1"/>
  <c r="J1441" i="1"/>
  <c r="L1441" i="1" s="1"/>
  <c r="J1442" i="1"/>
  <c r="L1442" i="1" s="1"/>
  <c r="J1443" i="1"/>
  <c r="L1443" i="1" s="1"/>
  <c r="J1444" i="1"/>
  <c r="L1444" i="1" s="1"/>
  <c r="J1445" i="1"/>
  <c r="L1445" i="1" s="1"/>
  <c r="J1446" i="1"/>
  <c r="L1446" i="1" s="1"/>
  <c r="J1447" i="1"/>
  <c r="L1447" i="1" s="1"/>
  <c r="J1448" i="1"/>
  <c r="L1448" i="1" s="1"/>
  <c r="J1449" i="1"/>
  <c r="L1449" i="1" s="1"/>
  <c r="J1450" i="1"/>
  <c r="L1450" i="1" s="1"/>
  <c r="J1451" i="1"/>
  <c r="L1451" i="1" s="1"/>
  <c r="J1452" i="1"/>
  <c r="L1452" i="1" s="1"/>
  <c r="J1453" i="1"/>
  <c r="L1453" i="1" s="1"/>
  <c r="J1454" i="1"/>
  <c r="L1454" i="1" s="1"/>
  <c r="J1455" i="1"/>
  <c r="L1455" i="1" s="1"/>
  <c r="J1456" i="1"/>
  <c r="L1456" i="1" s="1"/>
  <c r="J1457" i="1"/>
  <c r="L1457" i="1" s="1"/>
  <c r="J1458" i="1"/>
  <c r="L1458" i="1" s="1"/>
  <c r="J1459" i="1"/>
  <c r="L1459" i="1" s="1"/>
  <c r="J1460" i="1"/>
  <c r="L1460" i="1" s="1"/>
  <c r="J1461" i="1"/>
  <c r="L1461" i="1" s="1"/>
  <c r="J1462" i="1"/>
  <c r="L1462" i="1" s="1"/>
  <c r="J1463" i="1"/>
  <c r="L1463" i="1" s="1"/>
  <c r="J1464" i="1"/>
  <c r="L1464" i="1" s="1"/>
  <c r="J1465" i="1"/>
  <c r="L1465" i="1" s="1"/>
  <c r="J1466" i="1"/>
  <c r="L1466" i="1" s="1"/>
  <c r="J1467" i="1"/>
  <c r="L1467" i="1" s="1"/>
  <c r="J1468" i="1"/>
  <c r="L1468" i="1" s="1"/>
  <c r="J1469" i="1"/>
  <c r="L1469" i="1" s="1"/>
  <c r="J1470" i="1"/>
  <c r="L1470" i="1" s="1"/>
  <c r="J1471" i="1"/>
  <c r="L1471" i="1" s="1"/>
  <c r="J1473" i="1"/>
  <c r="L1473" i="1" s="1"/>
  <c r="J1474" i="1"/>
  <c r="L1474" i="1" s="1"/>
  <c r="J1475" i="1"/>
  <c r="L1475" i="1" s="1"/>
  <c r="J1476" i="1"/>
  <c r="L1476" i="1" s="1"/>
  <c r="J1477" i="1"/>
  <c r="L1477" i="1" s="1"/>
  <c r="J1478" i="1"/>
  <c r="L1478" i="1" s="1"/>
  <c r="J1479" i="1"/>
  <c r="L1479" i="1" s="1"/>
  <c r="J1480" i="1"/>
  <c r="L1480" i="1" s="1"/>
  <c r="J1481" i="1"/>
  <c r="L1481" i="1" s="1"/>
  <c r="J1482" i="1"/>
  <c r="L1482" i="1" s="1"/>
  <c r="J1483" i="1"/>
  <c r="L1483" i="1" s="1"/>
  <c r="J1484" i="1"/>
  <c r="L1484" i="1" s="1"/>
  <c r="J1485" i="1"/>
  <c r="L1485" i="1" s="1"/>
  <c r="J1486" i="1"/>
  <c r="L1486" i="1" s="1"/>
  <c r="J1487" i="1"/>
  <c r="L1487" i="1" s="1"/>
  <c r="J1488" i="1"/>
  <c r="L1488" i="1" s="1"/>
  <c r="J1489" i="1"/>
  <c r="L1489" i="1" s="1"/>
  <c r="J1490" i="1"/>
  <c r="L1490" i="1" s="1"/>
  <c r="J1491" i="1"/>
  <c r="L1491" i="1" s="1"/>
  <c r="J1492" i="1"/>
  <c r="L1492" i="1" s="1"/>
  <c r="J1493" i="1"/>
  <c r="L1493" i="1" s="1"/>
  <c r="J1494" i="1"/>
  <c r="L1494" i="1" s="1"/>
  <c r="J1495" i="1"/>
  <c r="L1495" i="1" s="1"/>
  <c r="J1496" i="1"/>
  <c r="L1496" i="1" s="1"/>
  <c r="J1497" i="1"/>
  <c r="L1497" i="1" s="1"/>
  <c r="J1498" i="1"/>
  <c r="L1498" i="1" s="1"/>
  <c r="J1499" i="1"/>
  <c r="L1499" i="1" s="1"/>
  <c r="J1500" i="1"/>
  <c r="L1500" i="1" s="1"/>
  <c r="J1501" i="1"/>
  <c r="L1501" i="1" s="1"/>
  <c r="J1502" i="1"/>
  <c r="L1502" i="1" s="1"/>
  <c r="J1503" i="1"/>
  <c r="L1503" i="1" s="1"/>
  <c r="J1504" i="1"/>
  <c r="L1504" i="1" s="1"/>
  <c r="J1505" i="1"/>
  <c r="L1505" i="1" s="1"/>
  <c r="J1506" i="1"/>
  <c r="L1506" i="1" s="1"/>
  <c r="J1507" i="1"/>
  <c r="L1507" i="1" s="1"/>
  <c r="J1508" i="1"/>
  <c r="L1508" i="1" s="1"/>
  <c r="J1509" i="1"/>
  <c r="L1509" i="1" s="1"/>
  <c r="J1510" i="1"/>
  <c r="L1510" i="1" s="1"/>
  <c r="J1511" i="1"/>
  <c r="L1511" i="1" s="1"/>
  <c r="J1512" i="1"/>
  <c r="L1512" i="1" s="1"/>
  <c r="J1513" i="1"/>
  <c r="L1513" i="1" s="1"/>
  <c r="J1514" i="1"/>
  <c r="L1514" i="1" s="1"/>
  <c r="J1515" i="1"/>
  <c r="L1515" i="1" s="1"/>
  <c r="J1516" i="1"/>
  <c r="L1516" i="1" s="1"/>
  <c r="J1517" i="1"/>
  <c r="L1517" i="1" s="1"/>
  <c r="J1518" i="1"/>
  <c r="L1518" i="1" s="1"/>
  <c r="J1519" i="1"/>
  <c r="L1519" i="1" s="1"/>
  <c r="J1520" i="1"/>
  <c r="L1520" i="1" s="1"/>
  <c r="J1521" i="1"/>
  <c r="L1521" i="1" s="1"/>
  <c r="J1522" i="1"/>
  <c r="L1522" i="1" s="1"/>
  <c r="J1523" i="1"/>
  <c r="L1523" i="1" s="1"/>
  <c r="J1524" i="1"/>
  <c r="L1524" i="1" s="1"/>
  <c r="J1525" i="1"/>
  <c r="L1525" i="1" s="1"/>
  <c r="J1526" i="1"/>
  <c r="L1526" i="1" s="1"/>
  <c r="J1527" i="1"/>
  <c r="L1527" i="1" s="1"/>
  <c r="J1528" i="1"/>
  <c r="L1528" i="1" s="1"/>
  <c r="J1529" i="1"/>
  <c r="L1529" i="1" s="1"/>
  <c r="J1530" i="1"/>
  <c r="L1530" i="1" s="1"/>
  <c r="J1531" i="1"/>
  <c r="L1531" i="1" s="1"/>
  <c r="J1532" i="1"/>
  <c r="L1532" i="1" s="1"/>
  <c r="J1533" i="1"/>
  <c r="L1533" i="1" s="1"/>
  <c r="J1534" i="1"/>
  <c r="L1534" i="1" s="1"/>
  <c r="J1535" i="1"/>
  <c r="L1535" i="1" s="1"/>
  <c r="J1536" i="1"/>
  <c r="L1536" i="1" s="1"/>
  <c r="J1537" i="1"/>
  <c r="L1537" i="1" s="1"/>
  <c r="J1538" i="1"/>
  <c r="L1538" i="1" s="1"/>
  <c r="J1539" i="1"/>
  <c r="L1539" i="1" s="1"/>
  <c r="J1540" i="1"/>
  <c r="L1540" i="1" s="1"/>
  <c r="J1541" i="1"/>
  <c r="L1541" i="1" s="1"/>
  <c r="J1542" i="1"/>
  <c r="L1542" i="1" s="1"/>
  <c r="J1543" i="1"/>
  <c r="L1543" i="1" s="1"/>
  <c r="J1544" i="1"/>
  <c r="L1544" i="1" s="1"/>
  <c r="J1545" i="1"/>
  <c r="L1545" i="1" s="1"/>
  <c r="J1546" i="1"/>
  <c r="L1546" i="1" s="1"/>
  <c r="J1547" i="1"/>
  <c r="L1547" i="1" s="1"/>
  <c r="J1548" i="1"/>
  <c r="L1548" i="1" s="1"/>
  <c r="J1549" i="1"/>
  <c r="L1549" i="1" s="1"/>
  <c r="J1550" i="1"/>
  <c r="L1550" i="1" s="1"/>
  <c r="J1551" i="1"/>
  <c r="L1551" i="1" s="1"/>
  <c r="J1552" i="1"/>
  <c r="L1552" i="1" s="1"/>
  <c r="J1553" i="1"/>
  <c r="L1553" i="1" s="1"/>
  <c r="J1554" i="1"/>
  <c r="L1554" i="1" s="1"/>
  <c r="J1555" i="1"/>
  <c r="L1555" i="1" s="1"/>
  <c r="J1556" i="1"/>
  <c r="L1556" i="1" s="1"/>
  <c r="J1557" i="1"/>
  <c r="L1557" i="1" s="1"/>
  <c r="J1558" i="1"/>
  <c r="L1558" i="1" s="1"/>
  <c r="J1559" i="1"/>
  <c r="L1559" i="1" s="1"/>
  <c r="J1560" i="1"/>
  <c r="L1560" i="1" s="1"/>
  <c r="J1561" i="1"/>
  <c r="L1561" i="1" s="1"/>
  <c r="J1562" i="1"/>
  <c r="L1562" i="1" s="1"/>
  <c r="J1563" i="1"/>
  <c r="L1563" i="1" s="1"/>
  <c r="J1564" i="1"/>
  <c r="L1564" i="1" s="1"/>
  <c r="J1565" i="1"/>
  <c r="L1565" i="1" s="1"/>
  <c r="J1566" i="1"/>
  <c r="L1566" i="1" s="1"/>
  <c r="J1567" i="1"/>
  <c r="L1567" i="1" s="1"/>
  <c r="J1568" i="1"/>
  <c r="L1568" i="1" s="1"/>
  <c r="J1569" i="1"/>
  <c r="L1569" i="1" s="1"/>
  <c r="J1570" i="1"/>
  <c r="L1570" i="1" s="1"/>
  <c r="J1571" i="1"/>
  <c r="L1571" i="1" s="1"/>
  <c r="J1572" i="1"/>
  <c r="L1572" i="1" s="1"/>
  <c r="J1573" i="1"/>
  <c r="L1573" i="1" s="1"/>
  <c r="J1574" i="1"/>
  <c r="L1574" i="1" s="1"/>
  <c r="J1575" i="1"/>
  <c r="L1575" i="1" s="1"/>
  <c r="J1576" i="1"/>
  <c r="L1576" i="1" s="1"/>
  <c r="J1577" i="1"/>
  <c r="L1577" i="1" s="1"/>
  <c r="J1578" i="1"/>
  <c r="L1578" i="1" s="1"/>
  <c r="J1579" i="1"/>
  <c r="L1579" i="1" s="1"/>
  <c r="J1580" i="1"/>
  <c r="L1580" i="1" s="1"/>
  <c r="J1581" i="1"/>
  <c r="L1581" i="1" s="1"/>
  <c r="J1582" i="1"/>
  <c r="L1582" i="1" s="1"/>
  <c r="J1583" i="1"/>
  <c r="L1583" i="1" s="1"/>
  <c r="J1584" i="1"/>
  <c r="L1584" i="1" s="1"/>
  <c r="J1585" i="1"/>
  <c r="L1585" i="1" s="1"/>
  <c r="J1586" i="1"/>
  <c r="L1586" i="1" s="1"/>
  <c r="J1587" i="1"/>
  <c r="L1587" i="1" s="1"/>
  <c r="J1588" i="1"/>
  <c r="L1588" i="1" s="1"/>
  <c r="J1589" i="1"/>
  <c r="L1589" i="1" s="1"/>
  <c r="J1590" i="1"/>
  <c r="L1590" i="1" s="1"/>
  <c r="J1591" i="1"/>
  <c r="L1591" i="1" s="1"/>
  <c r="J1594" i="1"/>
  <c r="L1594" i="1" s="1"/>
  <c r="J1595" i="1"/>
  <c r="L1595" i="1" s="1"/>
  <c r="J1596" i="1"/>
  <c r="L1596" i="1" s="1"/>
  <c r="J1597" i="1"/>
  <c r="L1597" i="1" s="1"/>
  <c r="J1598" i="1"/>
  <c r="L1598" i="1" s="1"/>
  <c r="J1599" i="1"/>
  <c r="L1599" i="1" s="1"/>
  <c r="J1601" i="1"/>
  <c r="L1601" i="1" s="1"/>
  <c r="J1602" i="1"/>
  <c r="L1602" i="1" s="1"/>
  <c r="J1603" i="1"/>
  <c r="L1603" i="1" s="1"/>
  <c r="J1604" i="1"/>
  <c r="L1604" i="1" s="1"/>
  <c r="J1605" i="1"/>
  <c r="L1605" i="1" s="1"/>
  <c r="J1606" i="1"/>
  <c r="L1606" i="1" s="1"/>
  <c r="J1607" i="1"/>
  <c r="L1607" i="1" s="1"/>
  <c r="J1608" i="1"/>
  <c r="L1608" i="1" s="1"/>
  <c r="J1609" i="1"/>
  <c r="L1609" i="1" s="1"/>
  <c r="J1610" i="1"/>
  <c r="L1610" i="1" s="1"/>
  <c r="J1611" i="1"/>
  <c r="L1611" i="1" s="1"/>
  <c r="J1612" i="1"/>
  <c r="L1612" i="1" s="1"/>
  <c r="J1613" i="1"/>
  <c r="L1613" i="1" s="1"/>
  <c r="J1614" i="1"/>
  <c r="L1614" i="1" s="1"/>
  <c r="J1615" i="1"/>
  <c r="L1615" i="1" s="1"/>
  <c r="J1616" i="1"/>
  <c r="L1616" i="1" s="1"/>
  <c r="J1617" i="1"/>
  <c r="L1617" i="1" s="1"/>
  <c r="J1618" i="1"/>
  <c r="L1618" i="1" s="1"/>
  <c r="J1619" i="1"/>
  <c r="L1619" i="1" s="1"/>
  <c r="J1620" i="1"/>
  <c r="L1620" i="1" s="1"/>
  <c r="J1621" i="1"/>
  <c r="L1621" i="1" s="1"/>
  <c r="J1622" i="1"/>
  <c r="L1622" i="1" s="1"/>
  <c r="J1623" i="1"/>
  <c r="L1623" i="1" s="1"/>
  <c r="J1624" i="1"/>
  <c r="L1624" i="1" s="1"/>
  <c r="J1625" i="1"/>
  <c r="L1625" i="1" s="1"/>
  <c r="J1626" i="1"/>
  <c r="L1626" i="1" s="1"/>
  <c r="J1627" i="1"/>
  <c r="L1627" i="1" s="1"/>
  <c r="J1628" i="1"/>
  <c r="L1628" i="1" s="1"/>
  <c r="J1629" i="1"/>
  <c r="L1629" i="1" s="1"/>
  <c r="J1630" i="1"/>
  <c r="L1630" i="1" s="1"/>
  <c r="J1631" i="1"/>
  <c r="L1631" i="1" s="1"/>
  <c r="J1632" i="1"/>
  <c r="L1632" i="1" s="1"/>
  <c r="J1633" i="1"/>
  <c r="L1633" i="1" s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8" i="1"/>
  <c r="L18" i="1" s="1"/>
  <c r="J19" i="1"/>
  <c r="L19" i="1" s="1"/>
  <c r="J20" i="1"/>
  <c r="L20" i="1" s="1"/>
  <c r="J2" i="1"/>
  <c r="L2" i="1" s="1"/>
  <c r="I268" i="1"/>
  <c r="I269" i="1"/>
  <c r="I270" i="1"/>
  <c r="I271" i="1"/>
  <c r="I272" i="1"/>
  <c r="I273" i="1"/>
  <c r="I274" i="1"/>
  <c r="I275" i="1"/>
  <c r="I276" i="1"/>
  <c r="I277" i="1"/>
  <c r="T277" i="1" s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T301" i="1" s="1"/>
  <c r="I302" i="1"/>
  <c r="I303" i="1"/>
  <c r="I304" i="1"/>
  <c r="I305" i="1"/>
  <c r="T305" i="1" s="1"/>
  <c r="I306" i="1"/>
  <c r="T306" i="1" s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T320" i="1" s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T346" i="1" s="1"/>
  <c r="I347" i="1"/>
  <c r="I348" i="1"/>
  <c r="I349" i="1"/>
  <c r="I350" i="1"/>
  <c r="I351" i="1"/>
  <c r="I352" i="1"/>
  <c r="I353" i="1"/>
  <c r="I354" i="1"/>
  <c r="I355" i="1"/>
  <c r="T355" i="1" s="1"/>
  <c r="I356" i="1"/>
  <c r="I357" i="1"/>
  <c r="I358" i="1"/>
  <c r="I359" i="1"/>
  <c r="T359" i="1" s="1"/>
  <c r="I360" i="1"/>
  <c r="I361" i="1"/>
  <c r="I362" i="1"/>
  <c r="I363" i="1"/>
  <c r="I364" i="1"/>
  <c r="I365" i="1"/>
  <c r="I366" i="1"/>
  <c r="I367" i="1"/>
  <c r="I368" i="1"/>
  <c r="I369" i="1"/>
  <c r="I370" i="1"/>
  <c r="I371" i="1"/>
  <c r="T371" i="1" s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T409" i="1" s="1"/>
  <c r="I410" i="1"/>
  <c r="I411" i="1"/>
  <c r="I412" i="1"/>
  <c r="I413" i="1"/>
  <c r="I414" i="1"/>
  <c r="I415" i="1"/>
  <c r="I416" i="1"/>
  <c r="T416" i="1" s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T441" i="1" s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T456" i="1" s="1"/>
  <c r="I457" i="1"/>
  <c r="I458" i="1"/>
  <c r="I459" i="1"/>
  <c r="I460" i="1"/>
  <c r="I461" i="1"/>
  <c r="I462" i="1"/>
  <c r="I463" i="1"/>
  <c r="I464" i="1"/>
  <c r="I465" i="1"/>
  <c r="I466" i="1"/>
  <c r="I467" i="1"/>
  <c r="T467" i="1" s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T481" i="1" s="1"/>
  <c r="I482" i="1"/>
  <c r="I483" i="1"/>
  <c r="I484" i="1"/>
  <c r="I485" i="1"/>
  <c r="I486" i="1"/>
  <c r="I487" i="1"/>
  <c r="I488" i="1"/>
  <c r="T488" i="1" s="1"/>
  <c r="I489" i="1"/>
  <c r="I490" i="1"/>
  <c r="I491" i="1"/>
  <c r="T491" i="1" s="1"/>
  <c r="I492" i="1"/>
  <c r="I493" i="1"/>
  <c r="I494" i="1"/>
  <c r="I495" i="1"/>
  <c r="I496" i="1"/>
  <c r="T496" i="1" s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T533" i="1" s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T554" i="1" s="1"/>
  <c r="I555" i="1"/>
  <c r="I556" i="1"/>
  <c r="I557" i="1"/>
  <c r="I558" i="1"/>
  <c r="I559" i="1"/>
  <c r="I560" i="1"/>
  <c r="I561" i="1"/>
  <c r="T561" i="1" s="1"/>
  <c r="I562" i="1"/>
  <c r="I563" i="1"/>
  <c r="I564" i="1"/>
  <c r="I565" i="1"/>
  <c r="I566" i="1"/>
  <c r="I567" i="1"/>
  <c r="I568" i="1"/>
  <c r="I569" i="1"/>
  <c r="T569" i="1" s="1"/>
  <c r="I570" i="1"/>
  <c r="T570" i="1" s="1"/>
  <c r="I571" i="1"/>
  <c r="I572" i="1"/>
  <c r="I573" i="1"/>
  <c r="I574" i="1"/>
  <c r="I575" i="1"/>
  <c r="I576" i="1"/>
  <c r="I577" i="1"/>
  <c r="T577" i="1" s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T609" i="1" s="1"/>
  <c r="I610" i="1"/>
  <c r="T610" i="1" s="1"/>
  <c r="I611" i="1"/>
  <c r="I612" i="1"/>
  <c r="I613" i="1"/>
  <c r="T613" i="1" s="1"/>
  <c r="I614" i="1"/>
  <c r="T614" i="1" s="1"/>
  <c r="I615" i="1"/>
  <c r="I616" i="1"/>
  <c r="T616" i="1" s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T668" i="1" s="1"/>
  <c r="I669" i="1"/>
  <c r="I670" i="1"/>
  <c r="I671" i="1"/>
  <c r="I672" i="1"/>
  <c r="I673" i="1"/>
  <c r="I674" i="1"/>
  <c r="I675" i="1"/>
  <c r="I676" i="1"/>
  <c r="I677" i="1"/>
  <c r="T677" i="1" s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T729" i="1" s="1"/>
  <c r="I730" i="1"/>
  <c r="T730" i="1" s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T754" i="1" s="1"/>
  <c r="I755" i="1"/>
  <c r="I756" i="1"/>
  <c r="T756" i="1" s="1"/>
  <c r="I757" i="1"/>
  <c r="I758" i="1"/>
  <c r="I759" i="1"/>
  <c r="I760" i="1"/>
  <c r="I761" i="1"/>
  <c r="T761" i="1" s="1"/>
  <c r="I762" i="1"/>
  <c r="I763" i="1"/>
  <c r="I764" i="1"/>
  <c r="I765" i="1"/>
  <c r="I766" i="1"/>
  <c r="T766" i="1" s="1"/>
  <c r="I767" i="1"/>
  <c r="I768" i="1"/>
  <c r="I769" i="1"/>
  <c r="I770" i="1"/>
  <c r="I771" i="1"/>
  <c r="I772" i="1"/>
  <c r="I773" i="1"/>
  <c r="T773" i="1" s="1"/>
  <c r="I774" i="1"/>
  <c r="I775" i="1"/>
  <c r="I776" i="1"/>
  <c r="I777" i="1"/>
  <c r="I778" i="1"/>
  <c r="I779" i="1"/>
  <c r="I780" i="1"/>
  <c r="I781" i="1"/>
  <c r="T781" i="1" s="1"/>
  <c r="I782" i="1"/>
  <c r="T782" i="1" s="1"/>
  <c r="I783" i="1"/>
  <c r="T783" i="1" s="1"/>
  <c r="I784" i="1"/>
  <c r="I785" i="1"/>
  <c r="I786" i="1"/>
  <c r="T786" i="1" s="1"/>
  <c r="I787" i="1"/>
  <c r="I788" i="1"/>
  <c r="I789" i="1"/>
  <c r="I790" i="1"/>
  <c r="I791" i="1"/>
  <c r="I792" i="1"/>
  <c r="I793" i="1"/>
  <c r="T793" i="1" s="1"/>
  <c r="I794" i="1"/>
  <c r="I795" i="1"/>
  <c r="I796" i="1"/>
  <c r="I797" i="1"/>
  <c r="I798" i="1"/>
  <c r="T798" i="1" s="1"/>
  <c r="I799" i="1"/>
  <c r="I800" i="1"/>
  <c r="I801" i="1"/>
  <c r="I802" i="1"/>
  <c r="I803" i="1"/>
  <c r="I804" i="1"/>
  <c r="T804" i="1" s="1"/>
  <c r="I805" i="1"/>
  <c r="I806" i="1"/>
  <c r="I807" i="1"/>
  <c r="I808" i="1"/>
  <c r="I809" i="1"/>
  <c r="I810" i="1"/>
  <c r="I811" i="1"/>
  <c r="I812" i="1"/>
  <c r="T812" i="1" s="1"/>
  <c r="I813" i="1"/>
  <c r="I814" i="1"/>
  <c r="I815" i="1"/>
  <c r="I816" i="1"/>
  <c r="T816" i="1" s="1"/>
  <c r="I817" i="1"/>
  <c r="I818" i="1"/>
  <c r="I819" i="1"/>
  <c r="T819" i="1" s="1"/>
  <c r="I820" i="1"/>
  <c r="I821" i="1"/>
  <c r="I822" i="1"/>
  <c r="I823" i="1"/>
  <c r="I824" i="1"/>
  <c r="I825" i="1"/>
  <c r="I826" i="1"/>
  <c r="I827" i="1"/>
  <c r="I828" i="1"/>
  <c r="T828" i="1" s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T857" i="1" s="1"/>
  <c r="I858" i="1"/>
  <c r="I859" i="1"/>
  <c r="I860" i="1"/>
  <c r="I861" i="1"/>
  <c r="I862" i="1"/>
  <c r="I863" i="1"/>
  <c r="I864" i="1"/>
  <c r="I865" i="1"/>
  <c r="I866" i="1"/>
  <c r="I867" i="1"/>
  <c r="I868" i="1"/>
  <c r="T868" i="1" s="1"/>
  <c r="I869" i="1"/>
  <c r="I870" i="1"/>
  <c r="I871" i="1"/>
  <c r="T871" i="1" s="1"/>
  <c r="I872" i="1"/>
  <c r="I873" i="1"/>
  <c r="I874" i="1"/>
  <c r="T874" i="1" s="1"/>
  <c r="I875" i="1"/>
  <c r="T875" i="1" s="1"/>
  <c r="I876" i="1"/>
  <c r="I877" i="1"/>
  <c r="I878" i="1"/>
  <c r="I879" i="1"/>
  <c r="I880" i="1"/>
  <c r="I881" i="1"/>
  <c r="I882" i="1"/>
  <c r="T882" i="1" s="1"/>
  <c r="I883" i="1"/>
  <c r="I884" i="1"/>
  <c r="I885" i="1"/>
  <c r="I886" i="1"/>
  <c r="I887" i="1"/>
  <c r="I888" i="1"/>
  <c r="I889" i="1"/>
  <c r="T889" i="1" s="1"/>
  <c r="I890" i="1"/>
  <c r="I891" i="1"/>
  <c r="I892" i="1"/>
  <c r="T892" i="1" s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T910" i="1" s="1"/>
  <c r="I911" i="1"/>
  <c r="T911" i="1" s="1"/>
  <c r="I912" i="1"/>
  <c r="T912" i="1" s="1"/>
  <c r="I913" i="1"/>
  <c r="I914" i="1"/>
  <c r="I915" i="1"/>
  <c r="T915" i="1" s="1"/>
  <c r="I916" i="1"/>
  <c r="I917" i="1"/>
  <c r="I918" i="1"/>
  <c r="I919" i="1"/>
  <c r="I920" i="1"/>
  <c r="I921" i="1"/>
  <c r="I922" i="1"/>
  <c r="I923" i="1"/>
  <c r="I924" i="1"/>
  <c r="I925" i="1"/>
  <c r="T925" i="1" s="1"/>
  <c r="I926" i="1"/>
  <c r="T926" i="1" s="1"/>
  <c r="I927" i="1"/>
  <c r="T927" i="1" s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T940" i="1" s="1"/>
  <c r="I941" i="1"/>
  <c r="I942" i="1"/>
  <c r="I943" i="1"/>
  <c r="I944" i="1"/>
  <c r="I945" i="1"/>
  <c r="I946" i="1"/>
  <c r="I947" i="1"/>
  <c r="I948" i="1"/>
  <c r="I949" i="1"/>
  <c r="I950" i="1"/>
  <c r="I951" i="1"/>
  <c r="T951" i="1" s="1"/>
  <c r="I952" i="1"/>
  <c r="T952" i="1" s="1"/>
  <c r="I953" i="1"/>
  <c r="I954" i="1"/>
  <c r="I955" i="1"/>
  <c r="I956" i="1"/>
  <c r="I957" i="1"/>
  <c r="I958" i="1"/>
  <c r="I959" i="1"/>
  <c r="I960" i="1"/>
  <c r="T960" i="1" s="1"/>
  <c r="I961" i="1"/>
  <c r="T961" i="1" s="1"/>
  <c r="I962" i="1"/>
  <c r="I963" i="1"/>
  <c r="T963" i="1" s="1"/>
  <c r="I964" i="1"/>
  <c r="I965" i="1"/>
  <c r="I966" i="1"/>
  <c r="I967" i="1"/>
  <c r="I968" i="1"/>
  <c r="T968" i="1" s="1"/>
  <c r="I969" i="1"/>
  <c r="I970" i="1"/>
  <c r="I971" i="1"/>
  <c r="I972" i="1"/>
  <c r="I973" i="1"/>
  <c r="I974" i="1"/>
  <c r="I975" i="1"/>
  <c r="I976" i="1"/>
  <c r="T976" i="1" s="1"/>
  <c r="I977" i="1"/>
  <c r="T977" i="1" s="1"/>
  <c r="I978" i="1"/>
  <c r="I979" i="1"/>
  <c r="I980" i="1"/>
  <c r="I981" i="1"/>
  <c r="I982" i="1"/>
  <c r="I983" i="1"/>
  <c r="I984" i="1"/>
  <c r="T984" i="1" s="1"/>
  <c r="I985" i="1"/>
  <c r="I986" i="1"/>
  <c r="I987" i="1"/>
  <c r="I988" i="1"/>
  <c r="T988" i="1" s="1"/>
  <c r="I989" i="1"/>
  <c r="I990" i="1"/>
  <c r="I991" i="1"/>
  <c r="I992" i="1"/>
  <c r="T992" i="1" s="1"/>
  <c r="I993" i="1"/>
  <c r="T993" i="1" s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T1008" i="1" s="1"/>
  <c r="I1009" i="1"/>
  <c r="I1010" i="1"/>
  <c r="I1011" i="1"/>
  <c r="I1012" i="1"/>
  <c r="I1013" i="1"/>
  <c r="I1014" i="1"/>
  <c r="I1015" i="1"/>
  <c r="I1016" i="1"/>
  <c r="T1016" i="1" s="1"/>
  <c r="I1017" i="1"/>
  <c r="I1018" i="1"/>
  <c r="I1019" i="1"/>
  <c r="I1020" i="1"/>
  <c r="I1021" i="1"/>
  <c r="I1022" i="1"/>
  <c r="I1023" i="1"/>
  <c r="I1024" i="1"/>
  <c r="T1024" i="1" s="1"/>
  <c r="I1025" i="1"/>
  <c r="I1026" i="1"/>
  <c r="I1027" i="1"/>
  <c r="T1027" i="1" s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T1040" i="1" s="1"/>
  <c r="I1041" i="1"/>
  <c r="I1042" i="1"/>
  <c r="I1043" i="1"/>
  <c r="I1044" i="1"/>
  <c r="I1045" i="1"/>
  <c r="I1046" i="1"/>
  <c r="I1047" i="1"/>
  <c r="I1048" i="1"/>
  <c r="T1048" i="1" s="1"/>
  <c r="I1049" i="1"/>
  <c r="I1050" i="1"/>
  <c r="I1051" i="1"/>
  <c r="I1052" i="1"/>
  <c r="I1053" i="1"/>
  <c r="I1054" i="1"/>
  <c r="I1055" i="1"/>
  <c r="I1056" i="1"/>
  <c r="T1056" i="1" s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T1072" i="1" s="1"/>
  <c r="I1073" i="1"/>
  <c r="I1074" i="1"/>
  <c r="I1075" i="1"/>
  <c r="I1076" i="1"/>
  <c r="I1077" i="1"/>
  <c r="I1078" i="1"/>
  <c r="T1078" i="1" s="1"/>
  <c r="I1079" i="1"/>
  <c r="T1079" i="1" s="1"/>
  <c r="I1080" i="1"/>
  <c r="T1080" i="1" s="1"/>
  <c r="I1081" i="1"/>
  <c r="I1082" i="1"/>
  <c r="I1083" i="1"/>
  <c r="I1084" i="1"/>
  <c r="I1085" i="1"/>
  <c r="I1086" i="1"/>
  <c r="I1087" i="1"/>
  <c r="I1088" i="1"/>
  <c r="T1088" i="1" s="1"/>
  <c r="I1089" i="1"/>
  <c r="I1090" i="1"/>
  <c r="I1091" i="1"/>
  <c r="I1092" i="1"/>
  <c r="I1093" i="1"/>
  <c r="I1094" i="1"/>
  <c r="I1095" i="1"/>
  <c r="I1096" i="1"/>
  <c r="I1097" i="1"/>
  <c r="T1097" i="1" s="1"/>
  <c r="I1098" i="1"/>
  <c r="I1099" i="1"/>
  <c r="I1100" i="1"/>
  <c r="I1101" i="1"/>
  <c r="I1102" i="1"/>
  <c r="I1103" i="1"/>
  <c r="I1104" i="1"/>
  <c r="T1104" i="1" s="1"/>
  <c r="I1105" i="1"/>
  <c r="I1106" i="1"/>
  <c r="I1107" i="1"/>
  <c r="I1108" i="1"/>
  <c r="I1109" i="1"/>
  <c r="I1110" i="1"/>
  <c r="I1111" i="1"/>
  <c r="I1112" i="1"/>
  <c r="T1112" i="1" s="1"/>
  <c r="I1113" i="1"/>
  <c r="I1114" i="1"/>
  <c r="I1115" i="1"/>
  <c r="I1116" i="1"/>
  <c r="I1117" i="1"/>
  <c r="I1118" i="1"/>
  <c r="I1119" i="1"/>
  <c r="I1120" i="1"/>
  <c r="T1120" i="1" s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T1136" i="1" s="1"/>
  <c r="I1137" i="1"/>
  <c r="I1138" i="1"/>
  <c r="I1139" i="1"/>
  <c r="I1140" i="1"/>
  <c r="I1141" i="1"/>
  <c r="I1142" i="1"/>
  <c r="I1143" i="1"/>
  <c r="I1144" i="1"/>
  <c r="T1144" i="1" s="1"/>
  <c r="I1145" i="1"/>
  <c r="T1145" i="1" s="1"/>
  <c r="I1146" i="1"/>
  <c r="I1147" i="1"/>
  <c r="I1148" i="1"/>
  <c r="I1149" i="1"/>
  <c r="I1150" i="1"/>
  <c r="I1151" i="1"/>
  <c r="I1152" i="1"/>
  <c r="T1152" i="1" s="1"/>
  <c r="I1153" i="1"/>
  <c r="I1154" i="1"/>
  <c r="I1155" i="1"/>
  <c r="I1156" i="1"/>
  <c r="I1157" i="1"/>
  <c r="I1158" i="1"/>
  <c r="I1159" i="1"/>
  <c r="I1160" i="1"/>
  <c r="I1161" i="1"/>
  <c r="I1162" i="1"/>
  <c r="T1162" i="1" s="1"/>
  <c r="I1163" i="1"/>
  <c r="I1164" i="1"/>
  <c r="I1165" i="1"/>
  <c r="I1166" i="1"/>
  <c r="I1167" i="1"/>
  <c r="I1168" i="1"/>
  <c r="T1168" i="1" s="1"/>
  <c r="I1169" i="1"/>
  <c r="I1170" i="1"/>
  <c r="I1171" i="1"/>
  <c r="I1172" i="1"/>
  <c r="I1173" i="1"/>
  <c r="I1174" i="1"/>
  <c r="I1175" i="1"/>
  <c r="I1176" i="1"/>
  <c r="T1176" i="1" s="1"/>
  <c r="I1177" i="1"/>
  <c r="I1178" i="1"/>
  <c r="I1179" i="1"/>
  <c r="I1180" i="1"/>
  <c r="I1181" i="1"/>
  <c r="I1182" i="1"/>
  <c r="I1183" i="1"/>
  <c r="I1184" i="1"/>
  <c r="T1184" i="1" s="1"/>
  <c r="I1185" i="1"/>
  <c r="I1186" i="1"/>
  <c r="I1187" i="1"/>
  <c r="I1188" i="1"/>
  <c r="I1189" i="1"/>
  <c r="I1190" i="1"/>
  <c r="I1191" i="1"/>
  <c r="T1191" i="1" s="1"/>
  <c r="I1192" i="1"/>
  <c r="I1193" i="1"/>
  <c r="I1194" i="1"/>
  <c r="I1195" i="1"/>
  <c r="I1196" i="1"/>
  <c r="I1197" i="1"/>
  <c r="I1198" i="1"/>
  <c r="I1199" i="1"/>
  <c r="T1199" i="1" s="1"/>
  <c r="I1200" i="1"/>
  <c r="T1200" i="1" s="1"/>
  <c r="I1201" i="1"/>
  <c r="I1202" i="1"/>
  <c r="I1203" i="1"/>
  <c r="I1204" i="1"/>
  <c r="I1205" i="1"/>
  <c r="T1205" i="1" s="1"/>
  <c r="I1206" i="1"/>
  <c r="I1207" i="1"/>
  <c r="T1207" i="1" s="1"/>
  <c r="I1208" i="1"/>
  <c r="T1208" i="1" s="1"/>
  <c r="I1209" i="1"/>
  <c r="I1210" i="1"/>
  <c r="I1211" i="1"/>
  <c r="I1212" i="1"/>
  <c r="T1212" i="1" s="1"/>
  <c r="I1213" i="1"/>
  <c r="T1213" i="1" s="1"/>
  <c r="I1214" i="1"/>
  <c r="T1214" i="1" s="1"/>
  <c r="I1215" i="1"/>
  <c r="T1215" i="1" s="1"/>
  <c r="I1216" i="1"/>
  <c r="T1216" i="1" s="1"/>
  <c r="I1217" i="1"/>
  <c r="T1217" i="1" s="1"/>
  <c r="I1218" i="1"/>
  <c r="I1219" i="1"/>
  <c r="I1220" i="1"/>
  <c r="T1220" i="1" s="1"/>
  <c r="I1221" i="1"/>
  <c r="I1222" i="1"/>
  <c r="I1223" i="1"/>
  <c r="I1224" i="1"/>
  <c r="I1225" i="1"/>
  <c r="I1226" i="1"/>
  <c r="I1227" i="1"/>
  <c r="I1228" i="1"/>
  <c r="I1229" i="1"/>
  <c r="T1229" i="1" s="1"/>
  <c r="I1230" i="1"/>
  <c r="I1231" i="1"/>
  <c r="I1232" i="1"/>
  <c r="T1232" i="1" s="1"/>
  <c r="I1233" i="1"/>
  <c r="I1234" i="1"/>
  <c r="I1235" i="1"/>
  <c r="I1236" i="1"/>
  <c r="I1237" i="1"/>
  <c r="I1238" i="1"/>
  <c r="I1239" i="1"/>
  <c r="I1240" i="1"/>
  <c r="T1240" i="1" s="1"/>
  <c r="I1241" i="1"/>
  <c r="I1242" i="1"/>
  <c r="I1243" i="1"/>
  <c r="I1244" i="1"/>
  <c r="I1245" i="1"/>
  <c r="I1246" i="1"/>
  <c r="I1247" i="1"/>
  <c r="I1248" i="1"/>
  <c r="T1248" i="1" s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T1264" i="1" s="1"/>
  <c r="I1265" i="1"/>
  <c r="I1266" i="1"/>
  <c r="I1267" i="1"/>
  <c r="I1268" i="1"/>
  <c r="I1269" i="1"/>
  <c r="I1270" i="1"/>
  <c r="I1271" i="1"/>
  <c r="I1272" i="1"/>
  <c r="T1272" i="1" s="1"/>
  <c r="I1273" i="1"/>
  <c r="T1273" i="1" s="1"/>
  <c r="I1274" i="1"/>
  <c r="I1275" i="1"/>
  <c r="I1276" i="1"/>
  <c r="I1277" i="1"/>
  <c r="I1278" i="1"/>
  <c r="I1279" i="1"/>
  <c r="I1280" i="1"/>
  <c r="T1280" i="1" s="1"/>
  <c r="I1281" i="1"/>
  <c r="I1282" i="1"/>
  <c r="I1283" i="1"/>
  <c r="I1284" i="1"/>
  <c r="I1285" i="1"/>
  <c r="I1286" i="1"/>
  <c r="I1287" i="1"/>
  <c r="T1287" i="1" s="1"/>
  <c r="I1288" i="1"/>
  <c r="I1289" i="1"/>
  <c r="I1290" i="1"/>
  <c r="I1291" i="1"/>
  <c r="I1292" i="1"/>
  <c r="I1293" i="1"/>
  <c r="I1294" i="1"/>
  <c r="I1295" i="1"/>
  <c r="I1296" i="1"/>
  <c r="J1296" i="1" s="1"/>
  <c r="L1296" i="1" s="1"/>
  <c r="N1296" i="1" s="1"/>
  <c r="I1297" i="1"/>
  <c r="T1297" i="1" s="1"/>
  <c r="I1298" i="1"/>
  <c r="I1299" i="1"/>
  <c r="T1299" i="1" s="1"/>
  <c r="I1300" i="1"/>
  <c r="I1301" i="1"/>
  <c r="I1302" i="1"/>
  <c r="T1302" i="1" s="1"/>
  <c r="I1303" i="1"/>
  <c r="T1303" i="1" s="1"/>
  <c r="I1304" i="1"/>
  <c r="T1304" i="1" s="1"/>
  <c r="I1305" i="1"/>
  <c r="T1305" i="1" s="1"/>
  <c r="I1306" i="1"/>
  <c r="I1307" i="1"/>
  <c r="I1308" i="1"/>
  <c r="I1309" i="1"/>
  <c r="T1309" i="1" s="1"/>
  <c r="I1310" i="1"/>
  <c r="I1311" i="1"/>
  <c r="I1312" i="1"/>
  <c r="T1312" i="1" s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T1330" i="1" s="1"/>
  <c r="I1331" i="1"/>
  <c r="T1331" i="1" s="1"/>
  <c r="I1332" i="1"/>
  <c r="I1333" i="1"/>
  <c r="I1334" i="1"/>
  <c r="I1335" i="1"/>
  <c r="I1336" i="1"/>
  <c r="I1337" i="1"/>
  <c r="T1337" i="1" s="1"/>
  <c r="I1338" i="1"/>
  <c r="T1338" i="1" s="1"/>
  <c r="I1339" i="1"/>
  <c r="I1340" i="1"/>
  <c r="T1340" i="1" s="1"/>
  <c r="I1341" i="1"/>
  <c r="I1342" i="1"/>
  <c r="I1343" i="1"/>
  <c r="I1344" i="1"/>
  <c r="I1345" i="1"/>
  <c r="T1345" i="1" s="1"/>
  <c r="I1346" i="1"/>
  <c r="T1346" i="1" s="1"/>
  <c r="I1347" i="1"/>
  <c r="I1348" i="1"/>
  <c r="I1349" i="1"/>
  <c r="I1350" i="1"/>
  <c r="I1351" i="1"/>
  <c r="I1352" i="1"/>
  <c r="I1353" i="1"/>
  <c r="T1353" i="1" s="1"/>
  <c r="I1354" i="1"/>
  <c r="T1354" i="1" s="1"/>
  <c r="I1355" i="1"/>
  <c r="I1356" i="1"/>
  <c r="I1357" i="1"/>
  <c r="I1358" i="1"/>
  <c r="I1359" i="1"/>
  <c r="I1360" i="1"/>
  <c r="I1361" i="1"/>
  <c r="T1361" i="1" s="1"/>
  <c r="I1362" i="1"/>
  <c r="T1362" i="1" s="1"/>
  <c r="I1363" i="1"/>
  <c r="I1364" i="1"/>
  <c r="I1365" i="1"/>
  <c r="I1366" i="1"/>
  <c r="T1366" i="1" s="1"/>
  <c r="I1367" i="1"/>
  <c r="I1368" i="1"/>
  <c r="I1369" i="1"/>
  <c r="T1369" i="1" s="1"/>
  <c r="I1370" i="1"/>
  <c r="T1370" i="1" s="1"/>
  <c r="I1371" i="1"/>
  <c r="T1371" i="1" s="1"/>
  <c r="I1372" i="1"/>
  <c r="I1373" i="1"/>
  <c r="I1374" i="1"/>
  <c r="I1375" i="1"/>
  <c r="I1376" i="1"/>
  <c r="I1377" i="1"/>
  <c r="T1377" i="1" s="1"/>
  <c r="I1378" i="1"/>
  <c r="T1378" i="1" s="1"/>
  <c r="I1379" i="1"/>
  <c r="I1380" i="1"/>
  <c r="I1381" i="1"/>
  <c r="I1382" i="1"/>
  <c r="I1383" i="1"/>
  <c r="I1384" i="1"/>
  <c r="I1385" i="1"/>
  <c r="T1385" i="1" s="1"/>
  <c r="I1386" i="1"/>
  <c r="T1386" i="1" s="1"/>
  <c r="I1387" i="1"/>
  <c r="I1388" i="1"/>
  <c r="I1389" i="1"/>
  <c r="I1390" i="1"/>
  <c r="I1391" i="1"/>
  <c r="I1392" i="1"/>
  <c r="I1393" i="1"/>
  <c r="T1393" i="1" s="1"/>
  <c r="I1394" i="1"/>
  <c r="T1394" i="1" s="1"/>
  <c r="I1395" i="1"/>
  <c r="T1395" i="1" s="1"/>
  <c r="I1396" i="1"/>
  <c r="I1397" i="1"/>
  <c r="I1398" i="1"/>
  <c r="I1399" i="1"/>
  <c r="I1400" i="1"/>
  <c r="T1400" i="1" s="1"/>
  <c r="I1401" i="1"/>
  <c r="T1401" i="1" s="1"/>
  <c r="I1402" i="1"/>
  <c r="T1402" i="1" s="1"/>
  <c r="I1403" i="1"/>
  <c r="I1404" i="1"/>
  <c r="I1405" i="1"/>
  <c r="I1406" i="1"/>
  <c r="I1407" i="1"/>
  <c r="I1408" i="1"/>
  <c r="I1409" i="1"/>
  <c r="T1409" i="1" s="1"/>
  <c r="I1410" i="1"/>
  <c r="T1410" i="1" s="1"/>
  <c r="I1411" i="1"/>
  <c r="I1412" i="1"/>
  <c r="T1412" i="1" s="1"/>
  <c r="I1413" i="1"/>
  <c r="I1414" i="1"/>
  <c r="T1414" i="1" s="1"/>
  <c r="I1415" i="1"/>
  <c r="I1416" i="1"/>
  <c r="I1417" i="1"/>
  <c r="T1417" i="1" s="1"/>
  <c r="I1418" i="1"/>
  <c r="T1418" i="1" s="1"/>
  <c r="I1419" i="1"/>
  <c r="T1419" i="1" s="1"/>
  <c r="I1420" i="1"/>
  <c r="T1420" i="1" s="1"/>
  <c r="I1421" i="1"/>
  <c r="I1422" i="1"/>
  <c r="I1423" i="1"/>
  <c r="I1424" i="1"/>
  <c r="T1424" i="1" s="1"/>
  <c r="I1425" i="1"/>
  <c r="T1425" i="1" s="1"/>
  <c r="I1426" i="1"/>
  <c r="T1426" i="1" s="1"/>
  <c r="I1427" i="1"/>
  <c r="T1427" i="1" s="1"/>
  <c r="I1428" i="1"/>
  <c r="T1428" i="1" s="1"/>
  <c r="I1429" i="1"/>
  <c r="I1430" i="1"/>
  <c r="I1431" i="1"/>
  <c r="I1432" i="1"/>
  <c r="I1433" i="1"/>
  <c r="T1433" i="1" s="1"/>
  <c r="I1434" i="1"/>
  <c r="T1434" i="1" s="1"/>
  <c r="I1435" i="1"/>
  <c r="I1436" i="1"/>
  <c r="I1437" i="1"/>
  <c r="T1437" i="1" s="1"/>
  <c r="I1438" i="1"/>
  <c r="I1439" i="1"/>
  <c r="I1440" i="1"/>
  <c r="I1441" i="1"/>
  <c r="T1441" i="1" s="1"/>
  <c r="I1442" i="1"/>
  <c r="T1442" i="1" s="1"/>
  <c r="I1443" i="1"/>
  <c r="T1443" i="1" s="1"/>
  <c r="I1444" i="1"/>
  <c r="I1445" i="1"/>
  <c r="I1446" i="1"/>
  <c r="I1447" i="1"/>
  <c r="I1448" i="1"/>
  <c r="I1449" i="1"/>
  <c r="T1449" i="1" s="1"/>
  <c r="I1450" i="1"/>
  <c r="T1450" i="1" s="1"/>
  <c r="I1451" i="1"/>
  <c r="I1452" i="1"/>
  <c r="I1453" i="1"/>
  <c r="I1454" i="1"/>
  <c r="I1455" i="1"/>
  <c r="T1455" i="1" s="1"/>
  <c r="I1456" i="1"/>
  <c r="I1457" i="1"/>
  <c r="T1457" i="1" s="1"/>
  <c r="I1458" i="1"/>
  <c r="T1458" i="1" s="1"/>
  <c r="I1459" i="1"/>
  <c r="I1460" i="1"/>
  <c r="I1461" i="1"/>
  <c r="T1461" i="1" s="1"/>
  <c r="I1462" i="1"/>
  <c r="I1463" i="1"/>
  <c r="I1464" i="1"/>
  <c r="I1465" i="1"/>
  <c r="T1465" i="1" s="1"/>
  <c r="I1466" i="1"/>
  <c r="T1466" i="1" s="1"/>
  <c r="I1467" i="1"/>
  <c r="I1468" i="1"/>
  <c r="I1469" i="1"/>
  <c r="I1470" i="1"/>
  <c r="I1471" i="1"/>
  <c r="I1472" i="1"/>
  <c r="T1472" i="1" s="1"/>
  <c r="I1473" i="1"/>
  <c r="T1473" i="1" s="1"/>
  <c r="I1474" i="1"/>
  <c r="T1474" i="1" s="1"/>
  <c r="I1475" i="1"/>
  <c r="I1476" i="1"/>
  <c r="I1477" i="1"/>
  <c r="I1478" i="1"/>
  <c r="I1479" i="1"/>
  <c r="I1480" i="1"/>
  <c r="I1481" i="1"/>
  <c r="T1481" i="1" s="1"/>
  <c r="I1482" i="1"/>
  <c r="T1482" i="1" s="1"/>
  <c r="I1483" i="1"/>
  <c r="I1484" i="1"/>
  <c r="I1485" i="1"/>
  <c r="I1486" i="1"/>
  <c r="I1487" i="1"/>
  <c r="I1488" i="1"/>
  <c r="I1489" i="1"/>
  <c r="T1489" i="1" s="1"/>
  <c r="I1490" i="1"/>
  <c r="T1490" i="1" s="1"/>
  <c r="I1491" i="1"/>
  <c r="I1492" i="1"/>
  <c r="I1493" i="1"/>
  <c r="I1494" i="1"/>
  <c r="I1495" i="1"/>
  <c r="I1496" i="1"/>
  <c r="I1497" i="1"/>
  <c r="T1497" i="1" s="1"/>
  <c r="I1498" i="1"/>
  <c r="T1498" i="1" s="1"/>
  <c r="I1499" i="1"/>
  <c r="I1500" i="1"/>
  <c r="I1501" i="1"/>
  <c r="T1501" i="1" s="1"/>
  <c r="I1502" i="1"/>
  <c r="T1502" i="1" s="1"/>
  <c r="I1503" i="1"/>
  <c r="I1504" i="1"/>
  <c r="I1505" i="1"/>
  <c r="T1505" i="1" s="1"/>
  <c r="I1506" i="1"/>
  <c r="T1506" i="1" s="1"/>
  <c r="I1507" i="1"/>
  <c r="I1508" i="1"/>
  <c r="I1509" i="1"/>
  <c r="I1510" i="1"/>
  <c r="I1511" i="1"/>
  <c r="I1512" i="1"/>
  <c r="I1513" i="1"/>
  <c r="T1513" i="1" s="1"/>
  <c r="I1514" i="1"/>
  <c r="T1514" i="1" s="1"/>
  <c r="I1515" i="1"/>
  <c r="I1516" i="1"/>
  <c r="I1517" i="1"/>
  <c r="I1518" i="1"/>
  <c r="T1518" i="1" s="1"/>
  <c r="I1519" i="1"/>
  <c r="T1519" i="1" s="1"/>
  <c r="I1520" i="1"/>
  <c r="I1521" i="1"/>
  <c r="T1521" i="1" s="1"/>
  <c r="I1522" i="1"/>
  <c r="T1522" i="1" s="1"/>
  <c r="I1523" i="1"/>
  <c r="I1524" i="1"/>
  <c r="I1525" i="1"/>
  <c r="I1526" i="1"/>
  <c r="I1527" i="1"/>
  <c r="T1527" i="1" s="1"/>
  <c r="I1528" i="1"/>
  <c r="T1528" i="1" s="1"/>
  <c r="I1529" i="1"/>
  <c r="T1529" i="1" s="1"/>
  <c r="I1530" i="1"/>
  <c r="T1530" i="1" s="1"/>
  <c r="I1531" i="1"/>
  <c r="I1532" i="1"/>
  <c r="I1533" i="1"/>
  <c r="I1534" i="1"/>
  <c r="I1535" i="1"/>
  <c r="I1536" i="1"/>
  <c r="I1537" i="1"/>
  <c r="T1537" i="1" s="1"/>
  <c r="I1538" i="1"/>
  <c r="T1538" i="1" s="1"/>
  <c r="I1539" i="1"/>
  <c r="I1540" i="1"/>
  <c r="I1541" i="1"/>
  <c r="I1542" i="1"/>
  <c r="I1543" i="1"/>
  <c r="I1544" i="1"/>
  <c r="I1545" i="1"/>
  <c r="T1545" i="1" s="1"/>
  <c r="I1546" i="1"/>
  <c r="T1546" i="1" s="1"/>
  <c r="I1547" i="1"/>
  <c r="I1548" i="1"/>
  <c r="I1549" i="1"/>
  <c r="T1549" i="1" s="1"/>
  <c r="I1550" i="1"/>
  <c r="I1551" i="1"/>
  <c r="I1552" i="1"/>
  <c r="I1553" i="1"/>
  <c r="T1553" i="1" s="1"/>
  <c r="I1554" i="1"/>
  <c r="T1554" i="1" s="1"/>
  <c r="I1555" i="1"/>
  <c r="I1556" i="1"/>
  <c r="I1557" i="1"/>
  <c r="I1558" i="1"/>
  <c r="I1559" i="1"/>
  <c r="I1560" i="1"/>
  <c r="I1561" i="1"/>
  <c r="T1561" i="1" s="1"/>
  <c r="I1562" i="1"/>
  <c r="T1562" i="1" s="1"/>
  <c r="I1563" i="1"/>
  <c r="I1564" i="1"/>
  <c r="T1564" i="1" s="1"/>
  <c r="I1565" i="1"/>
  <c r="I1566" i="1"/>
  <c r="I1567" i="1"/>
  <c r="I1568" i="1"/>
  <c r="I1569" i="1"/>
  <c r="T1569" i="1" s="1"/>
  <c r="I1570" i="1"/>
  <c r="T1570" i="1" s="1"/>
  <c r="I1571" i="1"/>
  <c r="T1571" i="1" s="1"/>
  <c r="I1572" i="1"/>
  <c r="T1572" i="1" s="1"/>
  <c r="I1573" i="1"/>
  <c r="I1574" i="1"/>
  <c r="I1575" i="1"/>
  <c r="I1576" i="1"/>
  <c r="I1577" i="1"/>
  <c r="T1577" i="1" s="1"/>
  <c r="I1578" i="1"/>
  <c r="T1578" i="1" s="1"/>
  <c r="I1579" i="1"/>
  <c r="I1580" i="1"/>
  <c r="T1580" i="1" s="1"/>
  <c r="I1581" i="1"/>
  <c r="I1582" i="1"/>
  <c r="I1583" i="1"/>
  <c r="I1584" i="1"/>
  <c r="I1585" i="1"/>
  <c r="T1585" i="1" s="1"/>
  <c r="I1586" i="1"/>
  <c r="T1586" i="1" s="1"/>
  <c r="I1587" i="1"/>
  <c r="I1588" i="1"/>
  <c r="T1588" i="1" s="1"/>
  <c r="I1589" i="1"/>
  <c r="I1590" i="1"/>
  <c r="I1591" i="1"/>
  <c r="I1592" i="1"/>
  <c r="T1592" i="1" s="1"/>
  <c r="I1593" i="1"/>
  <c r="T1593" i="1" s="1"/>
  <c r="I1594" i="1"/>
  <c r="T1594" i="1" s="1"/>
  <c r="I1595" i="1"/>
  <c r="T1595" i="1" s="1"/>
  <c r="I1596" i="1"/>
  <c r="T1596" i="1" s="1"/>
  <c r="I1597" i="1"/>
  <c r="T1597" i="1" s="1"/>
  <c r="I1598" i="1"/>
  <c r="T1598" i="1" s="1"/>
  <c r="I1599" i="1"/>
  <c r="T1599" i="1" s="1"/>
  <c r="I1600" i="1"/>
  <c r="T1600" i="1" s="1"/>
  <c r="I1601" i="1"/>
  <c r="T1601" i="1" s="1"/>
  <c r="I1602" i="1"/>
  <c r="T1602" i="1" s="1"/>
  <c r="I1603" i="1"/>
  <c r="T1603" i="1" s="1"/>
  <c r="I1604" i="1"/>
  <c r="T1604" i="1" s="1"/>
  <c r="I1605" i="1"/>
  <c r="T1605" i="1" s="1"/>
  <c r="I1606" i="1"/>
  <c r="I1607" i="1"/>
  <c r="T1607" i="1" s="1"/>
  <c r="I1608" i="1"/>
  <c r="I1609" i="1"/>
  <c r="T1609" i="1" s="1"/>
  <c r="I1610" i="1"/>
  <c r="T1610" i="1" s="1"/>
  <c r="I1611" i="1"/>
  <c r="T1611" i="1" s="1"/>
  <c r="I1612" i="1"/>
  <c r="T1612" i="1" s="1"/>
  <c r="I1613" i="1"/>
  <c r="T1613" i="1" s="1"/>
  <c r="I1614" i="1"/>
  <c r="T1614" i="1" s="1"/>
  <c r="I1615" i="1"/>
  <c r="I1616" i="1"/>
  <c r="I1617" i="1"/>
  <c r="T1617" i="1" s="1"/>
  <c r="I1618" i="1"/>
  <c r="T1618" i="1" s="1"/>
  <c r="I1619" i="1"/>
  <c r="T1619" i="1" s="1"/>
  <c r="I1620" i="1"/>
  <c r="T1620" i="1" s="1"/>
  <c r="I1621" i="1"/>
  <c r="T1621" i="1" s="1"/>
  <c r="I1622" i="1"/>
  <c r="I1623" i="1"/>
  <c r="I1624" i="1"/>
  <c r="I1625" i="1"/>
  <c r="T1625" i="1" s="1"/>
  <c r="I1626" i="1"/>
  <c r="T1626" i="1" s="1"/>
  <c r="I1627" i="1"/>
  <c r="T1627" i="1" s="1"/>
  <c r="I1628" i="1"/>
  <c r="T1628" i="1" s="1"/>
  <c r="I1629" i="1"/>
  <c r="T1629" i="1" s="1"/>
  <c r="I1630" i="1"/>
  <c r="I1631" i="1"/>
  <c r="I1632" i="1"/>
  <c r="I1633" i="1"/>
  <c r="T1633" i="1" s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06" i="1"/>
  <c r="T206" i="1" s="1"/>
  <c r="I207" i="1"/>
  <c r="I208" i="1"/>
  <c r="I209" i="1"/>
  <c r="I210" i="1"/>
  <c r="I211" i="1"/>
  <c r="I212" i="1"/>
  <c r="I213" i="1"/>
  <c r="I214" i="1"/>
  <c r="I215" i="1"/>
  <c r="I216" i="1"/>
  <c r="T216" i="1" s="1"/>
  <c r="I217" i="1"/>
  <c r="I218" i="1"/>
  <c r="I219" i="1"/>
  <c r="I220" i="1"/>
  <c r="I221" i="1"/>
  <c r="I222" i="1"/>
  <c r="I223" i="1"/>
  <c r="I224" i="1"/>
  <c r="I225" i="1"/>
  <c r="I226" i="1"/>
  <c r="I227" i="1"/>
  <c r="I185" i="1"/>
  <c r="I186" i="1"/>
  <c r="I187" i="1"/>
  <c r="I188" i="1"/>
  <c r="I189" i="1"/>
  <c r="I190" i="1"/>
  <c r="I191" i="1"/>
  <c r="I192" i="1"/>
  <c r="T192" i="1" s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182" i="1"/>
  <c r="I183" i="1"/>
  <c r="I184" i="1"/>
  <c r="I163" i="1"/>
  <c r="I164" i="1"/>
  <c r="I165" i="1"/>
  <c r="I166" i="1"/>
  <c r="I167" i="1"/>
  <c r="I168" i="1"/>
  <c r="I169" i="1"/>
  <c r="I170" i="1"/>
  <c r="I171" i="1"/>
  <c r="I172" i="1"/>
  <c r="T172" i="1" s="1"/>
  <c r="I173" i="1"/>
  <c r="I174" i="1"/>
  <c r="I175" i="1"/>
  <c r="I176" i="1"/>
  <c r="I177" i="1"/>
  <c r="I178" i="1"/>
  <c r="I179" i="1"/>
  <c r="I180" i="1"/>
  <c r="I181" i="1"/>
  <c r="I150" i="1"/>
  <c r="I151" i="1"/>
  <c r="I152" i="1"/>
  <c r="I153" i="1"/>
  <c r="I154" i="1"/>
  <c r="I155" i="1"/>
  <c r="I156" i="1"/>
  <c r="I157" i="1"/>
  <c r="I158" i="1"/>
  <c r="I159" i="1"/>
  <c r="I160" i="1"/>
  <c r="T160" i="1" s="1"/>
  <c r="I161" i="1"/>
  <c r="I162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T146" i="1" s="1"/>
  <c r="I147" i="1"/>
  <c r="T147" i="1" s="1"/>
  <c r="I148" i="1"/>
  <c r="I149" i="1"/>
  <c r="I115" i="1"/>
  <c r="I116" i="1"/>
  <c r="I117" i="1"/>
  <c r="I118" i="1"/>
  <c r="I119" i="1"/>
  <c r="I120" i="1"/>
  <c r="T120" i="1" s="1"/>
  <c r="I121" i="1"/>
  <c r="T121" i="1" s="1"/>
  <c r="I122" i="1"/>
  <c r="I123" i="1"/>
  <c r="I124" i="1"/>
  <c r="I125" i="1"/>
  <c r="I126" i="1"/>
  <c r="I127" i="1"/>
  <c r="T127" i="1" s="1"/>
  <c r="I128" i="1"/>
  <c r="I129" i="1"/>
  <c r="T129" i="1" s="1"/>
  <c r="I130" i="1"/>
  <c r="I131" i="1"/>
  <c r="I103" i="1"/>
  <c r="I104" i="1"/>
  <c r="I105" i="1"/>
  <c r="T105" i="1" s="1"/>
  <c r="I106" i="1"/>
  <c r="T106" i="1" s="1"/>
  <c r="I107" i="1"/>
  <c r="I108" i="1"/>
  <c r="I109" i="1"/>
  <c r="I110" i="1"/>
  <c r="I111" i="1"/>
  <c r="I112" i="1"/>
  <c r="I113" i="1"/>
  <c r="I114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62" i="1"/>
  <c r="I63" i="1"/>
  <c r="I64" i="1"/>
  <c r="I65" i="1"/>
  <c r="I66" i="1"/>
  <c r="T66" i="1" s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7" i="1"/>
  <c r="I8" i="1"/>
  <c r="I9" i="1"/>
  <c r="I10" i="1"/>
  <c r="I11" i="1"/>
  <c r="I12" i="1"/>
  <c r="I13" i="1"/>
  <c r="I14" i="1"/>
  <c r="I15" i="1"/>
  <c r="I16" i="1"/>
  <c r="I17" i="1"/>
  <c r="T17" i="1" s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" i="1"/>
  <c r="I4" i="1"/>
  <c r="I5" i="1"/>
  <c r="I6" i="1"/>
  <c r="I2" i="1"/>
  <c r="T2" i="1" s="1"/>
  <c r="T6" i="1" l="1"/>
  <c r="U6" i="1" s="1"/>
  <c r="T45" i="1"/>
  <c r="U45" i="1" s="1"/>
  <c r="T100" i="1"/>
  <c r="U100" i="1" s="1"/>
  <c r="T60" i="1"/>
  <c r="U60" i="1" s="1"/>
  <c r="T91" i="1"/>
  <c r="U91" i="1" s="1"/>
  <c r="T18" i="1"/>
  <c r="U18" i="1" s="1"/>
  <c r="T49" i="1"/>
  <c r="U49" i="1" s="1"/>
  <c r="T88" i="1"/>
  <c r="U88" i="1" s="1"/>
  <c r="T114" i="1"/>
  <c r="U114" i="1" s="1"/>
  <c r="T119" i="1"/>
  <c r="U119" i="1" s="1"/>
  <c r="T153" i="1"/>
  <c r="U153" i="1" s="1"/>
  <c r="T199" i="1"/>
  <c r="U199" i="1" s="1"/>
  <c r="T210" i="1"/>
  <c r="U210" i="1" s="1"/>
  <c r="T267" i="1"/>
  <c r="U267" i="1" s="1"/>
  <c r="T1582" i="1"/>
  <c r="U1582" i="1" s="1"/>
  <c r="T1566" i="1"/>
  <c r="U1566" i="1" s="1"/>
  <c r="T1558" i="1"/>
  <c r="U1558" i="1" s="1"/>
  <c r="T1550" i="1"/>
  <c r="U1550" i="1" s="1"/>
  <c r="T1542" i="1"/>
  <c r="U1542" i="1" s="1"/>
  <c r="T1534" i="1"/>
  <c r="U1534" i="1" s="1"/>
  <c r="T1526" i="1"/>
  <c r="U1526" i="1" s="1"/>
  <c r="T1510" i="1"/>
  <c r="U1510" i="1" s="1"/>
  <c r="T1494" i="1"/>
  <c r="U1494" i="1" s="1"/>
  <c r="T1486" i="1"/>
  <c r="U1486" i="1" s="1"/>
  <c r="T1478" i="1"/>
  <c r="U1478" i="1" s="1"/>
  <c r="T1470" i="1"/>
  <c r="U1470" i="1" s="1"/>
  <c r="T1462" i="1"/>
  <c r="U1462" i="1" s="1"/>
  <c r="T1454" i="1"/>
  <c r="U1454" i="1" s="1"/>
  <c r="T1446" i="1"/>
  <c r="U1446" i="1" s="1"/>
  <c r="T1438" i="1"/>
  <c r="U1438" i="1" s="1"/>
  <c r="T1430" i="1"/>
  <c r="U1430" i="1" s="1"/>
  <c r="T1422" i="1"/>
  <c r="U1422" i="1" s="1"/>
  <c r="T1406" i="1"/>
  <c r="U1406" i="1" s="1"/>
  <c r="T1398" i="1"/>
  <c r="U1398" i="1" s="1"/>
  <c r="T1390" i="1"/>
  <c r="U1390" i="1" s="1"/>
  <c r="T1382" i="1"/>
  <c r="U1382" i="1" s="1"/>
  <c r="T1374" i="1"/>
  <c r="U1374" i="1" s="1"/>
  <c r="T1358" i="1"/>
  <c r="U1358" i="1" s="1"/>
  <c r="T1350" i="1"/>
  <c r="U1350" i="1" s="1"/>
  <c r="T1342" i="1"/>
  <c r="U1342" i="1" s="1"/>
  <c r="T1334" i="1"/>
  <c r="U1334" i="1" s="1"/>
  <c r="T1326" i="1"/>
  <c r="U1326" i="1" s="1"/>
  <c r="T1318" i="1"/>
  <c r="U1318" i="1" s="1"/>
  <c r="T1310" i="1"/>
  <c r="U1310" i="1" s="1"/>
  <c r="T1294" i="1"/>
  <c r="U1294" i="1" s="1"/>
  <c r="T1286" i="1"/>
  <c r="U1286" i="1" s="1"/>
  <c r="T1278" i="1"/>
  <c r="U1278" i="1" s="1"/>
  <c r="T1270" i="1"/>
  <c r="U1270" i="1" s="1"/>
  <c r="T1262" i="1"/>
  <c r="U1262" i="1" s="1"/>
  <c r="T1254" i="1"/>
  <c r="U1254" i="1" s="1"/>
  <c r="T1246" i="1"/>
  <c r="U1246" i="1" s="1"/>
  <c r="T1238" i="1"/>
  <c r="U1238" i="1" s="1"/>
  <c r="T1230" i="1"/>
  <c r="U1230" i="1" s="1"/>
  <c r="T1222" i="1"/>
  <c r="U1222" i="1" s="1"/>
  <c r="T1206" i="1"/>
  <c r="U1206" i="1" s="1"/>
  <c r="T1198" i="1"/>
  <c r="U1198" i="1" s="1"/>
  <c r="T1190" i="1"/>
  <c r="U1190" i="1" s="1"/>
  <c r="T1182" i="1"/>
  <c r="U1182" i="1" s="1"/>
  <c r="T1174" i="1"/>
  <c r="U1174" i="1" s="1"/>
  <c r="T1166" i="1"/>
  <c r="U1166" i="1" s="1"/>
  <c r="T1158" i="1"/>
  <c r="U1158" i="1" s="1"/>
  <c r="T1150" i="1"/>
  <c r="U1150" i="1" s="1"/>
  <c r="T1142" i="1"/>
  <c r="U1142" i="1" s="1"/>
  <c r="T1134" i="1"/>
  <c r="U1134" i="1" s="1"/>
  <c r="T1126" i="1"/>
  <c r="U1126" i="1" s="1"/>
  <c r="T1118" i="1"/>
  <c r="U1118" i="1" s="1"/>
  <c r="T1110" i="1"/>
  <c r="U1110" i="1" s="1"/>
  <c r="T1102" i="1"/>
  <c r="U1102" i="1" s="1"/>
  <c r="T1094" i="1"/>
  <c r="U1094" i="1" s="1"/>
  <c r="T1086" i="1"/>
  <c r="U1086" i="1" s="1"/>
  <c r="T1070" i="1"/>
  <c r="U1070" i="1" s="1"/>
  <c r="T1062" i="1"/>
  <c r="U1062" i="1" s="1"/>
  <c r="T1054" i="1"/>
  <c r="U1054" i="1" s="1"/>
  <c r="T1046" i="1"/>
  <c r="U1046" i="1" s="1"/>
  <c r="T1038" i="1"/>
  <c r="U1038" i="1" s="1"/>
  <c r="T1030" i="1"/>
  <c r="U1030" i="1" s="1"/>
  <c r="T1022" i="1"/>
  <c r="U1022" i="1" s="1"/>
  <c r="T1014" i="1"/>
  <c r="U1014" i="1" s="1"/>
  <c r="T1006" i="1"/>
  <c r="U1006" i="1" s="1"/>
  <c r="T998" i="1"/>
  <c r="U998" i="1" s="1"/>
  <c r="T990" i="1"/>
  <c r="U990" i="1" s="1"/>
  <c r="T982" i="1"/>
  <c r="U982" i="1" s="1"/>
  <c r="T974" i="1"/>
  <c r="U974" i="1" s="1"/>
  <c r="T966" i="1"/>
  <c r="U966" i="1" s="1"/>
  <c r="T958" i="1"/>
  <c r="U958" i="1" s="1"/>
  <c r="T950" i="1"/>
  <c r="U950" i="1" s="1"/>
  <c r="T942" i="1"/>
  <c r="U942" i="1" s="1"/>
  <c r="T934" i="1"/>
  <c r="U934" i="1" s="1"/>
  <c r="T918" i="1"/>
  <c r="U918" i="1" s="1"/>
  <c r="T902" i="1"/>
  <c r="U902" i="1" s="1"/>
  <c r="T894" i="1"/>
  <c r="U894" i="1" s="1"/>
  <c r="T886" i="1"/>
  <c r="U886" i="1" s="1"/>
  <c r="T878" i="1"/>
  <c r="U878" i="1" s="1"/>
  <c r="T870" i="1"/>
  <c r="U870" i="1" s="1"/>
  <c r="T862" i="1"/>
  <c r="U862" i="1" s="1"/>
  <c r="T854" i="1"/>
  <c r="U854" i="1" s="1"/>
  <c r="T846" i="1"/>
  <c r="U846" i="1" s="1"/>
  <c r="T838" i="1"/>
  <c r="U838" i="1" s="1"/>
  <c r="T830" i="1"/>
  <c r="U830" i="1" s="1"/>
  <c r="T822" i="1"/>
  <c r="U822" i="1" s="1"/>
  <c r="T814" i="1"/>
  <c r="U814" i="1" s="1"/>
  <c r="T806" i="1"/>
  <c r="U806" i="1" s="1"/>
  <c r="T790" i="1"/>
  <c r="U790" i="1" s="1"/>
  <c r="T22" i="1"/>
  <c r="U22" i="1" s="1"/>
  <c r="T37" i="1"/>
  <c r="U37" i="1" s="1"/>
  <c r="T149" i="1"/>
  <c r="U149" i="1" s="1"/>
  <c r="T10" i="1"/>
  <c r="U10" i="1" s="1"/>
  <c r="T79" i="1"/>
  <c r="U79" i="1" s="1"/>
  <c r="T96" i="1"/>
  <c r="U96" i="1" s="1"/>
  <c r="T177" i="1"/>
  <c r="U177" i="1" s="1"/>
  <c r="T191" i="1"/>
  <c r="U191" i="1" s="1"/>
  <c r="T236" i="1"/>
  <c r="U236" i="1" s="1"/>
  <c r="T259" i="1"/>
  <c r="U259" i="1" s="1"/>
  <c r="T1622" i="1"/>
  <c r="U1622" i="1" s="1"/>
  <c r="T1606" i="1"/>
  <c r="U1606" i="1" s="1"/>
  <c r="T1590" i="1"/>
  <c r="U1590" i="1" s="1"/>
  <c r="T33" i="1"/>
  <c r="U33" i="1" s="1"/>
  <c r="T25" i="1"/>
  <c r="U25" i="1" s="1"/>
  <c r="T9" i="1"/>
  <c r="U9" i="1" s="1"/>
  <c r="T48" i="1"/>
  <c r="U48" i="1" s="1"/>
  <c r="T78" i="1"/>
  <c r="U78" i="1" s="1"/>
  <c r="T62" i="1"/>
  <c r="U62" i="1" s="1"/>
  <c r="T87" i="1"/>
  <c r="U87" i="1" s="1"/>
  <c r="T113" i="1"/>
  <c r="U113" i="1" s="1"/>
  <c r="T126" i="1"/>
  <c r="U126" i="1" s="1"/>
  <c r="T145" i="1"/>
  <c r="U145" i="1" s="1"/>
  <c r="T137" i="1"/>
  <c r="U137" i="1" s="1"/>
  <c r="T152" i="1"/>
  <c r="U152" i="1" s="1"/>
  <c r="T168" i="1"/>
  <c r="U168" i="1" s="1"/>
  <c r="T198" i="1"/>
  <c r="U198" i="1" s="1"/>
  <c r="T190" i="1"/>
  <c r="U190" i="1" s="1"/>
  <c r="T225" i="1"/>
  <c r="U225" i="1" s="1"/>
  <c r="T217" i="1"/>
  <c r="U217" i="1" s="1"/>
  <c r="T209" i="1"/>
  <c r="U209" i="1" s="1"/>
  <c r="T235" i="1"/>
  <c r="U235" i="1" s="1"/>
  <c r="T254" i="1"/>
  <c r="U254" i="1" s="1"/>
  <c r="T246" i="1"/>
  <c r="U246" i="1" s="1"/>
  <c r="T266" i="1"/>
  <c r="U266" i="1" s="1"/>
  <c r="T258" i="1"/>
  <c r="U258" i="1" s="1"/>
  <c r="T1589" i="1"/>
  <c r="U1589" i="1" s="1"/>
  <c r="T1581" i="1"/>
  <c r="U1581" i="1" s="1"/>
  <c r="T1573" i="1"/>
  <c r="U1573" i="1" s="1"/>
  <c r="T1565" i="1"/>
  <c r="U1565" i="1" s="1"/>
  <c r="T1557" i="1"/>
  <c r="U1557" i="1" s="1"/>
  <c r="T1541" i="1"/>
  <c r="U1541" i="1" s="1"/>
  <c r="T1533" i="1"/>
  <c r="U1533" i="1" s="1"/>
  <c r="T1525" i="1"/>
  <c r="U1525" i="1" s="1"/>
  <c r="T1517" i="1"/>
  <c r="U1517" i="1" s="1"/>
  <c r="T1509" i="1"/>
  <c r="U1509" i="1" s="1"/>
  <c r="T1493" i="1"/>
  <c r="U1493" i="1" s="1"/>
  <c r="T1485" i="1"/>
  <c r="U1485" i="1" s="1"/>
  <c r="T1477" i="1"/>
  <c r="U1477" i="1" s="1"/>
  <c r="T1469" i="1"/>
  <c r="U1469" i="1" s="1"/>
  <c r="T1453" i="1"/>
  <c r="U1453" i="1" s="1"/>
  <c r="T1445" i="1"/>
  <c r="U1445" i="1" s="1"/>
  <c r="T1429" i="1"/>
  <c r="U1429" i="1" s="1"/>
  <c r="T1421" i="1"/>
  <c r="U1421" i="1" s="1"/>
  <c r="T1413" i="1"/>
  <c r="U1413" i="1" s="1"/>
  <c r="T1405" i="1"/>
  <c r="U1405" i="1" s="1"/>
  <c r="T1397" i="1"/>
  <c r="U1397" i="1" s="1"/>
  <c r="T1389" i="1"/>
  <c r="U1389" i="1" s="1"/>
  <c r="T1381" i="1"/>
  <c r="U1381" i="1" s="1"/>
  <c r="T1373" i="1"/>
  <c r="U1373" i="1" s="1"/>
  <c r="T1365" i="1"/>
  <c r="U1365" i="1" s="1"/>
  <c r="T1357" i="1"/>
  <c r="U1357" i="1" s="1"/>
  <c r="T1349" i="1"/>
  <c r="U1349" i="1" s="1"/>
  <c r="T1341" i="1"/>
  <c r="U1341" i="1" s="1"/>
  <c r="T1333" i="1"/>
  <c r="U1333" i="1" s="1"/>
  <c r="T1325" i="1"/>
  <c r="U1325" i="1" s="1"/>
  <c r="T1317" i="1"/>
  <c r="U1317" i="1" s="1"/>
  <c r="T1301" i="1"/>
  <c r="U1301" i="1" s="1"/>
  <c r="T1293" i="1"/>
  <c r="U1293" i="1" s="1"/>
  <c r="T1285" i="1"/>
  <c r="U1285" i="1" s="1"/>
  <c r="T1277" i="1"/>
  <c r="U1277" i="1" s="1"/>
  <c r="T1269" i="1"/>
  <c r="U1269" i="1" s="1"/>
  <c r="T1261" i="1"/>
  <c r="U1261" i="1" s="1"/>
  <c r="T1253" i="1"/>
  <c r="U1253" i="1" s="1"/>
  <c r="T1245" i="1"/>
  <c r="U1245" i="1" s="1"/>
  <c r="T1237" i="1"/>
  <c r="U1237" i="1" s="1"/>
  <c r="T1221" i="1"/>
  <c r="U1221" i="1" s="1"/>
  <c r="T1197" i="1"/>
  <c r="U1197" i="1" s="1"/>
  <c r="T1189" i="1"/>
  <c r="U1189" i="1" s="1"/>
  <c r="T1181" i="1"/>
  <c r="U1181" i="1" s="1"/>
  <c r="T1173" i="1"/>
  <c r="U1173" i="1" s="1"/>
  <c r="T1165" i="1"/>
  <c r="U1165" i="1" s="1"/>
  <c r="T1157" i="1"/>
  <c r="U1157" i="1" s="1"/>
  <c r="T1149" i="1"/>
  <c r="U1149" i="1" s="1"/>
  <c r="T1141" i="1"/>
  <c r="U1141" i="1" s="1"/>
  <c r="T1133" i="1"/>
  <c r="U1133" i="1" s="1"/>
  <c r="T1125" i="1"/>
  <c r="U1125" i="1" s="1"/>
  <c r="T1117" i="1"/>
  <c r="U1117" i="1" s="1"/>
  <c r="T1109" i="1"/>
  <c r="U1109" i="1" s="1"/>
  <c r="T1101" i="1"/>
  <c r="U1101" i="1" s="1"/>
  <c r="T1093" i="1"/>
  <c r="U1093" i="1" s="1"/>
  <c r="T1085" i="1"/>
  <c r="U1085" i="1" s="1"/>
  <c r="T1077" i="1"/>
  <c r="U1077" i="1" s="1"/>
  <c r="T1069" i="1"/>
  <c r="U1069" i="1" s="1"/>
  <c r="T1061" i="1"/>
  <c r="U1061" i="1" s="1"/>
  <c r="T1053" i="1"/>
  <c r="U1053" i="1" s="1"/>
  <c r="T1045" i="1"/>
  <c r="U1045" i="1" s="1"/>
  <c r="T1037" i="1"/>
  <c r="U1037" i="1" s="1"/>
  <c r="T13" i="1"/>
  <c r="U13" i="1" s="1"/>
  <c r="T99" i="1"/>
  <c r="U99" i="1" s="1"/>
  <c r="T34" i="1"/>
  <c r="U34" i="1" s="1"/>
  <c r="T57" i="1"/>
  <c r="U57" i="1" s="1"/>
  <c r="T71" i="1"/>
  <c r="U71" i="1" s="1"/>
  <c r="T138" i="1"/>
  <c r="U138" i="1" s="1"/>
  <c r="T169" i="1"/>
  <c r="U169" i="1" s="1"/>
  <c r="T226" i="1"/>
  <c r="U226" i="1" s="1"/>
  <c r="T228" i="1"/>
  <c r="U228" i="1" s="1"/>
  <c r="T1630" i="1"/>
  <c r="U1630" i="1" s="1"/>
  <c r="T1574" i="1"/>
  <c r="U1574" i="1" s="1"/>
  <c r="T56" i="1"/>
  <c r="U56" i="1" s="1"/>
  <c r="T40" i="1"/>
  <c r="U40" i="1" s="1"/>
  <c r="T70" i="1"/>
  <c r="U70" i="1" s="1"/>
  <c r="T95" i="1"/>
  <c r="U95" i="1" s="1"/>
  <c r="T118" i="1"/>
  <c r="U118" i="1" s="1"/>
  <c r="T176" i="1"/>
  <c r="U176" i="1" s="1"/>
  <c r="T182" i="1"/>
  <c r="U182" i="1" s="1"/>
  <c r="T32" i="1"/>
  <c r="U32" i="1" s="1"/>
  <c r="T24" i="1"/>
  <c r="U24" i="1" s="1"/>
  <c r="T16" i="1"/>
  <c r="U16" i="1" s="1"/>
  <c r="T8" i="1"/>
  <c r="U8" i="1" s="1"/>
  <c r="T55" i="1"/>
  <c r="U55" i="1" s="1"/>
  <c r="T47" i="1"/>
  <c r="U47" i="1" s="1"/>
  <c r="T39" i="1"/>
  <c r="U39" i="1" s="1"/>
  <c r="T77" i="1"/>
  <c r="U77" i="1" s="1"/>
  <c r="T69" i="1"/>
  <c r="U69" i="1" s="1"/>
  <c r="T102" i="1"/>
  <c r="U102" i="1" s="1"/>
  <c r="T94" i="1"/>
  <c r="U94" i="1" s="1"/>
  <c r="T86" i="1"/>
  <c r="U86" i="1" s="1"/>
  <c r="T112" i="1"/>
  <c r="U112" i="1" s="1"/>
  <c r="T104" i="1"/>
  <c r="U104" i="1" s="1"/>
  <c r="T125" i="1"/>
  <c r="U125" i="1" s="1"/>
  <c r="T117" i="1"/>
  <c r="U117" i="1" s="1"/>
  <c r="T144" i="1"/>
  <c r="U144" i="1" s="1"/>
  <c r="T136" i="1"/>
  <c r="U136" i="1" s="1"/>
  <c r="T159" i="1"/>
  <c r="U159" i="1" s="1"/>
  <c r="T151" i="1"/>
  <c r="U151" i="1" s="1"/>
  <c r="T175" i="1"/>
  <c r="U175" i="1" s="1"/>
  <c r="T167" i="1"/>
  <c r="U167" i="1" s="1"/>
  <c r="T205" i="1"/>
  <c r="U205" i="1" s="1"/>
  <c r="T197" i="1"/>
  <c r="U197" i="1" s="1"/>
  <c r="T189" i="1"/>
  <c r="U189" i="1" s="1"/>
  <c r="T224" i="1"/>
  <c r="U224" i="1" s="1"/>
  <c r="T208" i="1"/>
  <c r="U208" i="1" s="1"/>
  <c r="T234" i="1"/>
  <c r="U234" i="1" s="1"/>
  <c r="T253" i="1"/>
  <c r="U253" i="1" s="1"/>
  <c r="T245" i="1"/>
  <c r="U245" i="1" s="1"/>
  <c r="T265" i="1"/>
  <c r="U265" i="1" s="1"/>
  <c r="T257" i="1"/>
  <c r="U257" i="1" s="1"/>
  <c r="T1556" i="1"/>
  <c r="U1556" i="1" s="1"/>
  <c r="T1548" i="1"/>
  <c r="U1548" i="1" s="1"/>
  <c r="T1540" i="1"/>
  <c r="U1540" i="1" s="1"/>
  <c r="T1532" i="1"/>
  <c r="U1532" i="1" s="1"/>
  <c r="T1524" i="1"/>
  <c r="U1524" i="1" s="1"/>
  <c r="T1516" i="1"/>
  <c r="U1516" i="1" s="1"/>
  <c r="T1508" i="1"/>
  <c r="U1508" i="1" s="1"/>
  <c r="T1500" i="1"/>
  <c r="U1500" i="1" s="1"/>
  <c r="T1492" i="1"/>
  <c r="U1492" i="1" s="1"/>
  <c r="T1484" i="1"/>
  <c r="U1484" i="1" s="1"/>
  <c r="T1476" i="1"/>
  <c r="U1476" i="1" s="1"/>
  <c r="T1468" i="1"/>
  <c r="U1468" i="1" s="1"/>
  <c r="T1460" i="1"/>
  <c r="U1460" i="1" s="1"/>
  <c r="T1452" i="1"/>
  <c r="U1452" i="1" s="1"/>
  <c r="T1444" i="1"/>
  <c r="U1444" i="1" s="1"/>
  <c r="T1436" i="1"/>
  <c r="U1436" i="1" s="1"/>
  <c r="T1404" i="1"/>
  <c r="U1404" i="1" s="1"/>
  <c r="T1396" i="1"/>
  <c r="U1396" i="1" s="1"/>
  <c r="T1388" i="1"/>
  <c r="U1388" i="1" s="1"/>
  <c r="T1380" i="1"/>
  <c r="U1380" i="1" s="1"/>
  <c r="T1372" i="1"/>
  <c r="U1372" i="1" s="1"/>
  <c r="T1364" i="1"/>
  <c r="U1364" i="1" s="1"/>
  <c r="T1356" i="1"/>
  <c r="U1356" i="1" s="1"/>
  <c r="T1348" i="1"/>
  <c r="U1348" i="1" s="1"/>
  <c r="T1332" i="1"/>
  <c r="U1332" i="1" s="1"/>
  <c r="T1324" i="1"/>
  <c r="U1324" i="1" s="1"/>
  <c r="T1316" i="1"/>
  <c r="U1316" i="1" s="1"/>
  <c r="T1308" i="1"/>
  <c r="U1308" i="1" s="1"/>
  <c r="T1300" i="1"/>
  <c r="U1300" i="1" s="1"/>
  <c r="T1292" i="1"/>
  <c r="U1292" i="1" s="1"/>
  <c r="T1284" i="1"/>
  <c r="U1284" i="1" s="1"/>
  <c r="T1276" i="1"/>
  <c r="U1276" i="1" s="1"/>
  <c r="T1268" i="1"/>
  <c r="U1268" i="1" s="1"/>
  <c r="T1260" i="1"/>
  <c r="U1260" i="1" s="1"/>
  <c r="T1252" i="1"/>
  <c r="U1252" i="1" s="1"/>
  <c r="T1244" i="1"/>
  <c r="U1244" i="1" s="1"/>
  <c r="T1236" i="1"/>
  <c r="U1236" i="1" s="1"/>
  <c r="T1228" i="1"/>
  <c r="U1228" i="1" s="1"/>
  <c r="T1204" i="1"/>
  <c r="U1204" i="1" s="1"/>
  <c r="T1196" i="1"/>
  <c r="U1196" i="1" s="1"/>
  <c r="T1188" i="1"/>
  <c r="U1188" i="1" s="1"/>
  <c r="T1180" i="1"/>
  <c r="U1180" i="1" s="1"/>
  <c r="T53" i="1"/>
  <c r="U53" i="1" s="1"/>
  <c r="T5" i="1"/>
  <c r="U5" i="1" s="1"/>
  <c r="T52" i="1"/>
  <c r="U52" i="1" s="1"/>
  <c r="T83" i="1"/>
  <c r="U83" i="1" s="1"/>
  <c r="T26" i="1"/>
  <c r="U26" i="1" s="1"/>
  <c r="T41" i="1"/>
  <c r="U41" i="1" s="1"/>
  <c r="T63" i="1"/>
  <c r="U63" i="1" s="1"/>
  <c r="T161" i="1"/>
  <c r="U161" i="1" s="1"/>
  <c r="T183" i="1"/>
  <c r="U183" i="1" s="1"/>
  <c r="T218" i="1"/>
  <c r="U218" i="1" s="1"/>
  <c r="T247" i="1"/>
  <c r="U247" i="1" s="1"/>
  <c r="T31" i="1"/>
  <c r="U31" i="1" s="1"/>
  <c r="T23" i="1"/>
  <c r="U23" i="1" s="1"/>
  <c r="T15" i="1"/>
  <c r="U15" i="1" s="1"/>
  <c r="T7" i="1"/>
  <c r="U7" i="1" s="1"/>
  <c r="T54" i="1"/>
  <c r="U54" i="1" s="1"/>
  <c r="T46" i="1"/>
  <c r="U46" i="1" s="1"/>
  <c r="T38" i="1"/>
  <c r="U38" i="1" s="1"/>
  <c r="T76" i="1"/>
  <c r="U76" i="1" s="1"/>
  <c r="T68" i="1"/>
  <c r="U68" i="1" s="1"/>
  <c r="T101" i="1"/>
  <c r="U101" i="1" s="1"/>
  <c r="T93" i="1"/>
  <c r="U93" i="1" s="1"/>
  <c r="T85" i="1"/>
  <c r="U85" i="1" s="1"/>
  <c r="T111" i="1"/>
  <c r="U111" i="1" s="1"/>
  <c r="T103" i="1"/>
  <c r="U103" i="1" s="1"/>
  <c r="T124" i="1"/>
  <c r="U124" i="1" s="1"/>
  <c r="T116" i="1"/>
  <c r="U116" i="1" s="1"/>
  <c r="T143" i="1"/>
  <c r="U143" i="1" s="1"/>
  <c r="T135" i="1"/>
  <c r="U135" i="1" s="1"/>
  <c r="T158" i="1"/>
  <c r="U158" i="1" s="1"/>
  <c r="T150" i="1"/>
  <c r="U150" i="1" s="1"/>
  <c r="T174" i="1"/>
  <c r="U174" i="1" s="1"/>
  <c r="T166" i="1"/>
  <c r="U166" i="1" s="1"/>
  <c r="T204" i="1"/>
  <c r="U204" i="1" s="1"/>
  <c r="T196" i="1"/>
  <c r="U196" i="1" s="1"/>
  <c r="T188" i="1"/>
  <c r="U188" i="1" s="1"/>
  <c r="T223" i="1"/>
  <c r="U223" i="1" s="1"/>
  <c r="T215" i="1"/>
  <c r="U215" i="1" s="1"/>
  <c r="T207" i="1"/>
  <c r="U207" i="1" s="1"/>
  <c r="T233" i="1"/>
  <c r="U233" i="1" s="1"/>
  <c r="T252" i="1"/>
  <c r="U252" i="1" s="1"/>
  <c r="T244" i="1"/>
  <c r="U244" i="1" s="1"/>
  <c r="T264" i="1"/>
  <c r="U264" i="1" s="1"/>
  <c r="T256" i="1"/>
  <c r="U256" i="1" s="1"/>
  <c r="T1587" i="1"/>
  <c r="U1587" i="1" s="1"/>
  <c r="T1579" i="1"/>
  <c r="U1579" i="1" s="1"/>
  <c r="T1563" i="1"/>
  <c r="U1563" i="1" s="1"/>
  <c r="T1555" i="1"/>
  <c r="U1555" i="1" s="1"/>
  <c r="T1547" i="1"/>
  <c r="U1547" i="1" s="1"/>
  <c r="T1539" i="1"/>
  <c r="U1539" i="1" s="1"/>
  <c r="T1531" i="1"/>
  <c r="U1531" i="1" s="1"/>
  <c r="T1523" i="1"/>
  <c r="U1523" i="1" s="1"/>
  <c r="T1515" i="1"/>
  <c r="U1515" i="1" s="1"/>
  <c r="T1507" i="1"/>
  <c r="U1507" i="1" s="1"/>
  <c r="U1499" i="1"/>
  <c r="T1499" i="1"/>
  <c r="T1491" i="1"/>
  <c r="U1491" i="1" s="1"/>
  <c r="T1483" i="1"/>
  <c r="U1483" i="1" s="1"/>
  <c r="T1475" i="1"/>
  <c r="U1475" i="1" s="1"/>
  <c r="T1467" i="1"/>
  <c r="U1467" i="1" s="1"/>
  <c r="T1459" i="1"/>
  <c r="U1459" i="1" s="1"/>
  <c r="T1451" i="1"/>
  <c r="U1451" i="1" s="1"/>
  <c r="T1435" i="1"/>
  <c r="U1435" i="1" s="1"/>
  <c r="T1411" i="1"/>
  <c r="U1411" i="1" s="1"/>
  <c r="T1403" i="1"/>
  <c r="U1403" i="1" s="1"/>
  <c r="T1387" i="1"/>
  <c r="U1387" i="1" s="1"/>
  <c r="T1379" i="1"/>
  <c r="U1379" i="1" s="1"/>
  <c r="T1363" i="1"/>
  <c r="U1363" i="1" s="1"/>
  <c r="T1355" i="1"/>
  <c r="U1355" i="1" s="1"/>
  <c r="T1347" i="1"/>
  <c r="U1347" i="1" s="1"/>
  <c r="T1339" i="1"/>
  <c r="U1339" i="1" s="1"/>
  <c r="T1323" i="1"/>
  <c r="U1323" i="1" s="1"/>
  <c r="T1315" i="1"/>
  <c r="U1315" i="1" s="1"/>
  <c r="T1307" i="1"/>
  <c r="U1307" i="1" s="1"/>
  <c r="T1291" i="1"/>
  <c r="U1291" i="1" s="1"/>
  <c r="T1283" i="1"/>
  <c r="U1283" i="1" s="1"/>
  <c r="T1275" i="1"/>
  <c r="U1275" i="1" s="1"/>
  <c r="T1267" i="1"/>
  <c r="U1267" i="1" s="1"/>
  <c r="T1259" i="1"/>
  <c r="U1259" i="1" s="1"/>
  <c r="T1251" i="1"/>
  <c r="U1251" i="1" s="1"/>
  <c r="T1243" i="1"/>
  <c r="U1243" i="1" s="1"/>
  <c r="T1235" i="1"/>
  <c r="U1235" i="1" s="1"/>
  <c r="T1227" i="1"/>
  <c r="U1227" i="1" s="1"/>
  <c r="T1219" i="1"/>
  <c r="U1219" i="1" s="1"/>
  <c r="T1211" i="1"/>
  <c r="U1211" i="1" s="1"/>
  <c r="T1203" i="1"/>
  <c r="U1203" i="1" s="1"/>
  <c r="T1195" i="1"/>
  <c r="U1195" i="1" s="1"/>
  <c r="T1187" i="1"/>
  <c r="U1187" i="1" s="1"/>
  <c r="T1179" i="1"/>
  <c r="U1179" i="1" s="1"/>
  <c r="T1171" i="1"/>
  <c r="U1171" i="1" s="1"/>
  <c r="T1163" i="1"/>
  <c r="U1163" i="1" s="1"/>
  <c r="T1155" i="1"/>
  <c r="U1155" i="1" s="1"/>
  <c r="T1147" i="1"/>
  <c r="U1147" i="1" s="1"/>
  <c r="T1139" i="1"/>
  <c r="U1139" i="1" s="1"/>
  <c r="T1131" i="1"/>
  <c r="U1131" i="1" s="1"/>
  <c r="T1123" i="1"/>
  <c r="U1123" i="1" s="1"/>
  <c r="T1115" i="1"/>
  <c r="U1115" i="1" s="1"/>
  <c r="T1107" i="1"/>
  <c r="U1107" i="1" s="1"/>
  <c r="T1099" i="1"/>
  <c r="U1099" i="1" s="1"/>
  <c r="T14" i="1"/>
  <c r="U14" i="1" s="1"/>
  <c r="T67" i="1"/>
  <c r="U67" i="1" s="1"/>
  <c r="T92" i="1"/>
  <c r="U92" i="1" s="1"/>
  <c r="T84" i="1"/>
  <c r="U84" i="1" s="1"/>
  <c r="T110" i="1"/>
  <c r="U110" i="1" s="1"/>
  <c r="T131" i="1"/>
  <c r="U131" i="1" s="1"/>
  <c r="T123" i="1"/>
  <c r="U123" i="1" s="1"/>
  <c r="T115" i="1"/>
  <c r="U115" i="1" s="1"/>
  <c r="T142" i="1"/>
  <c r="U142" i="1" s="1"/>
  <c r="T134" i="1"/>
  <c r="U134" i="1" s="1"/>
  <c r="T157" i="1"/>
  <c r="U157" i="1" s="1"/>
  <c r="T181" i="1"/>
  <c r="U181" i="1" s="1"/>
  <c r="T173" i="1"/>
  <c r="U173" i="1" s="1"/>
  <c r="T165" i="1"/>
  <c r="U165" i="1" s="1"/>
  <c r="T203" i="1"/>
  <c r="U203" i="1" s="1"/>
  <c r="T195" i="1"/>
  <c r="U195" i="1" s="1"/>
  <c r="T187" i="1"/>
  <c r="U187" i="1" s="1"/>
  <c r="T222" i="1"/>
  <c r="U222" i="1" s="1"/>
  <c r="T214" i="1"/>
  <c r="U214" i="1" s="1"/>
  <c r="T232" i="1"/>
  <c r="U232" i="1" s="1"/>
  <c r="T251" i="1"/>
  <c r="U251" i="1" s="1"/>
  <c r="T243" i="1"/>
  <c r="U243" i="1" s="1"/>
  <c r="T263" i="1"/>
  <c r="U263" i="1" s="1"/>
  <c r="T255" i="1"/>
  <c r="U255" i="1" s="1"/>
  <c r="T1322" i="1"/>
  <c r="U1322" i="1" s="1"/>
  <c r="T1314" i="1"/>
  <c r="U1314" i="1" s="1"/>
  <c r="T1306" i="1"/>
  <c r="U1306" i="1" s="1"/>
  <c r="T1298" i="1"/>
  <c r="U1298" i="1" s="1"/>
  <c r="T1290" i="1"/>
  <c r="U1290" i="1" s="1"/>
  <c r="T1282" i="1"/>
  <c r="U1282" i="1" s="1"/>
  <c r="T1274" i="1"/>
  <c r="U1274" i="1" s="1"/>
  <c r="T1266" i="1"/>
  <c r="U1266" i="1" s="1"/>
  <c r="T1258" i="1"/>
  <c r="U1258" i="1" s="1"/>
  <c r="T1250" i="1"/>
  <c r="U1250" i="1" s="1"/>
  <c r="T1242" i="1"/>
  <c r="U1242" i="1" s="1"/>
  <c r="T1234" i="1"/>
  <c r="U1234" i="1" s="1"/>
  <c r="T1226" i="1"/>
  <c r="U1226" i="1" s="1"/>
  <c r="T1218" i="1"/>
  <c r="U1218" i="1" s="1"/>
  <c r="T1210" i="1"/>
  <c r="U1210" i="1" s="1"/>
  <c r="T1202" i="1"/>
  <c r="U1202" i="1" s="1"/>
  <c r="T1194" i="1"/>
  <c r="U1194" i="1" s="1"/>
  <c r="T1186" i="1"/>
  <c r="U1186" i="1" s="1"/>
  <c r="T1178" i="1"/>
  <c r="U1178" i="1" s="1"/>
  <c r="T1170" i="1"/>
  <c r="U1170" i="1" s="1"/>
  <c r="T1154" i="1"/>
  <c r="U1154" i="1" s="1"/>
  <c r="T1146" i="1"/>
  <c r="U1146" i="1" s="1"/>
  <c r="T1138" i="1"/>
  <c r="U1138" i="1" s="1"/>
  <c r="T1130" i="1"/>
  <c r="U1130" i="1" s="1"/>
  <c r="T1122" i="1"/>
  <c r="U1122" i="1" s="1"/>
  <c r="T1114" i="1"/>
  <c r="U1114" i="1" s="1"/>
  <c r="T30" i="1"/>
  <c r="U30" i="1" s="1"/>
  <c r="T75" i="1"/>
  <c r="U75" i="1" s="1"/>
  <c r="T36" i="1"/>
  <c r="U36" i="1" s="1"/>
  <c r="T130" i="1"/>
  <c r="U130" i="1" s="1"/>
  <c r="T194" i="1"/>
  <c r="U194" i="1" s="1"/>
  <c r="T221" i="1"/>
  <c r="U221" i="1" s="1"/>
  <c r="T239" i="1"/>
  <c r="U239" i="1" s="1"/>
  <c r="T250" i="1"/>
  <c r="U250" i="1" s="1"/>
  <c r="T262" i="1"/>
  <c r="U262" i="1" s="1"/>
  <c r="T1329" i="1"/>
  <c r="U1329" i="1" s="1"/>
  <c r="T1321" i="1"/>
  <c r="U1321" i="1" s="1"/>
  <c r="T1313" i="1"/>
  <c r="U1313" i="1" s="1"/>
  <c r="T1289" i="1"/>
  <c r="U1289" i="1" s="1"/>
  <c r="T1281" i="1"/>
  <c r="U1281" i="1" s="1"/>
  <c r="T1265" i="1"/>
  <c r="U1265" i="1" s="1"/>
  <c r="T1257" i="1"/>
  <c r="U1257" i="1" s="1"/>
  <c r="T1249" i="1"/>
  <c r="U1249" i="1" s="1"/>
  <c r="T1241" i="1"/>
  <c r="U1241" i="1" s="1"/>
  <c r="T1233" i="1"/>
  <c r="U1233" i="1" s="1"/>
  <c r="T1225" i="1"/>
  <c r="U1225" i="1" s="1"/>
  <c r="T1209" i="1"/>
  <c r="U1209" i="1" s="1"/>
  <c r="T1201" i="1"/>
  <c r="U1201" i="1" s="1"/>
  <c r="T1193" i="1"/>
  <c r="U1193" i="1" s="1"/>
  <c r="T1185" i="1"/>
  <c r="U1185" i="1" s="1"/>
  <c r="T1177" i="1"/>
  <c r="U1177" i="1" s="1"/>
  <c r="T1169" i="1"/>
  <c r="U1169" i="1" s="1"/>
  <c r="T1161" i="1"/>
  <c r="U1161" i="1" s="1"/>
  <c r="T1153" i="1"/>
  <c r="U1153" i="1" s="1"/>
  <c r="T1137" i="1"/>
  <c r="U1137" i="1" s="1"/>
  <c r="T1129" i="1"/>
  <c r="U1129" i="1" s="1"/>
  <c r="T1121" i="1"/>
  <c r="U1121" i="1" s="1"/>
  <c r="T1113" i="1"/>
  <c r="U1113" i="1" s="1"/>
  <c r="T1105" i="1"/>
  <c r="U1105" i="1" s="1"/>
  <c r="T1089" i="1"/>
  <c r="U1089" i="1" s="1"/>
  <c r="T1081" i="1"/>
  <c r="U1081" i="1" s="1"/>
  <c r="T1073" i="1"/>
  <c r="U1073" i="1" s="1"/>
  <c r="T1065" i="1"/>
  <c r="U1065" i="1" s="1"/>
  <c r="T1057" i="1"/>
  <c r="U1057" i="1" s="1"/>
  <c r="T1049" i="1"/>
  <c r="U1049" i="1" s="1"/>
  <c r="T1041" i="1"/>
  <c r="U1041" i="1" s="1"/>
  <c r="T1033" i="1"/>
  <c r="U1033" i="1" s="1"/>
  <c r="T1025" i="1"/>
  <c r="U1025" i="1" s="1"/>
  <c r="T1017" i="1"/>
  <c r="U1017" i="1" s="1"/>
  <c r="T1009" i="1"/>
  <c r="U1009" i="1" s="1"/>
  <c r="T1001" i="1"/>
  <c r="U1001" i="1" s="1"/>
  <c r="T61" i="1"/>
  <c r="U61" i="1" s="1"/>
  <c r="T29" i="1"/>
  <c r="U29" i="1" s="1"/>
  <c r="T44" i="1"/>
  <c r="U44" i="1" s="1"/>
  <c r="T109" i="1"/>
  <c r="U109" i="1" s="1"/>
  <c r="T141" i="1"/>
  <c r="U141" i="1" s="1"/>
  <c r="T156" i="1"/>
  <c r="U156" i="1" s="1"/>
  <c r="T164" i="1"/>
  <c r="U164" i="1" s="1"/>
  <c r="T186" i="1"/>
  <c r="U186" i="1" s="1"/>
  <c r="T213" i="1"/>
  <c r="U213" i="1" s="1"/>
  <c r="T231" i="1"/>
  <c r="U231" i="1" s="1"/>
  <c r="T242" i="1"/>
  <c r="U242" i="1" s="1"/>
  <c r="T4" i="1"/>
  <c r="U4" i="1" s="1"/>
  <c r="T28" i="1"/>
  <c r="U28" i="1" s="1"/>
  <c r="T20" i="1"/>
  <c r="U20" i="1" s="1"/>
  <c r="T12" i="1"/>
  <c r="U12" i="1" s="1"/>
  <c r="T59" i="1"/>
  <c r="U59" i="1" s="1"/>
  <c r="T51" i="1"/>
  <c r="U51" i="1" s="1"/>
  <c r="T43" i="1"/>
  <c r="U43" i="1" s="1"/>
  <c r="T35" i="1"/>
  <c r="U35" i="1" s="1"/>
  <c r="T73" i="1"/>
  <c r="U73" i="1" s="1"/>
  <c r="T65" i="1"/>
  <c r="U65" i="1" s="1"/>
  <c r="T98" i="1"/>
  <c r="U98" i="1" s="1"/>
  <c r="T90" i="1"/>
  <c r="U90" i="1" s="1"/>
  <c r="T82" i="1"/>
  <c r="U82" i="1" s="1"/>
  <c r="T108" i="1"/>
  <c r="U108" i="1" s="1"/>
  <c r="T148" i="1"/>
  <c r="U148" i="1" s="1"/>
  <c r="T140" i="1"/>
  <c r="U140" i="1" s="1"/>
  <c r="T132" i="1"/>
  <c r="U132" i="1" s="1"/>
  <c r="T155" i="1"/>
  <c r="U155" i="1" s="1"/>
  <c r="T179" i="1"/>
  <c r="U179" i="1" s="1"/>
  <c r="T171" i="1"/>
  <c r="U171" i="1" s="1"/>
  <c r="T163" i="1"/>
  <c r="U163" i="1" s="1"/>
  <c r="T201" i="1"/>
  <c r="U201" i="1" s="1"/>
  <c r="T193" i="1"/>
  <c r="U193" i="1" s="1"/>
  <c r="T185" i="1"/>
  <c r="U185" i="1" s="1"/>
  <c r="T220" i="1"/>
  <c r="U220" i="1" s="1"/>
  <c r="T212" i="1"/>
  <c r="U212" i="1" s="1"/>
  <c r="T238" i="1"/>
  <c r="U238" i="1" s="1"/>
  <c r="T230" i="1"/>
  <c r="U230" i="1" s="1"/>
  <c r="T249" i="1"/>
  <c r="U249" i="1" s="1"/>
  <c r="T241" i="1"/>
  <c r="U241" i="1" s="1"/>
  <c r="T261" i="1"/>
  <c r="U261" i="1" s="1"/>
  <c r="T1632" i="1"/>
  <c r="U1632" i="1" s="1"/>
  <c r="T1624" i="1"/>
  <c r="U1624" i="1" s="1"/>
  <c r="T1616" i="1"/>
  <c r="U1616" i="1" s="1"/>
  <c r="T1608" i="1"/>
  <c r="U1608" i="1" s="1"/>
  <c r="T1584" i="1"/>
  <c r="U1584" i="1" s="1"/>
  <c r="T1576" i="1"/>
  <c r="U1576" i="1" s="1"/>
  <c r="T1568" i="1"/>
  <c r="U1568" i="1" s="1"/>
  <c r="T1560" i="1"/>
  <c r="U1560" i="1" s="1"/>
  <c r="T1552" i="1"/>
  <c r="U1552" i="1" s="1"/>
  <c r="T1544" i="1"/>
  <c r="U1544" i="1" s="1"/>
  <c r="T1536" i="1"/>
  <c r="U1536" i="1" s="1"/>
  <c r="T1520" i="1"/>
  <c r="U1520" i="1" s="1"/>
  <c r="T1512" i="1"/>
  <c r="U1512" i="1" s="1"/>
  <c r="T1504" i="1"/>
  <c r="U1504" i="1" s="1"/>
  <c r="T1496" i="1"/>
  <c r="U1496" i="1" s="1"/>
  <c r="T1488" i="1"/>
  <c r="U1488" i="1" s="1"/>
  <c r="T1480" i="1"/>
  <c r="U1480" i="1" s="1"/>
  <c r="T1464" i="1"/>
  <c r="U1464" i="1" s="1"/>
  <c r="T1456" i="1"/>
  <c r="U1456" i="1" s="1"/>
  <c r="T1448" i="1"/>
  <c r="U1448" i="1" s="1"/>
  <c r="T1440" i="1"/>
  <c r="U1440" i="1" s="1"/>
  <c r="T1432" i="1"/>
  <c r="U1432" i="1" s="1"/>
  <c r="T1416" i="1"/>
  <c r="U1416" i="1" s="1"/>
  <c r="T1408" i="1"/>
  <c r="U1408" i="1" s="1"/>
  <c r="T1392" i="1"/>
  <c r="U1392" i="1" s="1"/>
  <c r="T1384" i="1"/>
  <c r="U1384" i="1" s="1"/>
  <c r="T1376" i="1"/>
  <c r="U1376" i="1" s="1"/>
  <c r="T1368" i="1"/>
  <c r="U1368" i="1" s="1"/>
  <c r="T1360" i="1"/>
  <c r="U1360" i="1" s="1"/>
  <c r="T1352" i="1"/>
  <c r="U1352" i="1" s="1"/>
  <c r="T1344" i="1"/>
  <c r="U1344" i="1" s="1"/>
  <c r="T1336" i="1"/>
  <c r="U1336" i="1" s="1"/>
  <c r="T1328" i="1"/>
  <c r="U1328" i="1" s="1"/>
  <c r="T21" i="1"/>
  <c r="U21" i="1" s="1"/>
  <c r="T74" i="1"/>
  <c r="U74" i="1" s="1"/>
  <c r="T122" i="1"/>
  <c r="U122" i="1" s="1"/>
  <c r="T133" i="1"/>
  <c r="U133" i="1" s="1"/>
  <c r="T180" i="1"/>
  <c r="U180" i="1" s="1"/>
  <c r="T202" i="1"/>
  <c r="U202" i="1" s="1"/>
  <c r="T3" i="1"/>
  <c r="U3" i="1" s="1"/>
  <c r="T27" i="1"/>
  <c r="U27" i="1" s="1"/>
  <c r="T19" i="1"/>
  <c r="U19" i="1" s="1"/>
  <c r="T11" i="1"/>
  <c r="U11" i="1" s="1"/>
  <c r="T58" i="1"/>
  <c r="U58" i="1" s="1"/>
  <c r="T50" i="1"/>
  <c r="U50" i="1" s="1"/>
  <c r="T42" i="1"/>
  <c r="U42" i="1" s="1"/>
  <c r="T80" i="1"/>
  <c r="U80" i="1" s="1"/>
  <c r="T72" i="1"/>
  <c r="U72" i="1" s="1"/>
  <c r="T64" i="1"/>
  <c r="U64" i="1" s="1"/>
  <c r="T97" i="1"/>
  <c r="U97" i="1" s="1"/>
  <c r="T89" i="1"/>
  <c r="U89" i="1" s="1"/>
  <c r="T81" i="1"/>
  <c r="U81" i="1" s="1"/>
  <c r="T107" i="1"/>
  <c r="U107" i="1" s="1"/>
  <c r="T128" i="1"/>
  <c r="U128" i="1" s="1"/>
  <c r="T139" i="1"/>
  <c r="U139" i="1" s="1"/>
  <c r="T162" i="1"/>
  <c r="U162" i="1" s="1"/>
  <c r="T154" i="1"/>
  <c r="U154" i="1" s="1"/>
  <c r="T178" i="1"/>
  <c r="U178" i="1" s="1"/>
  <c r="T170" i="1"/>
  <c r="U170" i="1" s="1"/>
  <c r="T184" i="1"/>
  <c r="U184" i="1" s="1"/>
  <c r="T200" i="1"/>
  <c r="U200" i="1" s="1"/>
  <c r="T227" i="1"/>
  <c r="U227" i="1" s="1"/>
  <c r="T219" i="1"/>
  <c r="U219" i="1" s="1"/>
  <c r="T211" i="1"/>
  <c r="U211" i="1" s="1"/>
  <c r="T237" i="1"/>
  <c r="U237" i="1" s="1"/>
  <c r="T229" i="1"/>
  <c r="U229" i="1" s="1"/>
  <c r="T248" i="1"/>
  <c r="U248" i="1" s="1"/>
  <c r="T240" i="1"/>
  <c r="U240" i="1" s="1"/>
  <c r="T260" i="1"/>
  <c r="U260" i="1" s="1"/>
  <c r="T1631" i="1"/>
  <c r="U1631" i="1" s="1"/>
  <c r="T1623" i="1"/>
  <c r="U1623" i="1" s="1"/>
  <c r="T1615" i="1"/>
  <c r="U1615" i="1" s="1"/>
  <c r="T1591" i="1"/>
  <c r="U1591" i="1" s="1"/>
  <c r="T1583" i="1"/>
  <c r="U1583" i="1" s="1"/>
  <c r="T1575" i="1"/>
  <c r="U1575" i="1" s="1"/>
  <c r="T1567" i="1"/>
  <c r="U1567" i="1" s="1"/>
  <c r="T1559" i="1"/>
  <c r="U1559" i="1" s="1"/>
  <c r="T1551" i="1"/>
  <c r="U1551" i="1" s="1"/>
  <c r="T1543" i="1"/>
  <c r="U1543" i="1" s="1"/>
  <c r="T1535" i="1"/>
  <c r="U1535" i="1" s="1"/>
  <c r="T1511" i="1"/>
  <c r="U1511" i="1" s="1"/>
  <c r="T1503" i="1"/>
  <c r="U1503" i="1" s="1"/>
  <c r="T1495" i="1"/>
  <c r="U1495" i="1" s="1"/>
  <c r="T1487" i="1"/>
  <c r="U1487" i="1" s="1"/>
  <c r="T1479" i="1"/>
  <c r="U1479" i="1" s="1"/>
  <c r="T1471" i="1"/>
  <c r="U1471" i="1" s="1"/>
  <c r="T1463" i="1"/>
  <c r="U1463" i="1" s="1"/>
  <c r="T1447" i="1"/>
  <c r="U1447" i="1" s="1"/>
  <c r="T1439" i="1"/>
  <c r="U1439" i="1" s="1"/>
  <c r="T1431" i="1"/>
  <c r="U1431" i="1" s="1"/>
  <c r="T1423" i="1"/>
  <c r="U1423" i="1" s="1"/>
  <c r="T1415" i="1"/>
  <c r="U1415" i="1" s="1"/>
  <c r="T1407" i="1"/>
  <c r="U1407" i="1" s="1"/>
  <c r="T1399" i="1"/>
  <c r="U1399" i="1" s="1"/>
  <c r="T1391" i="1"/>
  <c r="U1391" i="1" s="1"/>
  <c r="T1383" i="1"/>
  <c r="U1383" i="1" s="1"/>
  <c r="T1375" i="1"/>
  <c r="U1375" i="1" s="1"/>
  <c r="T1367" i="1"/>
  <c r="U1367" i="1" s="1"/>
  <c r="T1359" i="1"/>
  <c r="U1359" i="1" s="1"/>
  <c r="T1351" i="1"/>
  <c r="U1351" i="1" s="1"/>
  <c r="T1343" i="1"/>
  <c r="U1343" i="1" s="1"/>
  <c r="T1335" i="1"/>
  <c r="U1335" i="1" s="1"/>
  <c r="T1327" i="1"/>
  <c r="U1327" i="1" s="1"/>
  <c r="T1319" i="1"/>
  <c r="U1319" i="1" s="1"/>
  <c r="T1311" i="1"/>
  <c r="U1311" i="1" s="1"/>
  <c r="T1295" i="1"/>
  <c r="U1295" i="1" s="1"/>
  <c r="T1279" i="1"/>
  <c r="U1279" i="1" s="1"/>
  <c r="T1271" i="1"/>
  <c r="U1271" i="1" s="1"/>
  <c r="T1263" i="1"/>
  <c r="U1263" i="1" s="1"/>
  <c r="T1255" i="1"/>
  <c r="U1255" i="1" s="1"/>
  <c r="T1247" i="1"/>
  <c r="U1247" i="1" s="1"/>
  <c r="T1239" i="1"/>
  <c r="U1239" i="1" s="1"/>
  <c r="T1231" i="1"/>
  <c r="U1231" i="1" s="1"/>
  <c r="T1223" i="1"/>
  <c r="U1223" i="1" s="1"/>
  <c r="T1183" i="1"/>
  <c r="U1183" i="1" s="1"/>
  <c r="T774" i="1"/>
  <c r="U774" i="1" s="1"/>
  <c r="T758" i="1"/>
  <c r="U758" i="1" s="1"/>
  <c r="T750" i="1"/>
  <c r="U750" i="1" s="1"/>
  <c r="T742" i="1"/>
  <c r="U742" i="1" s="1"/>
  <c r="T734" i="1"/>
  <c r="U734" i="1" s="1"/>
  <c r="T726" i="1"/>
  <c r="U726" i="1" s="1"/>
  <c r="T718" i="1"/>
  <c r="U718" i="1" s="1"/>
  <c r="T710" i="1"/>
  <c r="U710" i="1" s="1"/>
  <c r="T702" i="1"/>
  <c r="U702" i="1" s="1"/>
  <c r="T694" i="1"/>
  <c r="U694" i="1" s="1"/>
  <c r="T686" i="1"/>
  <c r="U686" i="1" s="1"/>
  <c r="T678" i="1"/>
  <c r="U678" i="1" s="1"/>
  <c r="T670" i="1"/>
  <c r="U670" i="1" s="1"/>
  <c r="T646" i="1"/>
  <c r="U646" i="1" s="1"/>
  <c r="T638" i="1"/>
  <c r="U638" i="1" s="1"/>
  <c r="T630" i="1"/>
  <c r="U630" i="1" s="1"/>
  <c r="T622" i="1"/>
  <c r="U622" i="1" s="1"/>
  <c r="T606" i="1"/>
  <c r="U606" i="1" s="1"/>
  <c r="T598" i="1"/>
  <c r="U598" i="1" s="1"/>
  <c r="U590" i="1"/>
  <c r="T590" i="1"/>
  <c r="T582" i="1"/>
  <c r="U582" i="1" s="1"/>
  <c r="T574" i="1"/>
  <c r="U574" i="1" s="1"/>
  <c r="T566" i="1"/>
  <c r="U566" i="1" s="1"/>
  <c r="T558" i="1"/>
  <c r="U558" i="1" s="1"/>
  <c r="T550" i="1"/>
  <c r="U550" i="1" s="1"/>
  <c r="T542" i="1"/>
  <c r="U542" i="1" s="1"/>
  <c r="T534" i="1"/>
  <c r="U534" i="1" s="1"/>
  <c r="T526" i="1"/>
  <c r="U526" i="1" s="1"/>
  <c r="T518" i="1"/>
  <c r="U518" i="1" s="1"/>
  <c r="T510" i="1"/>
  <c r="U510" i="1" s="1"/>
  <c r="T502" i="1"/>
  <c r="U502" i="1" s="1"/>
  <c r="T494" i="1"/>
  <c r="U494" i="1" s="1"/>
  <c r="T486" i="1"/>
  <c r="U486" i="1" s="1"/>
  <c r="T478" i="1"/>
  <c r="U478" i="1" s="1"/>
  <c r="T470" i="1"/>
  <c r="U470" i="1" s="1"/>
  <c r="T462" i="1"/>
  <c r="U462" i="1" s="1"/>
  <c r="T454" i="1"/>
  <c r="U454" i="1" s="1"/>
  <c r="T446" i="1"/>
  <c r="U446" i="1" s="1"/>
  <c r="T438" i="1"/>
  <c r="U438" i="1" s="1"/>
  <c r="T430" i="1"/>
  <c r="U430" i="1" s="1"/>
  <c r="T422" i="1"/>
  <c r="U422" i="1" s="1"/>
  <c r="T414" i="1"/>
  <c r="U414" i="1" s="1"/>
  <c r="T406" i="1"/>
  <c r="U406" i="1" s="1"/>
  <c r="T398" i="1"/>
  <c r="U398" i="1" s="1"/>
  <c r="T390" i="1"/>
  <c r="U390" i="1" s="1"/>
  <c r="T382" i="1"/>
  <c r="U382" i="1" s="1"/>
  <c r="T374" i="1"/>
  <c r="U374" i="1" s="1"/>
  <c r="T366" i="1"/>
  <c r="U366" i="1" s="1"/>
  <c r="T358" i="1"/>
  <c r="U358" i="1" s="1"/>
  <c r="T350" i="1"/>
  <c r="U350" i="1" s="1"/>
  <c r="T342" i="1"/>
  <c r="U342" i="1" s="1"/>
  <c r="T334" i="1"/>
  <c r="U334" i="1" s="1"/>
  <c r="T326" i="1"/>
  <c r="U326" i="1" s="1"/>
  <c r="T318" i="1"/>
  <c r="U318" i="1" s="1"/>
  <c r="T310" i="1"/>
  <c r="U310" i="1" s="1"/>
  <c r="T302" i="1"/>
  <c r="U302" i="1" s="1"/>
  <c r="T294" i="1"/>
  <c r="U294" i="1" s="1"/>
  <c r="T286" i="1"/>
  <c r="U286" i="1" s="1"/>
  <c r="T278" i="1"/>
  <c r="U278" i="1" s="1"/>
  <c r="T270" i="1"/>
  <c r="U270" i="1" s="1"/>
  <c r="T662" i="1"/>
  <c r="U662" i="1" s="1"/>
  <c r="T1029" i="1"/>
  <c r="U1029" i="1" s="1"/>
  <c r="T1021" i="1"/>
  <c r="U1021" i="1" s="1"/>
  <c r="T1013" i="1"/>
  <c r="U1013" i="1" s="1"/>
  <c r="T1005" i="1"/>
  <c r="U1005" i="1" s="1"/>
  <c r="T997" i="1"/>
  <c r="U997" i="1" s="1"/>
  <c r="T989" i="1"/>
  <c r="U989" i="1" s="1"/>
  <c r="T981" i="1"/>
  <c r="U981" i="1" s="1"/>
  <c r="T973" i="1"/>
  <c r="U973" i="1" s="1"/>
  <c r="T965" i="1"/>
  <c r="U965" i="1" s="1"/>
  <c r="T957" i="1"/>
  <c r="U957" i="1" s="1"/>
  <c r="T949" i="1"/>
  <c r="U949" i="1" s="1"/>
  <c r="T941" i="1"/>
  <c r="U941" i="1" s="1"/>
  <c r="T933" i="1"/>
  <c r="U933" i="1" s="1"/>
  <c r="T917" i="1"/>
  <c r="U917" i="1" s="1"/>
  <c r="T909" i="1"/>
  <c r="U909" i="1" s="1"/>
  <c r="U901" i="1"/>
  <c r="T901" i="1"/>
  <c r="T893" i="1"/>
  <c r="U893" i="1" s="1"/>
  <c r="T885" i="1"/>
  <c r="U885" i="1" s="1"/>
  <c r="T877" i="1"/>
  <c r="U877" i="1" s="1"/>
  <c r="T869" i="1"/>
  <c r="U869" i="1" s="1"/>
  <c r="T861" i="1"/>
  <c r="U861" i="1" s="1"/>
  <c r="T853" i="1"/>
  <c r="U853" i="1" s="1"/>
  <c r="T845" i="1"/>
  <c r="U845" i="1" s="1"/>
  <c r="T837" i="1"/>
  <c r="U837" i="1" s="1"/>
  <c r="T829" i="1"/>
  <c r="U829" i="1" s="1"/>
  <c r="T821" i="1"/>
  <c r="U821" i="1" s="1"/>
  <c r="T813" i="1"/>
  <c r="U813" i="1" s="1"/>
  <c r="T805" i="1"/>
  <c r="U805" i="1" s="1"/>
  <c r="T797" i="1"/>
  <c r="U797" i="1" s="1"/>
  <c r="T789" i="1"/>
  <c r="U789" i="1" s="1"/>
  <c r="T765" i="1"/>
  <c r="U765" i="1" s="1"/>
  <c r="T757" i="1"/>
  <c r="U757" i="1" s="1"/>
  <c r="T749" i="1"/>
  <c r="U749" i="1" s="1"/>
  <c r="T741" i="1"/>
  <c r="U741" i="1" s="1"/>
  <c r="T733" i="1"/>
  <c r="U733" i="1" s="1"/>
  <c r="T725" i="1"/>
  <c r="U725" i="1" s="1"/>
  <c r="T717" i="1"/>
  <c r="U717" i="1" s="1"/>
  <c r="T709" i="1"/>
  <c r="U709" i="1" s="1"/>
  <c r="T701" i="1"/>
  <c r="U701" i="1" s="1"/>
  <c r="T693" i="1"/>
  <c r="U693" i="1" s="1"/>
  <c r="T685" i="1"/>
  <c r="U685" i="1" s="1"/>
  <c r="T669" i="1"/>
  <c r="U669" i="1" s="1"/>
  <c r="T661" i="1"/>
  <c r="U661" i="1" s="1"/>
  <c r="T653" i="1"/>
  <c r="U653" i="1" s="1"/>
  <c r="T645" i="1"/>
  <c r="U645" i="1" s="1"/>
  <c r="T637" i="1"/>
  <c r="U637" i="1" s="1"/>
  <c r="T629" i="1"/>
  <c r="U629" i="1" s="1"/>
  <c r="T621" i="1"/>
  <c r="U621" i="1" s="1"/>
  <c r="T605" i="1"/>
  <c r="U605" i="1" s="1"/>
  <c r="T597" i="1"/>
  <c r="U597" i="1" s="1"/>
  <c r="T589" i="1"/>
  <c r="U589" i="1" s="1"/>
  <c r="T581" i="1"/>
  <c r="U581" i="1" s="1"/>
  <c r="T573" i="1"/>
  <c r="U573" i="1" s="1"/>
  <c r="T565" i="1"/>
  <c r="U565" i="1" s="1"/>
  <c r="T549" i="1"/>
  <c r="U549" i="1" s="1"/>
  <c r="T541" i="1"/>
  <c r="U541" i="1" s="1"/>
  <c r="T525" i="1"/>
  <c r="U525" i="1" s="1"/>
  <c r="T509" i="1"/>
  <c r="U509" i="1" s="1"/>
  <c r="T501" i="1"/>
  <c r="U501" i="1" s="1"/>
  <c r="T493" i="1"/>
  <c r="U493" i="1" s="1"/>
  <c r="T485" i="1"/>
  <c r="U485" i="1" s="1"/>
  <c r="T477" i="1"/>
  <c r="U477" i="1" s="1"/>
  <c r="T469" i="1"/>
  <c r="U469" i="1" s="1"/>
  <c r="T461" i="1"/>
  <c r="U461" i="1" s="1"/>
  <c r="T453" i="1"/>
  <c r="U453" i="1" s="1"/>
  <c r="T445" i="1"/>
  <c r="U445" i="1" s="1"/>
  <c r="T437" i="1"/>
  <c r="U437" i="1" s="1"/>
  <c r="T429" i="1"/>
  <c r="U429" i="1" s="1"/>
  <c r="T421" i="1"/>
  <c r="U421" i="1" s="1"/>
  <c r="T413" i="1"/>
  <c r="U413" i="1" s="1"/>
  <c r="T405" i="1"/>
  <c r="U405" i="1" s="1"/>
  <c r="T397" i="1"/>
  <c r="U397" i="1" s="1"/>
  <c r="T389" i="1"/>
  <c r="U389" i="1" s="1"/>
  <c r="T381" i="1"/>
  <c r="U381" i="1" s="1"/>
  <c r="T373" i="1"/>
  <c r="U373" i="1" s="1"/>
  <c r="T365" i="1"/>
  <c r="U365" i="1" s="1"/>
  <c r="T357" i="1"/>
  <c r="U357" i="1" s="1"/>
  <c r="T349" i="1"/>
  <c r="U349" i="1" s="1"/>
  <c r="T341" i="1"/>
  <c r="U341" i="1" s="1"/>
  <c r="T333" i="1"/>
  <c r="U333" i="1" s="1"/>
  <c r="T325" i="1"/>
  <c r="U325" i="1" s="1"/>
  <c r="T317" i="1"/>
  <c r="U317" i="1" s="1"/>
  <c r="T309" i="1"/>
  <c r="U309" i="1" s="1"/>
  <c r="T293" i="1"/>
  <c r="U293" i="1" s="1"/>
  <c r="T285" i="1"/>
  <c r="U285" i="1" s="1"/>
  <c r="T269" i="1"/>
  <c r="U269" i="1" s="1"/>
  <c r="T654" i="1"/>
  <c r="U654" i="1" s="1"/>
  <c r="T1172" i="1"/>
  <c r="U1172" i="1" s="1"/>
  <c r="T1164" i="1"/>
  <c r="U1164" i="1" s="1"/>
  <c r="T1156" i="1"/>
  <c r="U1156" i="1" s="1"/>
  <c r="T1148" i="1"/>
  <c r="U1148" i="1" s="1"/>
  <c r="T1140" i="1"/>
  <c r="U1140" i="1" s="1"/>
  <c r="T1132" i="1"/>
  <c r="U1132" i="1" s="1"/>
  <c r="T1124" i="1"/>
  <c r="U1124" i="1" s="1"/>
  <c r="T1116" i="1"/>
  <c r="U1116" i="1" s="1"/>
  <c r="T1108" i="1"/>
  <c r="U1108" i="1" s="1"/>
  <c r="T1100" i="1"/>
  <c r="U1100" i="1" s="1"/>
  <c r="T1092" i="1"/>
  <c r="U1092" i="1" s="1"/>
  <c r="T1084" i="1"/>
  <c r="U1084" i="1" s="1"/>
  <c r="T1076" i="1"/>
  <c r="U1076" i="1" s="1"/>
  <c r="T1068" i="1"/>
  <c r="U1068" i="1" s="1"/>
  <c r="T1060" i="1"/>
  <c r="U1060" i="1" s="1"/>
  <c r="T1052" i="1"/>
  <c r="U1052" i="1" s="1"/>
  <c r="T1044" i="1"/>
  <c r="U1044" i="1" s="1"/>
  <c r="T1036" i="1"/>
  <c r="U1036" i="1" s="1"/>
  <c r="T1028" i="1"/>
  <c r="U1028" i="1" s="1"/>
  <c r="T1020" i="1"/>
  <c r="U1020" i="1" s="1"/>
  <c r="T1012" i="1"/>
  <c r="U1012" i="1" s="1"/>
  <c r="T1004" i="1"/>
  <c r="U1004" i="1" s="1"/>
  <c r="T996" i="1"/>
  <c r="U996" i="1" s="1"/>
  <c r="T980" i="1"/>
  <c r="U980" i="1" s="1"/>
  <c r="T972" i="1"/>
  <c r="U972" i="1" s="1"/>
  <c r="T964" i="1"/>
  <c r="U964" i="1" s="1"/>
  <c r="T956" i="1"/>
  <c r="U956" i="1" s="1"/>
  <c r="T948" i="1"/>
  <c r="U948" i="1" s="1"/>
  <c r="T932" i="1"/>
  <c r="U932" i="1" s="1"/>
  <c r="T924" i="1"/>
  <c r="U924" i="1" s="1"/>
  <c r="T916" i="1"/>
  <c r="U916" i="1" s="1"/>
  <c r="T908" i="1"/>
  <c r="U908" i="1" s="1"/>
  <c r="T900" i="1"/>
  <c r="U900" i="1" s="1"/>
  <c r="T884" i="1"/>
  <c r="U884" i="1" s="1"/>
  <c r="T876" i="1"/>
  <c r="U876" i="1" s="1"/>
  <c r="T860" i="1"/>
  <c r="U860" i="1" s="1"/>
  <c r="T852" i="1"/>
  <c r="U852" i="1" s="1"/>
  <c r="T844" i="1"/>
  <c r="U844" i="1" s="1"/>
  <c r="T836" i="1"/>
  <c r="U836" i="1" s="1"/>
  <c r="T820" i="1"/>
  <c r="U820" i="1" s="1"/>
  <c r="T796" i="1"/>
  <c r="U796" i="1" s="1"/>
  <c r="T788" i="1"/>
  <c r="U788" i="1" s="1"/>
  <c r="T780" i="1"/>
  <c r="U780" i="1" s="1"/>
  <c r="T772" i="1"/>
  <c r="U772" i="1" s="1"/>
  <c r="T764" i="1"/>
  <c r="U764" i="1" s="1"/>
  <c r="T748" i="1"/>
  <c r="U748" i="1" s="1"/>
  <c r="T740" i="1"/>
  <c r="U740" i="1" s="1"/>
  <c r="T732" i="1"/>
  <c r="U732" i="1" s="1"/>
  <c r="T724" i="1"/>
  <c r="U724" i="1" s="1"/>
  <c r="T716" i="1"/>
  <c r="U716" i="1" s="1"/>
  <c r="T708" i="1"/>
  <c r="U708" i="1" s="1"/>
  <c r="T700" i="1"/>
  <c r="U700" i="1" s="1"/>
  <c r="T692" i="1"/>
  <c r="U692" i="1" s="1"/>
  <c r="T684" i="1"/>
  <c r="U684" i="1" s="1"/>
  <c r="T676" i="1"/>
  <c r="U676" i="1" s="1"/>
  <c r="T660" i="1"/>
  <c r="U660" i="1" s="1"/>
  <c r="T652" i="1"/>
  <c r="U652" i="1" s="1"/>
  <c r="T644" i="1"/>
  <c r="U644" i="1" s="1"/>
  <c r="T636" i="1"/>
  <c r="U636" i="1" s="1"/>
  <c r="T628" i="1"/>
  <c r="U628" i="1" s="1"/>
  <c r="T612" i="1"/>
  <c r="U612" i="1" s="1"/>
  <c r="T604" i="1"/>
  <c r="U604" i="1" s="1"/>
  <c r="T596" i="1"/>
  <c r="U596" i="1" s="1"/>
  <c r="T588" i="1"/>
  <c r="U588" i="1" s="1"/>
  <c r="T580" i="1"/>
  <c r="U580" i="1" s="1"/>
  <c r="T572" i="1"/>
  <c r="U572" i="1" s="1"/>
  <c r="T564" i="1"/>
  <c r="U564" i="1" s="1"/>
  <c r="T556" i="1"/>
  <c r="U556" i="1" s="1"/>
  <c r="T548" i="1"/>
  <c r="U548" i="1" s="1"/>
  <c r="T540" i="1"/>
  <c r="U540" i="1" s="1"/>
  <c r="T532" i="1"/>
  <c r="U532" i="1" s="1"/>
  <c r="T524" i="1"/>
  <c r="U524" i="1" s="1"/>
  <c r="T516" i="1"/>
  <c r="U516" i="1" s="1"/>
  <c r="T508" i="1"/>
  <c r="U508" i="1" s="1"/>
  <c r="T500" i="1"/>
  <c r="U500" i="1" s="1"/>
  <c r="T492" i="1"/>
  <c r="U492" i="1" s="1"/>
  <c r="T484" i="1"/>
  <c r="U484" i="1" s="1"/>
  <c r="T476" i="1"/>
  <c r="U476" i="1" s="1"/>
  <c r="T468" i="1"/>
  <c r="U468" i="1" s="1"/>
  <c r="T460" i="1"/>
  <c r="U460" i="1" s="1"/>
  <c r="T452" i="1"/>
  <c r="U452" i="1" s="1"/>
  <c r="T444" i="1"/>
  <c r="U444" i="1" s="1"/>
  <c r="T436" i="1"/>
  <c r="U436" i="1" s="1"/>
  <c r="T428" i="1"/>
  <c r="U428" i="1" s="1"/>
  <c r="T420" i="1"/>
  <c r="U420" i="1" s="1"/>
  <c r="T412" i="1"/>
  <c r="U412" i="1" s="1"/>
  <c r="T396" i="1"/>
  <c r="U396" i="1" s="1"/>
  <c r="T388" i="1"/>
  <c r="U388" i="1" s="1"/>
  <c r="T380" i="1"/>
  <c r="U380" i="1" s="1"/>
  <c r="T372" i="1"/>
  <c r="U372" i="1" s="1"/>
  <c r="T356" i="1"/>
  <c r="U356" i="1" s="1"/>
  <c r="T348" i="1"/>
  <c r="U348" i="1" s="1"/>
  <c r="T340" i="1"/>
  <c r="U340" i="1" s="1"/>
  <c r="T332" i="1"/>
  <c r="U332" i="1" s="1"/>
  <c r="T324" i="1"/>
  <c r="U324" i="1" s="1"/>
  <c r="T316" i="1"/>
  <c r="U316" i="1" s="1"/>
  <c r="T308" i="1"/>
  <c r="U308" i="1" s="1"/>
  <c r="T300" i="1"/>
  <c r="U300" i="1" s="1"/>
  <c r="T292" i="1"/>
  <c r="U292" i="1" s="1"/>
  <c r="T284" i="1"/>
  <c r="U284" i="1" s="1"/>
  <c r="T276" i="1"/>
  <c r="U276" i="1" s="1"/>
  <c r="T268" i="1"/>
  <c r="U268" i="1" s="1"/>
  <c r="T985" i="1"/>
  <c r="U985" i="1" s="1"/>
  <c r="T620" i="1"/>
  <c r="U620" i="1" s="1"/>
  <c r="T1091" i="1"/>
  <c r="U1091" i="1" s="1"/>
  <c r="T1083" i="1"/>
  <c r="U1083" i="1" s="1"/>
  <c r="T1075" i="1"/>
  <c r="U1075" i="1" s="1"/>
  <c r="T1067" i="1"/>
  <c r="U1067" i="1" s="1"/>
  <c r="T1059" i="1"/>
  <c r="U1059" i="1" s="1"/>
  <c r="T1051" i="1"/>
  <c r="U1051" i="1" s="1"/>
  <c r="T1043" i="1"/>
  <c r="U1043" i="1" s="1"/>
  <c r="T1035" i="1"/>
  <c r="U1035" i="1" s="1"/>
  <c r="T1019" i="1"/>
  <c r="U1019" i="1" s="1"/>
  <c r="T1011" i="1"/>
  <c r="U1011" i="1" s="1"/>
  <c r="T1003" i="1"/>
  <c r="U1003" i="1" s="1"/>
  <c r="U995" i="1"/>
  <c r="T995" i="1"/>
  <c r="T987" i="1"/>
  <c r="U987" i="1" s="1"/>
  <c r="T979" i="1"/>
  <c r="U979" i="1" s="1"/>
  <c r="T971" i="1"/>
  <c r="U971" i="1" s="1"/>
  <c r="T955" i="1"/>
  <c r="U955" i="1" s="1"/>
  <c r="T947" i="1"/>
  <c r="U947" i="1" s="1"/>
  <c r="T931" i="1"/>
  <c r="U931" i="1" s="1"/>
  <c r="T923" i="1"/>
  <c r="U923" i="1" s="1"/>
  <c r="T907" i="1"/>
  <c r="U907" i="1" s="1"/>
  <c r="T899" i="1"/>
  <c r="U899" i="1" s="1"/>
  <c r="T891" i="1"/>
  <c r="U891" i="1" s="1"/>
  <c r="T883" i="1"/>
  <c r="U883" i="1" s="1"/>
  <c r="T867" i="1"/>
  <c r="U867" i="1" s="1"/>
  <c r="T859" i="1"/>
  <c r="U859" i="1" s="1"/>
  <c r="T851" i="1"/>
  <c r="U851" i="1" s="1"/>
  <c r="T843" i="1"/>
  <c r="U843" i="1" s="1"/>
  <c r="T835" i="1"/>
  <c r="U835" i="1" s="1"/>
  <c r="T827" i="1"/>
  <c r="U827" i="1" s="1"/>
  <c r="T811" i="1"/>
  <c r="U811" i="1" s="1"/>
  <c r="T803" i="1"/>
  <c r="U803" i="1" s="1"/>
  <c r="T795" i="1"/>
  <c r="U795" i="1" s="1"/>
  <c r="T787" i="1"/>
  <c r="U787" i="1" s="1"/>
  <c r="T779" i="1"/>
  <c r="U779" i="1" s="1"/>
  <c r="T771" i="1"/>
  <c r="U771" i="1" s="1"/>
  <c r="T763" i="1"/>
  <c r="U763" i="1" s="1"/>
  <c r="T755" i="1"/>
  <c r="U755" i="1" s="1"/>
  <c r="T747" i="1"/>
  <c r="U747" i="1" s="1"/>
  <c r="T739" i="1"/>
  <c r="U739" i="1" s="1"/>
  <c r="T731" i="1"/>
  <c r="U731" i="1" s="1"/>
  <c r="T723" i="1"/>
  <c r="U723" i="1" s="1"/>
  <c r="T715" i="1"/>
  <c r="U715" i="1" s="1"/>
  <c r="T707" i="1"/>
  <c r="U707" i="1" s="1"/>
  <c r="T699" i="1"/>
  <c r="U699" i="1" s="1"/>
  <c r="T691" i="1"/>
  <c r="U691" i="1" s="1"/>
  <c r="T683" i="1"/>
  <c r="U683" i="1" s="1"/>
  <c r="T675" i="1"/>
  <c r="U675" i="1" s="1"/>
  <c r="T667" i="1"/>
  <c r="U667" i="1" s="1"/>
  <c r="T659" i="1"/>
  <c r="U659" i="1" s="1"/>
  <c r="T651" i="1"/>
  <c r="U651" i="1" s="1"/>
  <c r="T643" i="1"/>
  <c r="U643" i="1" s="1"/>
  <c r="T635" i="1"/>
  <c r="U635" i="1" s="1"/>
  <c r="T627" i="1"/>
  <c r="U627" i="1" s="1"/>
  <c r="T619" i="1"/>
  <c r="U619" i="1" s="1"/>
  <c r="T611" i="1"/>
  <c r="U611" i="1" s="1"/>
  <c r="T603" i="1"/>
  <c r="U603" i="1" s="1"/>
  <c r="T595" i="1"/>
  <c r="U595" i="1" s="1"/>
  <c r="T587" i="1"/>
  <c r="U587" i="1" s="1"/>
  <c r="T579" i="1"/>
  <c r="U579" i="1" s="1"/>
  <c r="T571" i="1"/>
  <c r="U571" i="1" s="1"/>
  <c r="T563" i="1"/>
  <c r="U563" i="1" s="1"/>
  <c r="T555" i="1"/>
  <c r="U555" i="1" s="1"/>
  <c r="T547" i="1"/>
  <c r="U547" i="1" s="1"/>
  <c r="T539" i="1"/>
  <c r="U539" i="1" s="1"/>
  <c r="T531" i="1"/>
  <c r="U531" i="1" s="1"/>
  <c r="T523" i="1"/>
  <c r="U523" i="1" s="1"/>
  <c r="T515" i="1"/>
  <c r="U515" i="1" s="1"/>
  <c r="U499" i="1"/>
  <c r="T499" i="1"/>
  <c r="T483" i="1"/>
  <c r="U483" i="1" s="1"/>
  <c r="T475" i="1"/>
  <c r="U475" i="1" s="1"/>
  <c r="U467" i="1"/>
  <c r="T459" i="1"/>
  <c r="U459" i="1" s="1"/>
  <c r="T451" i="1"/>
  <c r="U451" i="1" s="1"/>
  <c r="T443" i="1"/>
  <c r="U443" i="1" s="1"/>
  <c r="T435" i="1"/>
  <c r="U435" i="1" s="1"/>
  <c r="T427" i="1"/>
  <c r="U427" i="1" s="1"/>
  <c r="T419" i="1"/>
  <c r="U419" i="1" s="1"/>
  <c r="T411" i="1"/>
  <c r="U411" i="1" s="1"/>
  <c r="T403" i="1"/>
  <c r="U403" i="1" s="1"/>
  <c r="T395" i="1"/>
  <c r="U395" i="1" s="1"/>
  <c r="T387" i="1"/>
  <c r="U387" i="1" s="1"/>
  <c r="T379" i="1"/>
  <c r="U379" i="1" s="1"/>
  <c r="T363" i="1"/>
  <c r="U363" i="1" s="1"/>
  <c r="T347" i="1"/>
  <c r="U347" i="1" s="1"/>
  <c r="T339" i="1"/>
  <c r="U339" i="1" s="1"/>
  <c r="T331" i="1"/>
  <c r="U331" i="1" s="1"/>
  <c r="T323" i="1"/>
  <c r="U323" i="1" s="1"/>
  <c r="T315" i="1"/>
  <c r="U315" i="1" s="1"/>
  <c r="T307" i="1"/>
  <c r="U307" i="1" s="1"/>
  <c r="T299" i="1"/>
  <c r="U299" i="1" s="1"/>
  <c r="T291" i="1"/>
  <c r="U291" i="1" s="1"/>
  <c r="T283" i="1"/>
  <c r="U283" i="1" s="1"/>
  <c r="T275" i="1"/>
  <c r="U275" i="1" s="1"/>
  <c r="T404" i="1"/>
  <c r="U404" i="1" s="1"/>
  <c r="T1106" i="1"/>
  <c r="U1106" i="1" s="1"/>
  <c r="T1098" i="1"/>
  <c r="U1098" i="1" s="1"/>
  <c r="T1090" i="1"/>
  <c r="U1090" i="1" s="1"/>
  <c r="T1082" i="1"/>
  <c r="U1082" i="1" s="1"/>
  <c r="T1074" i="1"/>
  <c r="U1074" i="1" s="1"/>
  <c r="T1066" i="1"/>
  <c r="U1066" i="1" s="1"/>
  <c r="T1058" i="1"/>
  <c r="U1058" i="1" s="1"/>
  <c r="T1050" i="1"/>
  <c r="U1050" i="1" s="1"/>
  <c r="T1042" i="1"/>
  <c r="U1042" i="1" s="1"/>
  <c r="T1034" i="1"/>
  <c r="U1034" i="1" s="1"/>
  <c r="T1026" i="1"/>
  <c r="U1026" i="1" s="1"/>
  <c r="T1018" i="1"/>
  <c r="U1018" i="1" s="1"/>
  <c r="T1010" i="1"/>
  <c r="U1010" i="1" s="1"/>
  <c r="T1002" i="1"/>
  <c r="U1002" i="1" s="1"/>
  <c r="T994" i="1"/>
  <c r="U994" i="1" s="1"/>
  <c r="T986" i="1"/>
  <c r="U986" i="1" s="1"/>
  <c r="T978" i="1"/>
  <c r="U978" i="1" s="1"/>
  <c r="T970" i="1"/>
  <c r="U970" i="1" s="1"/>
  <c r="T962" i="1"/>
  <c r="U962" i="1" s="1"/>
  <c r="T954" i="1"/>
  <c r="U954" i="1" s="1"/>
  <c r="T946" i="1"/>
  <c r="U946" i="1" s="1"/>
  <c r="T938" i="1"/>
  <c r="U938" i="1" s="1"/>
  <c r="T930" i="1"/>
  <c r="U930" i="1" s="1"/>
  <c r="T922" i="1"/>
  <c r="U922" i="1" s="1"/>
  <c r="T914" i="1"/>
  <c r="U914" i="1" s="1"/>
  <c r="U906" i="1"/>
  <c r="T906" i="1"/>
  <c r="T898" i="1"/>
  <c r="U898" i="1" s="1"/>
  <c r="T890" i="1"/>
  <c r="U890" i="1" s="1"/>
  <c r="U882" i="1"/>
  <c r="T866" i="1"/>
  <c r="U866" i="1" s="1"/>
  <c r="T858" i="1"/>
  <c r="U858" i="1" s="1"/>
  <c r="T842" i="1"/>
  <c r="U842" i="1" s="1"/>
  <c r="T834" i="1"/>
  <c r="U834" i="1" s="1"/>
  <c r="T826" i="1"/>
  <c r="U826" i="1" s="1"/>
  <c r="T810" i="1"/>
  <c r="U810" i="1" s="1"/>
  <c r="T802" i="1"/>
  <c r="U802" i="1" s="1"/>
  <c r="T794" i="1"/>
  <c r="U794" i="1" s="1"/>
  <c r="U786" i="1"/>
  <c r="T778" i="1"/>
  <c r="U778" i="1" s="1"/>
  <c r="T770" i="1"/>
  <c r="U770" i="1" s="1"/>
  <c r="T762" i="1"/>
  <c r="U762" i="1" s="1"/>
  <c r="T746" i="1"/>
  <c r="U746" i="1" s="1"/>
  <c r="T738" i="1"/>
  <c r="U738" i="1" s="1"/>
  <c r="T714" i="1"/>
  <c r="U714" i="1" s="1"/>
  <c r="T706" i="1"/>
  <c r="U706" i="1" s="1"/>
  <c r="T698" i="1"/>
  <c r="U698" i="1" s="1"/>
  <c r="T682" i="1"/>
  <c r="U682" i="1" s="1"/>
  <c r="T674" i="1"/>
  <c r="U674" i="1" s="1"/>
  <c r="T666" i="1"/>
  <c r="U666" i="1" s="1"/>
  <c r="T658" i="1"/>
  <c r="U658" i="1" s="1"/>
  <c r="T650" i="1"/>
  <c r="U650" i="1" s="1"/>
  <c r="T642" i="1"/>
  <c r="U642" i="1" s="1"/>
  <c r="T634" i="1"/>
  <c r="U634" i="1" s="1"/>
  <c r="T626" i="1"/>
  <c r="U626" i="1" s="1"/>
  <c r="T618" i="1"/>
  <c r="U618" i="1" s="1"/>
  <c r="T602" i="1"/>
  <c r="U602" i="1" s="1"/>
  <c r="T594" i="1"/>
  <c r="U594" i="1" s="1"/>
  <c r="T586" i="1"/>
  <c r="U586" i="1" s="1"/>
  <c r="T578" i="1"/>
  <c r="U578" i="1" s="1"/>
  <c r="T562" i="1"/>
  <c r="U562" i="1" s="1"/>
  <c r="T546" i="1"/>
  <c r="U546" i="1" s="1"/>
  <c r="T538" i="1"/>
  <c r="U538" i="1" s="1"/>
  <c r="T530" i="1"/>
  <c r="U530" i="1" s="1"/>
  <c r="T522" i="1"/>
  <c r="U522" i="1" s="1"/>
  <c r="T514" i="1"/>
  <c r="U514" i="1" s="1"/>
  <c r="T506" i="1"/>
  <c r="U506" i="1" s="1"/>
  <c r="T498" i="1"/>
  <c r="U498" i="1" s="1"/>
  <c r="T490" i="1"/>
  <c r="U490" i="1" s="1"/>
  <c r="T482" i="1"/>
  <c r="U482" i="1" s="1"/>
  <c r="T474" i="1"/>
  <c r="U474" i="1" s="1"/>
  <c r="T466" i="1"/>
  <c r="U466" i="1" s="1"/>
  <c r="T458" i="1"/>
  <c r="U458" i="1" s="1"/>
  <c r="T450" i="1"/>
  <c r="U450" i="1" s="1"/>
  <c r="T442" i="1"/>
  <c r="U442" i="1" s="1"/>
  <c r="T434" i="1"/>
  <c r="U434" i="1" s="1"/>
  <c r="T426" i="1"/>
  <c r="U426" i="1" s="1"/>
  <c r="T418" i="1"/>
  <c r="U418" i="1" s="1"/>
  <c r="T410" i="1"/>
  <c r="U410" i="1" s="1"/>
  <c r="T402" i="1"/>
  <c r="U402" i="1" s="1"/>
  <c r="T394" i="1"/>
  <c r="U394" i="1" s="1"/>
  <c r="U386" i="1"/>
  <c r="T386" i="1"/>
  <c r="T378" i="1"/>
  <c r="U378" i="1" s="1"/>
  <c r="T370" i="1"/>
  <c r="U370" i="1" s="1"/>
  <c r="T362" i="1"/>
  <c r="U362" i="1" s="1"/>
  <c r="T354" i="1"/>
  <c r="U354" i="1" s="1"/>
  <c r="T338" i="1"/>
  <c r="U338" i="1" s="1"/>
  <c r="T330" i="1"/>
  <c r="U330" i="1" s="1"/>
  <c r="T322" i="1"/>
  <c r="U322" i="1" s="1"/>
  <c r="T314" i="1"/>
  <c r="U314" i="1" s="1"/>
  <c r="T298" i="1"/>
  <c r="U298" i="1" s="1"/>
  <c r="T290" i="1"/>
  <c r="U290" i="1" s="1"/>
  <c r="T282" i="1"/>
  <c r="U282" i="1" s="1"/>
  <c r="T274" i="1"/>
  <c r="U274" i="1" s="1"/>
  <c r="T364" i="1"/>
  <c r="U364" i="1" s="1"/>
  <c r="U977" i="1"/>
  <c r="U961" i="1"/>
  <c r="T953" i="1"/>
  <c r="U953" i="1" s="1"/>
  <c r="T945" i="1"/>
  <c r="U945" i="1" s="1"/>
  <c r="T937" i="1"/>
  <c r="U937" i="1" s="1"/>
  <c r="T929" i="1"/>
  <c r="U929" i="1" s="1"/>
  <c r="T921" i="1"/>
  <c r="U921" i="1" s="1"/>
  <c r="T913" i="1"/>
  <c r="U913" i="1" s="1"/>
  <c r="T905" i="1"/>
  <c r="U905" i="1" s="1"/>
  <c r="T897" i="1"/>
  <c r="U897" i="1" s="1"/>
  <c r="U889" i="1"/>
  <c r="T881" i="1"/>
  <c r="U881" i="1" s="1"/>
  <c r="T873" i="1"/>
  <c r="U873" i="1" s="1"/>
  <c r="T865" i="1"/>
  <c r="U865" i="1" s="1"/>
  <c r="U857" i="1"/>
  <c r="T849" i="1"/>
  <c r="U849" i="1" s="1"/>
  <c r="T841" i="1"/>
  <c r="U841" i="1" s="1"/>
  <c r="T833" i="1"/>
  <c r="U833" i="1" s="1"/>
  <c r="T817" i="1"/>
  <c r="U817" i="1" s="1"/>
  <c r="T809" i="1"/>
  <c r="U809" i="1" s="1"/>
  <c r="T801" i="1"/>
  <c r="U801" i="1" s="1"/>
  <c r="U793" i="1"/>
  <c r="T785" i="1"/>
  <c r="U785" i="1" s="1"/>
  <c r="T777" i="1"/>
  <c r="U777" i="1" s="1"/>
  <c r="T769" i="1"/>
  <c r="U769" i="1" s="1"/>
  <c r="U761" i="1"/>
  <c r="T753" i="1"/>
  <c r="U753" i="1" s="1"/>
  <c r="T745" i="1"/>
  <c r="U745" i="1" s="1"/>
  <c r="T737" i="1"/>
  <c r="U737" i="1" s="1"/>
  <c r="U729" i="1"/>
  <c r="T721" i="1"/>
  <c r="U721" i="1" s="1"/>
  <c r="T713" i="1"/>
  <c r="U713" i="1" s="1"/>
  <c r="T705" i="1"/>
  <c r="U705" i="1" s="1"/>
  <c r="T689" i="1"/>
  <c r="U689" i="1" s="1"/>
  <c r="T681" i="1"/>
  <c r="U681" i="1" s="1"/>
  <c r="T673" i="1"/>
  <c r="U673" i="1" s="1"/>
  <c r="T665" i="1"/>
  <c r="U665" i="1" s="1"/>
  <c r="T657" i="1"/>
  <c r="U657" i="1" s="1"/>
  <c r="T649" i="1"/>
  <c r="U649" i="1" s="1"/>
  <c r="T641" i="1"/>
  <c r="U641" i="1" s="1"/>
  <c r="T633" i="1"/>
  <c r="U633" i="1" s="1"/>
  <c r="T625" i="1"/>
  <c r="U625" i="1" s="1"/>
  <c r="T617" i="1"/>
  <c r="U617" i="1" s="1"/>
  <c r="U609" i="1"/>
  <c r="T601" i="1"/>
  <c r="U601" i="1" s="1"/>
  <c r="T593" i="1"/>
  <c r="U593" i="1" s="1"/>
  <c r="T585" i="1"/>
  <c r="U585" i="1" s="1"/>
  <c r="U569" i="1"/>
  <c r="T553" i="1"/>
  <c r="U553" i="1" s="1"/>
  <c r="T545" i="1"/>
  <c r="U545" i="1" s="1"/>
  <c r="T537" i="1"/>
  <c r="U537" i="1" s="1"/>
  <c r="T529" i="1"/>
  <c r="U529" i="1" s="1"/>
  <c r="T521" i="1"/>
  <c r="U521" i="1" s="1"/>
  <c r="T513" i="1"/>
  <c r="U513" i="1" s="1"/>
  <c r="T505" i="1"/>
  <c r="U505" i="1" s="1"/>
  <c r="T497" i="1"/>
  <c r="U497" i="1" s="1"/>
  <c r="T489" i="1"/>
  <c r="U489" i="1" s="1"/>
  <c r="T473" i="1"/>
  <c r="U473" i="1" s="1"/>
  <c r="T465" i="1"/>
  <c r="U465" i="1" s="1"/>
  <c r="T457" i="1"/>
  <c r="U457" i="1" s="1"/>
  <c r="T449" i="1"/>
  <c r="U449" i="1" s="1"/>
  <c r="U433" i="1"/>
  <c r="T433" i="1"/>
  <c r="T425" i="1"/>
  <c r="U425" i="1" s="1"/>
  <c r="T417" i="1"/>
  <c r="U417" i="1" s="1"/>
  <c r="T401" i="1"/>
  <c r="U401" i="1" s="1"/>
  <c r="T393" i="1"/>
  <c r="U393" i="1" s="1"/>
  <c r="T385" i="1"/>
  <c r="U385" i="1" s="1"/>
  <c r="T377" i="1"/>
  <c r="U377" i="1" s="1"/>
  <c r="T369" i="1"/>
  <c r="U369" i="1" s="1"/>
  <c r="T361" i="1"/>
  <c r="U361" i="1" s="1"/>
  <c r="T345" i="1"/>
  <c r="U345" i="1" s="1"/>
  <c r="T337" i="1"/>
  <c r="U337" i="1" s="1"/>
  <c r="T329" i="1"/>
  <c r="U329" i="1" s="1"/>
  <c r="T321" i="1"/>
  <c r="U321" i="1" s="1"/>
  <c r="T297" i="1"/>
  <c r="U297" i="1" s="1"/>
  <c r="T289" i="1"/>
  <c r="U289" i="1" s="1"/>
  <c r="T281" i="1"/>
  <c r="U281" i="1" s="1"/>
  <c r="T273" i="1"/>
  <c r="U273" i="1" s="1"/>
  <c r="T1296" i="1"/>
  <c r="U1296" i="1" s="1"/>
  <c r="T939" i="1"/>
  <c r="U939" i="1" s="1"/>
  <c r="T850" i="1"/>
  <c r="U850" i="1" s="1"/>
  <c r="T722" i="1"/>
  <c r="U722" i="1" s="1"/>
  <c r="T557" i="1"/>
  <c r="U557" i="1" s="1"/>
  <c r="T353" i="1"/>
  <c r="U353" i="1" s="1"/>
  <c r="U1312" i="1"/>
  <c r="U1304" i="1"/>
  <c r="U1280" i="1"/>
  <c r="U1272" i="1"/>
  <c r="U1264" i="1"/>
  <c r="U1248" i="1"/>
  <c r="U1240" i="1"/>
  <c r="U1232" i="1"/>
  <c r="U1216" i="1"/>
  <c r="U1184" i="1"/>
  <c r="U1176" i="1"/>
  <c r="U1168" i="1"/>
  <c r="U1152" i="1"/>
  <c r="U1144" i="1"/>
  <c r="U1136" i="1"/>
  <c r="U1120" i="1"/>
  <c r="U1112" i="1"/>
  <c r="U1104" i="1"/>
  <c r="U1088" i="1"/>
  <c r="U1080" i="1"/>
  <c r="U1072" i="1"/>
  <c r="U1056" i="1"/>
  <c r="U1048" i="1"/>
  <c r="U1040" i="1"/>
  <c r="U1024" i="1"/>
  <c r="U1016" i="1"/>
  <c r="U1008" i="1"/>
  <c r="U992" i="1"/>
  <c r="U984" i="1"/>
  <c r="U976" i="1"/>
  <c r="U960" i="1"/>
  <c r="U952" i="1"/>
  <c r="T944" i="1"/>
  <c r="U944" i="1" s="1"/>
  <c r="T936" i="1"/>
  <c r="U936" i="1" s="1"/>
  <c r="T920" i="1"/>
  <c r="U920" i="1" s="1"/>
  <c r="U912" i="1"/>
  <c r="T904" i="1"/>
  <c r="U904" i="1" s="1"/>
  <c r="T896" i="1"/>
  <c r="U896" i="1" s="1"/>
  <c r="T888" i="1"/>
  <c r="U888" i="1" s="1"/>
  <c r="T880" i="1"/>
  <c r="U880" i="1" s="1"/>
  <c r="T872" i="1"/>
  <c r="U872" i="1" s="1"/>
  <c r="T864" i="1"/>
  <c r="U864" i="1" s="1"/>
  <c r="T856" i="1"/>
  <c r="U856" i="1" s="1"/>
  <c r="T848" i="1"/>
  <c r="U848" i="1" s="1"/>
  <c r="T840" i="1"/>
  <c r="U840" i="1" s="1"/>
  <c r="T832" i="1"/>
  <c r="U832" i="1" s="1"/>
  <c r="T824" i="1"/>
  <c r="U824" i="1" s="1"/>
  <c r="T808" i="1"/>
  <c r="U808" i="1" s="1"/>
  <c r="T800" i="1"/>
  <c r="U800" i="1" s="1"/>
  <c r="T792" i="1"/>
  <c r="U792" i="1" s="1"/>
  <c r="T784" i="1"/>
  <c r="U784" i="1" s="1"/>
  <c r="T776" i="1"/>
  <c r="U776" i="1" s="1"/>
  <c r="T768" i="1"/>
  <c r="U768" i="1" s="1"/>
  <c r="T760" i="1"/>
  <c r="U760" i="1" s="1"/>
  <c r="T752" i="1"/>
  <c r="U752" i="1" s="1"/>
  <c r="T744" i="1"/>
  <c r="U744" i="1" s="1"/>
  <c r="T736" i="1"/>
  <c r="U736" i="1" s="1"/>
  <c r="T728" i="1"/>
  <c r="U728" i="1" s="1"/>
  <c r="T720" i="1"/>
  <c r="U720" i="1" s="1"/>
  <c r="T712" i="1"/>
  <c r="U712" i="1" s="1"/>
  <c r="T704" i="1"/>
  <c r="U704" i="1" s="1"/>
  <c r="T696" i="1"/>
  <c r="U696" i="1" s="1"/>
  <c r="T688" i="1"/>
  <c r="U688" i="1" s="1"/>
  <c r="T680" i="1"/>
  <c r="U680" i="1" s="1"/>
  <c r="T672" i="1"/>
  <c r="U672" i="1" s="1"/>
  <c r="T664" i="1"/>
  <c r="U664" i="1" s="1"/>
  <c r="T656" i="1"/>
  <c r="U656" i="1" s="1"/>
  <c r="T648" i="1"/>
  <c r="U648" i="1" s="1"/>
  <c r="T640" i="1"/>
  <c r="U640" i="1" s="1"/>
  <c r="T632" i="1"/>
  <c r="U632" i="1" s="1"/>
  <c r="T624" i="1"/>
  <c r="U624" i="1" s="1"/>
  <c r="T608" i="1"/>
  <c r="U608" i="1" s="1"/>
  <c r="T600" i="1"/>
  <c r="U600" i="1" s="1"/>
  <c r="T592" i="1"/>
  <c r="U592" i="1" s="1"/>
  <c r="T584" i="1"/>
  <c r="U584" i="1" s="1"/>
  <c r="T576" i="1"/>
  <c r="U576" i="1" s="1"/>
  <c r="T568" i="1"/>
  <c r="U568" i="1" s="1"/>
  <c r="T560" i="1"/>
  <c r="U560" i="1" s="1"/>
  <c r="T552" i="1"/>
  <c r="U552" i="1" s="1"/>
  <c r="T544" i="1"/>
  <c r="U544" i="1" s="1"/>
  <c r="T536" i="1"/>
  <c r="U536" i="1" s="1"/>
  <c r="T528" i="1"/>
  <c r="U528" i="1" s="1"/>
  <c r="T520" i="1"/>
  <c r="U520" i="1" s="1"/>
  <c r="T512" i="1"/>
  <c r="U512" i="1" s="1"/>
  <c r="T504" i="1"/>
  <c r="U504" i="1" s="1"/>
  <c r="T480" i="1"/>
  <c r="U480" i="1" s="1"/>
  <c r="T472" i="1"/>
  <c r="U472" i="1" s="1"/>
  <c r="T464" i="1"/>
  <c r="U464" i="1" s="1"/>
  <c r="U456" i="1"/>
  <c r="T448" i="1"/>
  <c r="U448" i="1" s="1"/>
  <c r="T440" i="1"/>
  <c r="U440" i="1" s="1"/>
  <c r="T432" i="1"/>
  <c r="U432" i="1" s="1"/>
  <c r="T424" i="1"/>
  <c r="U424" i="1" s="1"/>
  <c r="U416" i="1"/>
  <c r="T408" i="1"/>
  <c r="U408" i="1" s="1"/>
  <c r="T400" i="1"/>
  <c r="U400" i="1" s="1"/>
  <c r="T392" i="1"/>
  <c r="U392" i="1" s="1"/>
  <c r="T384" i="1"/>
  <c r="U384" i="1" s="1"/>
  <c r="T376" i="1"/>
  <c r="U376" i="1" s="1"/>
  <c r="T368" i="1"/>
  <c r="U368" i="1" s="1"/>
  <c r="T360" i="1"/>
  <c r="U360" i="1" s="1"/>
  <c r="T352" i="1"/>
  <c r="U352" i="1" s="1"/>
  <c r="T344" i="1"/>
  <c r="U344" i="1" s="1"/>
  <c r="T336" i="1"/>
  <c r="U336" i="1" s="1"/>
  <c r="T328" i="1"/>
  <c r="U328" i="1" s="1"/>
  <c r="T312" i="1"/>
  <c r="U312" i="1" s="1"/>
  <c r="T304" i="1"/>
  <c r="U304" i="1" s="1"/>
  <c r="T296" i="1"/>
  <c r="U296" i="1" s="1"/>
  <c r="T288" i="1"/>
  <c r="U288" i="1" s="1"/>
  <c r="T280" i="1"/>
  <c r="U280" i="1" s="1"/>
  <c r="T272" i="1"/>
  <c r="U272" i="1" s="1"/>
  <c r="T969" i="1"/>
  <c r="U969" i="1" s="1"/>
  <c r="T928" i="1"/>
  <c r="U928" i="1" s="1"/>
  <c r="T825" i="1"/>
  <c r="U825" i="1" s="1"/>
  <c r="T697" i="1"/>
  <c r="U697" i="1" s="1"/>
  <c r="T517" i="1"/>
  <c r="U517" i="1" s="1"/>
  <c r="T313" i="1"/>
  <c r="U313" i="1" s="1"/>
  <c r="T1175" i="1"/>
  <c r="U1175" i="1" s="1"/>
  <c r="T1167" i="1"/>
  <c r="U1167" i="1" s="1"/>
  <c r="T1159" i="1"/>
  <c r="U1159" i="1" s="1"/>
  <c r="T1151" i="1"/>
  <c r="U1151" i="1" s="1"/>
  <c r="T1143" i="1"/>
  <c r="U1143" i="1" s="1"/>
  <c r="T1135" i="1"/>
  <c r="U1135" i="1" s="1"/>
  <c r="T1127" i="1"/>
  <c r="U1127" i="1" s="1"/>
  <c r="T1119" i="1"/>
  <c r="U1119" i="1" s="1"/>
  <c r="T1111" i="1"/>
  <c r="U1111" i="1" s="1"/>
  <c r="T1103" i="1"/>
  <c r="U1103" i="1" s="1"/>
  <c r="T1095" i="1"/>
  <c r="U1095" i="1" s="1"/>
  <c r="T1087" i="1"/>
  <c r="U1087" i="1" s="1"/>
  <c r="T1071" i="1"/>
  <c r="U1071" i="1" s="1"/>
  <c r="T1063" i="1"/>
  <c r="U1063" i="1" s="1"/>
  <c r="T1055" i="1"/>
  <c r="U1055" i="1" s="1"/>
  <c r="T1047" i="1"/>
  <c r="U1047" i="1" s="1"/>
  <c r="T1039" i="1"/>
  <c r="U1039" i="1" s="1"/>
  <c r="T1031" i="1"/>
  <c r="U1031" i="1" s="1"/>
  <c r="T1023" i="1"/>
  <c r="U1023" i="1" s="1"/>
  <c r="T1015" i="1"/>
  <c r="U1015" i="1" s="1"/>
  <c r="T1007" i="1"/>
  <c r="U1007" i="1" s="1"/>
  <c r="T999" i="1"/>
  <c r="U999" i="1" s="1"/>
  <c r="T991" i="1"/>
  <c r="U991" i="1" s="1"/>
  <c r="T983" i="1"/>
  <c r="U983" i="1" s="1"/>
  <c r="T975" i="1"/>
  <c r="U975" i="1" s="1"/>
  <c r="T967" i="1"/>
  <c r="U967" i="1" s="1"/>
  <c r="T959" i="1"/>
  <c r="U959" i="1" s="1"/>
  <c r="U951" i="1"/>
  <c r="T943" i="1"/>
  <c r="U943" i="1" s="1"/>
  <c r="T935" i="1"/>
  <c r="U935" i="1" s="1"/>
  <c r="T919" i="1"/>
  <c r="U919" i="1" s="1"/>
  <c r="U911" i="1"/>
  <c r="T903" i="1"/>
  <c r="U903" i="1" s="1"/>
  <c r="T895" i="1"/>
  <c r="U895" i="1" s="1"/>
  <c r="T887" i="1"/>
  <c r="U887" i="1" s="1"/>
  <c r="T879" i="1"/>
  <c r="U879" i="1" s="1"/>
  <c r="T863" i="1"/>
  <c r="U863" i="1" s="1"/>
  <c r="T855" i="1"/>
  <c r="U855" i="1" s="1"/>
  <c r="T847" i="1"/>
  <c r="U847" i="1" s="1"/>
  <c r="T839" i="1"/>
  <c r="U839" i="1" s="1"/>
  <c r="T831" i="1"/>
  <c r="U831" i="1" s="1"/>
  <c r="T823" i="1"/>
  <c r="U823" i="1" s="1"/>
  <c r="T815" i="1"/>
  <c r="U815" i="1" s="1"/>
  <c r="T807" i="1"/>
  <c r="U807" i="1" s="1"/>
  <c r="T799" i="1"/>
  <c r="U799" i="1" s="1"/>
  <c r="T791" i="1"/>
  <c r="U791" i="1" s="1"/>
  <c r="T775" i="1"/>
  <c r="U775" i="1" s="1"/>
  <c r="T767" i="1"/>
  <c r="U767" i="1" s="1"/>
  <c r="T759" i="1"/>
  <c r="U759" i="1" s="1"/>
  <c r="T751" i="1"/>
  <c r="U751" i="1" s="1"/>
  <c r="T743" i="1"/>
  <c r="U743" i="1" s="1"/>
  <c r="T735" i="1"/>
  <c r="U735" i="1" s="1"/>
  <c r="T727" i="1"/>
  <c r="U727" i="1" s="1"/>
  <c r="T719" i="1"/>
  <c r="U719" i="1" s="1"/>
  <c r="T711" i="1"/>
  <c r="U711" i="1" s="1"/>
  <c r="T703" i="1"/>
  <c r="U703" i="1" s="1"/>
  <c r="T695" i="1"/>
  <c r="U695" i="1" s="1"/>
  <c r="T687" i="1"/>
  <c r="U687" i="1" s="1"/>
  <c r="T679" i="1"/>
  <c r="U679" i="1" s="1"/>
  <c r="T671" i="1"/>
  <c r="U671" i="1" s="1"/>
  <c r="T663" i="1"/>
  <c r="U663" i="1" s="1"/>
  <c r="T655" i="1"/>
  <c r="U655" i="1" s="1"/>
  <c r="T647" i="1"/>
  <c r="U647" i="1" s="1"/>
  <c r="T639" i="1"/>
  <c r="U639" i="1" s="1"/>
  <c r="T631" i="1"/>
  <c r="U631" i="1" s="1"/>
  <c r="T623" i="1"/>
  <c r="U623" i="1" s="1"/>
  <c r="T615" i="1"/>
  <c r="U615" i="1" s="1"/>
  <c r="T607" i="1"/>
  <c r="U607" i="1" s="1"/>
  <c r="T599" i="1"/>
  <c r="U599" i="1" s="1"/>
  <c r="T591" i="1"/>
  <c r="U591" i="1" s="1"/>
  <c r="T583" i="1"/>
  <c r="U583" i="1" s="1"/>
  <c r="T575" i="1"/>
  <c r="U575" i="1" s="1"/>
  <c r="T567" i="1"/>
  <c r="U567" i="1" s="1"/>
  <c r="T559" i="1"/>
  <c r="U559" i="1" s="1"/>
  <c r="T551" i="1"/>
  <c r="U551" i="1" s="1"/>
  <c r="T543" i="1"/>
  <c r="U543" i="1" s="1"/>
  <c r="T535" i="1"/>
  <c r="U535" i="1" s="1"/>
  <c r="T527" i="1"/>
  <c r="U527" i="1" s="1"/>
  <c r="T519" i="1"/>
  <c r="U519" i="1" s="1"/>
  <c r="T511" i="1"/>
  <c r="U511" i="1" s="1"/>
  <c r="T503" i="1"/>
  <c r="U503" i="1" s="1"/>
  <c r="T495" i="1"/>
  <c r="U495" i="1" s="1"/>
  <c r="T487" i="1"/>
  <c r="U487" i="1" s="1"/>
  <c r="T479" i="1"/>
  <c r="U479" i="1" s="1"/>
  <c r="T471" i="1"/>
  <c r="U471" i="1" s="1"/>
  <c r="T463" i="1"/>
  <c r="U463" i="1" s="1"/>
  <c r="T455" i="1"/>
  <c r="U455" i="1" s="1"/>
  <c r="T447" i="1"/>
  <c r="U447" i="1" s="1"/>
  <c r="T439" i="1"/>
  <c r="U439" i="1" s="1"/>
  <c r="T431" i="1"/>
  <c r="U431" i="1" s="1"/>
  <c r="T423" i="1"/>
  <c r="U423" i="1" s="1"/>
  <c r="T415" i="1"/>
  <c r="U415" i="1" s="1"/>
  <c r="T407" i="1"/>
  <c r="U407" i="1" s="1"/>
  <c r="T399" i="1"/>
  <c r="U399" i="1" s="1"/>
  <c r="T391" i="1"/>
  <c r="U391" i="1" s="1"/>
  <c r="T383" i="1"/>
  <c r="U383" i="1" s="1"/>
  <c r="T375" i="1"/>
  <c r="U375" i="1" s="1"/>
  <c r="T367" i="1"/>
  <c r="U367" i="1" s="1"/>
  <c r="T351" i="1"/>
  <c r="U351" i="1" s="1"/>
  <c r="T343" i="1"/>
  <c r="U343" i="1" s="1"/>
  <c r="T335" i="1"/>
  <c r="U335" i="1" s="1"/>
  <c r="T327" i="1"/>
  <c r="U327" i="1" s="1"/>
  <c r="T319" i="1"/>
  <c r="U319" i="1" s="1"/>
  <c r="T311" i="1"/>
  <c r="U311" i="1" s="1"/>
  <c r="T303" i="1"/>
  <c r="U303" i="1" s="1"/>
  <c r="T295" i="1"/>
  <c r="U295" i="1" s="1"/>
  <c r="T287" i="1"/>
  <c r="U287" i="1" s="1"/>
  <c r="T279" i="1"/>
  <c r="U279" i="1" s="1"/>
  <c r="T271" i="1"/>
  <c r="U271" i="1" s="1"/>
  <c r="T1320" i="1"/>
  <c r="U1320" i="1" s="1"/>
  <c r="T1288" i="1"/>
  <c r="U1288" i="1" s="1"/>
  <c r="T1256" i="1"/>
  <c r="U1256" i="1" s="1"/>
  <c r="T1224" i="1"/>
  <c r="U1224" i="1" s="1"/>
  <c r="T1192" i="1"/>
  <c r="U1192" i="1" s="1"/>
  <c r="T1160" i="1"/>
  <c r="U1160" i="1" s="1"/>
  <c r="T1128" i="1"/>
  <c r="U1128" i="1" s="1"/>
  <c r="T1096" i="1"/>
  <c r="U1096" i="1" s="1"/>
  <c r="T1064" i="1"/>
  <c r="U1064" i="1" s="1"/>
  <c r="T1032" i="1"/>
  <c r="U1032" i="1" s="1"/>
  <c r="T1000" i="1"/>
  <c r="U1000" i="1" s="1"/>
  <c r="T818" i="1"/>
  <c r="U818" i="1" s="1"/>
  <c r="T690" i="1"/>
  <c r="U690" i="1" s="1"/>
  <c r="T507" i="1"/>
  <c r="U507" i="1" s="1"/>
  <c r="U1621" i="1"/>
  <c r="U1629" i="1"/>
  <c r="U1613" i="1"/>
  <c r="U1604" i="1"/>
  <c r="U1588" i="1"/>
  <c r="U1580" i="1"/>
  <c r="U1572" i="1"/>
  <c r="U1564" i="1"/>
  <c r="U1627" i="1"/>
  <c r="U1619" i="1"/>
  <c r="U1611" i="1"/>
  <c r="U1603" i="1"/>
  <c r="U1595" i="1"/>
  <c r="U1618" i="1"/>
  <c r="U1610" i="1"/>
  <c r="U1602" i="1"/>
  <c r="U1594" i="1"/>
  <c r="U1586" i="1"/>
  <c r="U1578" i="1"/>
  <c r="U1570" i="1"/>
  <c r="U1562" i="1"/>
  <c r="U1554" i="1"/>
  <c r="U1546" i="1"/>
  <c r="U1538" i="1"/>
  <c r="U1530" i="1"/>
  <c r="U1522" i="1"/>
  <c r="U1514" i="1"/>
  <c r="U1506" i="1"/>
  <c r="U1498" i="1"/>
  <c r="U1490" i="1"/>
  <c r="U1482" i="1"/>
  <c r="U1474" i="1"/>
  <c r="U1466" i="1"/>
  <c r="U1458" i="1"/>
  <c r="U1442" i="1"/>
  <c r="U1434" i="1"/>
  <c r="U1426" i="1"/>
  <c r="U1418" i="1"/>
  <c r="U1410" i="1"/>
  <c r="U1402" i="1"/>
  <c r="U1386" i="1"/>
  <c r="U1378" i="1"/>
  <c r="U1370" i="1"/>
  <c r="U1362" i="1"/>
  <c r="U1354" i="1"/>
  <c r="U1346" i="1"/>
  <c r="U1338" i="1"/>
  <c r="U1633" i="1"/>
  <c r="U1617" i="1"/>
  <c r="U1601" i="1"/>
  <c r="U1585" i="1"/>
  <c r="U1577" i="1"/>
  <c r="U1569" i="1"/>
  <c r="U1561" i="1"/>
  <c r="U1553" i="1"/>
  <c r="U1545" i="1"/>
  <c r="U1537" i="1"/>
  <c r="U1529" i="1"/>
  <c r="U1521" i="1"/>
  <c r="U1513" i="1"/>
  <c r="U1505" i="1"/>
  <c r="U1497" i="1"/>
  <c r="U1489" i="1"/>
  <c r="U1481" i="1"/>
  <c r="U1473" i="1"/>
  <c r="U1465" i="1"/>
  <c r="U1449" i="1"/>
  <c r="U1441" i="1"/>
  <c r="U1433" i="1"/>
  <c r="U1425" i="1"/>
  <c r="U1417" i="1"/>
  <c r="U1409" i="1"/>
  <c r="U1401" i="1"/>
  <c r="U1393" i="1"/>
  <c r="U1385" i="1"/>
  <c r="U1377" i="1"/>
  <c r="U1369" i="1"/>
  <c r="U1361" i="1"/>
  <c r="U1353" i="1"/>
  <c r="U1345" i="1"/>
  <c r="U1337" i="1"/>
  <c r="U1305" i="1"/>
  <c r="U2" i="1"/>
  <c r="U129" i="1"/>
  <c r="U1200" i="1"/>
  <c r="U1609" i="1"/>
  <c r="U1607" i="1"/>
  <c r="U1215" i="1"/>
  <c r="U1199" i="1"/>
  <c r="U481" i="1"/>
  <c r="U993" i="1"/>
  <c r="U1400" i="1"/>
  <c r="U1502" i="1"/>
  <c r="U798" i="1"/>
  <c r="U766" i="1"/>
  <c r="U496" i="1"/>
  <c r="U616" i="1"/>
  <c r="U1207" i="1"/>
  <c r="U1518" i="1"/>
  <c r="U1614" i="1"/>
  <c r="U105" i="1"/>
  <c r="U1501" i="1"/>
  <c r="U1437" i="1"/>
  <c r="U1309" i="1"/>
  <c r="U1229" i="1"/>
  <c r="U1205" i="1"/>
  <c r="U277" i="1"/>
  <c r="U533" i="1"/>
  <c r="U1078" i="1"/>
  <c r="U1208" i="1"/>
  <c r="U1273" i="1"/>
  <c r="U1414" i="1"/>
  <c r="U1519" i="1"/>
  <c r="U1597" i="1"/>
  <c r="U216" i="1"/>
  <c r="U1620" i="1"/>
  <c r="U1612" i="1"/>
  <c r="U1596" i="1"/>
  <c r="U1412" i="1"/>
  <c r="U1220" i="1"/>
  <c r="U812" i="1"/>
  <c r="U804" i="1"/>
  <c r="U668" i="1"/>
  <c r="U561" i="1"/>
  <c r="U816" i="1"/>
  <c r="U1145" i="1"/>
  <c r="U1212" i="1"/>
  <c r="U1287" i="1"/>
  <c r="U1455" i="1"/>
  <c r="U1527" i="1"/>
  <c r="U1598" i="1"/>
  <c r="U1625" i="1"/>
  <c r="U1571" i="1"/>
  <c r="U1443" i="1"/>
  <c r="U1427" i="1"/>
  <c r="U1419" i="1"/>
  <c r="U1395" i="1"/>
  <c r="U1331" i="1"/>
  <c r="U1299" i="1"/>
  <c r="U1027" i="1"/>
  <c r="U963" i="1"/>
  <c r="U915" i="1"/>
  <c r="U875" i="1"/>
  <c r="U819" i="1"/>
  <c r="U1213" i="1"/>
  <c r="U1366" i="1"/>
  <c r="U1420" i="1"/>
  <c r="U1457" i="1"/>
  <c r="U1528" i="1"/>
  <c r="U1599" i="1"/>
  <c r="U1626" i="1"/>
  <c r="U1450" i="1"/>
  <c r="U1394" i="1"/>
  <c r="U1330" i="1"/>
  <c r="U874" i="1"/>
  <c r="U730" i="1"/>
  <c r="U355" i="1"/>
  <c r="U577" i="1"/>
  <c r="U756" i="1"/>
  <c r="U828" i="1"/>
  <c r="U1191" i="1"/>
  <c r="U1214" i="1"/>
  <c r="U1297" i="1"/>
  <c r="U1371" i="1"/>
  <c r="U1424" i="1"/>
  <c r="U1461" i="1"/>
  <c r="U1549" i="1"/>
  <c r="U1605" i="1"/>
  <c r="U1628" i="1"/>
  <c r="U206" i="1"/>
  <c r="U1162" i="1"/>
  <c r="U754" i="1"/>
  <c r="U570" i="1"/>
  <c r="U1217" i="1"/>
  <c r="U121" i="1"/>
  <c r="U120" i="1"/>
  <c r="U927" i="1"/>
  <c r="U871" i="1"/>
  <c r="U359" i="1"/>
  <c r="U106" i="1"/>
  <c r="U127" i="1"/>
  <c r="U1302" i="1"/>
  <c r="U614" i="1"/>
  <c r="U773" i="1"/>
  <c r="U613" i="1"/>
  <c r="U1428" i="1"/>
  <c r="U988" i="1"/>
  <c r="U66" i="1"/>
  <c r="J925" i="1"/>
  <c r="L925" i="1" s="1"/>
  <c r="N925" i="1" s="1"/>
  <c r="U925" i="1"/>
  <c r="J781" i="1"/>
  <c r="L781" i="1" s="1"/>
  <c r="N781" i="1" s="1"/>
  <c r="U781" i="1"/>
  <c r="J677" i="1"/>
  <c r="L677" i="1" s="1"/>
  <c r="N677" i="1" s="1"/>
  <c r="U677" i="1"/>
  <c r="J301" i="1"/>
  <c r="L301" i="1" s="1"/>
  <c r="N301" i="1" s="1"/>
  <c r="U301" i="1"/>
  <c r="J1340" i="1"/>
  <c r="L1340" i="1" s="1"/>
  <c r="N1340" i="1" s="1"/>
  <c r="U1340" i="1"/>
  <c r="J940" i="1"/>
  <c r="L940" i="1" s="1"/>
  <c r="U940" i="1"/>
  <c r="J892" i="1"/>
  <c r="L892" i="1" s="1"/>
  <c r="N892" i="1" s="1"/>
  <c r="U892" i="1"/>
  <c r="J868" i="1"/>
  <c r="L868" i="1" s="1"/>
  <c r="N868" i="1" s="1"/>
  <c r="U868" i="1"/>
  <c r="J17" i="1"/>
  <c r="L17" i="1" s="1"/>
  <c r="U17" i="1"/>
  <c r="J491" i="1"/>
  <c r="L491" i="1" s="1"/>
  <c r="N491" i="1" s="1"/>
  <c r="U491" i="1"/>
  <c r="J371" i="1"/>
  <c r="L371" i="1" s="1"/>
  <c r="N371" i="1" s="1"/>
  <c r="U371" i="1"/>
  <c r="J160" i="1"/>
  <c r="L160" i="1" s="1"/>
  <c r="N160" i="1" s="1"/>
  <c r="U160" i="1"/>
  <c r="J610" i="1"/>
  <c r="L610" i="1" s="1"/>
  <c r="N610" i="1" s="1"/>
  <c r="U610" i="1"/>
  <c r="J554" i="1"/>
  <c r="L554" i="1" s="1"/>
  <c r="N554" i="1" s="1"/>
  <c r="U554" i="1"/>
  <c r="J346" i="1"/>
  <c r="L346" i="1" s="1"/>
  <c r="N346" i="1" s="1"/>
  <c r="U346" i="1"/>
  <c r="J306" i="1"/>
  <c r="L306" i="1" s="1"/>
  <c r="N306" i="1" s="1"/>
  <c r="U306" i="1"/>
  <c r="J172" i="1"/>
  <c r="L172" i="1" s="1"/>
  <c r="N172" i="1" s="1"/>
  <c r="U172" i="1"/>
  <c r="J1593" i="1"/>
  <c r="L1593" i="1" s="1"/>
  <c r="N1593" i="1" s="1"/>
  <c r="U1593" i="1"/>
  <c r="J1097" i="1"/>
  <c r="L1097" i="1" s="1"/>
  <c r="N1097" i="1" s="1"/>
  <c r="U1097" i="1"/>
  <c r="J441" i="1"/>
  <c r="L441" i="1" s="1"/>
  <c r="N441" i="1" s="1"/>
  <c r="U441" i="1"/>
  <c r="J409" i="1"/>
  <c r="L409" i="1" s="1"/>
  <c r="U409" i="1"/>
  <c r="J305" i="1"/>
  <c r="L305" i="1" s="1"/>
  <c r="N305" i="1" s="1"/>
  <c r="U305" i="1"/>
  <c r="J1600" i="1"/>
  <c r="L1600" i="1" s="1"/>
  <c r="N1600" i="1" s="1"/>
  <c r="U1600" i="1"/>
  <c r="J1592" i="1"/>
  <c r="L1592" i="1" s="1"/>
  <c r="N1592" i="1" s="1"/>
  <c r="U1592" i="1"/>
  <c r="J1472" i="1"/>
  <c r="L1472" i="1" s="1"/>
  <c r="N1472" i="1" s="1"/>
  <c r="U1472" i="1"/>
  <c r="J968" i="1"/>
  <c r="L968" i="1" s="1"/>
  <c r="N968" i="1" s="1"/>
  <c r="U968" i="1"/>
  <c r="J488" i="1"/>
  <c r="L488" i="1" s="1"/>
  <c r="N488" i="1" s="1"/>
  <c r="U488" i="1"/>
  <c r="J320" i="1"/>
  <c r="L320" i="1" s="1"/>
  <c r="N320" i="1" s="1"/>
  <c r="U320" i="1"/>
  <c r="O147" i="1"/>
  <c r="Q147" i="1" s="1"/>
  <c r="S147" i="1" s="1"/>
  <c r="U147" i="1"/>
  <c r="J192" i="1"/>
  <c r="L192" i="1" s="1"/>
  <c r="U192" i="1"/>
  <c r="J1303" i="1"/>
  <c r="L1303" i="1" s="1"/>
  <c r="N1303" i="1" s="1"/>
  <c r="U1303" i="1"/>
  <c r="J1079" i="1"/>
  <c r="L1079" i="1" s="1"/>
  <c r="U1079" i="1"/>
  <c r="J783" i="1"/>
  <c r="L783" i="1" s="1"/>
  <c r="U783" i="1"/>
  <c r="O146" i="1"/>
  <c r="Q146" i="1" s="1"/>
  <c r="S146" i="1" s="1"/>
  <c r="U146" i="1"/>
  <c r="J926" i="1"/>
  <c r="L926" i="1" s="1"/>
  <c r="N926" i="1" s="1"/>
  <c r="U926" i="1"/>
  <c r="J910" i="1"/>
  <c r="L910" i="1" s="1"/>
  <c r="N910" i="1" s="1"/>
  <c r="U910" i="1"/>
  <c r="J782" i="1"/>
  <c r="L782" i="1" s="1"/>
  <c r="N782" i="1" s="1"/>
  <c r="U782" i="1"/>
  <c r="O16" i="1"/>
  <c r="Q16" i="1" s="1"/>
  <c r="S16" i="1" s="1"/>
  <c r="O8" i="1"/>
  <c r="Q8" i="1" s="1"/>
  <c r="S8" i="1" s="1"/>
  <c r="O1631" i="1"/>
  <c r="Q1631" i="1" s="1"/>
  <c r="S1631" i="1" s="1"/>
  <c r="O1623" i="1"/>
  <c r="Q1623" i="1" s="1"/>
  <c r="S1623" i="1" s="1"/>
  <c r="O1615" i="1"/>
  <c r="Q1615" i="1" s="1"/>
  <c r="S1615" i="1" s="1"/>
  <c r="O1607" i="1"/>
  <c r="Q1607" i="1" s="1"/>
  <c r="S1607" i="1" s="1"/>
  <c r="O1598" i="1"/>
  <c r="Q1598" i="1" s="1"/>
  <c r="S1598" i="1" s="1"/>
  <c r="O1588" i="1"/>
  <c r="Q1588" i="1" s="1"/>
  <c r="S1588" i="1" s="1"/>
  <c r="O1580" i="1"/>
  <c r="Q1580" i="1" s="1"/>
  <c r="S1580" i="1" s="1"/>
  <c r="O1572" i="1"/>
  <c r="Q1572" i="1" s="1"/>
  <c r="S1572" i="1" s="1"/>
  <c r="O1564" i="1"/>
  <c r="Q1564" i="1" s="1"/>
  <c r="S1564" i="1" s="1"/>
  <c r="O1556" i="1"/>
  <c r="Q1556" i="1" s="1"/>
  <c r="S1556" i="1" s="1"/>
  <c r="O1548" i="1"/>
  <c r="Q1548" i="1" s="1"/>
  <c r="S1548" i="1" s="1"/>
  <c r="O1540" i="1"/>
  <c r="Q1540" i="1" s="1"/>
  <c r="S1540" i="1" s="1"/>
  <c r="O1532" i="1"/>
  <c r="Q1532" i="1" s="1"/>
  <c r="S1532" i="1" s="1"/>
  <c r="O1524" i="1"/>
  <c r="Q1524" i="1" s="1"/>
  <c r="S1524" i="1" s="1"/>
  <c r="O1516" i="1"/>
  <c r="Q1516" i="1" s="1"/>
  <c r="S1516" i="1" s="1"/>
  <c r="O1508" i="1"/>
  <c r="Q1508" i="1" s="1"/>
  <c r="S1508" i="1" s="1"/>
  <c r="O1500" i="1"/>
  <c r="Q1500" i="1" s="1"/>
  <c r="S1500" i="1" s="1"/>
  <c r="O1492" i="1"/>
  <c r="Q1492" i="1" s="1"/>
  <c r="S1492" i="1" s="1"/>
  <c r="O1484" i="1"/>
  <c r="Q1484" i="1" s="1"/>
  <c r="S1484" i="1" s="1"/>
  <c r="O1476" i="1"/>
  <c r="Q1476" i="1" s="1"/>
  <c r="S1476" i="1" s="1"/>
  <c r="O1467" i="1"/>
  <c r="Q1467" i="1" s="1"/>
  <c r="S1467" i="1" s="1"/>
  <c r="O1459" i="1"/>
  <c r="Q1459" i="1" s="1"/>
  <c r="S1459" i="1" s="1"/>
  <c r="O1451" i="1"/>
  <c r="Q1451" i="1" s="1"/>
  <c r="S1451" i="1" s="1"/>
  <c r="O1443" i="1"/>
  <c r="Q1443" i="1" s="1"/>
  <c r="S1443" i="1" s="1"/>
  <c r="O1435" i="1"/>
  <c r="Q1435" i="1" s="1"/>
  <c r="S1435" i="1" s="1"/>
  <c r="O1427" i="1"/>
  <c r="Q1427" i="1" s="1"/>
  <c r="S1427" i="1" s="1"/>
  <c r="O1419" i="1"/>
  <c r="Q1419" i="1" s="1"/>
  <c r="S1419" i="1" s="1"/>
  <c r="O1411" i="1"/>
  <c r="Q1411" i="1" s="1"/>
  <c r="S1411" i="1" s="1"/>
  <c r="O1403" i="1"/>
  <c r="Q1403" i="1" s="1"/>
  <c r="S1403" i="1" s="1"/>
  <c r="O1395" i="1"/>
  <c r="Q1395" i="1" s="1"/>
  <c r="S1395" i="1" s="1"/>
  <c r="O1387" i="1"/>
  <c r="Q1387" i="1" s="1"/>
  <c r="S1387" i="1" s="1"/>
  <c r="O1379" i="1"/>
  <c r="Q1379" i="1" s="1"/>
  <c r="S1379" i="1" s="1"/>
  <c r="O1371" i="1"/>
  <c r="Q1371" i="1" s="1"/>
  <c r="S1371" i="1" s="1"/>
  <c r="O1363" i="1"/>
  <c r="Q1363" i="1" s="1"/>
  <c r="S1363" i="1" s="1"/>
  <c r="O1355" i="1"/>
  <c r="Q1355" i="1" s="1"/>
  <c r="S1355" i="1" s="1"/>
  <c r="O1347" i="1"/>
  <c r="Q1347" i="1" s="1"/>
  <c r="S1347" i="1" s="1"/>
  <c r="O1338" i="1"/>
  <c r="Q1338" i="1" s="1"/>
  <c r="S1338" i="1" s="1"/>
  <c r="O1330" i="1"/>
  <c r="Q1330" i="1" s="1"/>
  <c r="S1330" i="1" s="1"/>
  <c r="O1322" i="1"/>
  <c r="Q1322" i="1" s="1"/>
  <c r="S1322" i="1" s="1"/>
  <c r="O1314" i="1"/>
  <c r="Q1314" i="1" s="1"/>
  <c r="S1314" i="1" s="1"/>
  <c r="O1306" i="1"/>
  <c r="Q1306" i="1" s="1"/>
  <c r="S1306" i="1" s="1"/>
  <c r="O1297" i="1"/>
  <c r="Q1297" i="1" s="1"/>
  <c r="S1297" i="1" s="1"/>
  <c r="O1288" i="1"/>
  <c r="Q1288" i="1" s="1"/>
  <c r="S1288" i="1" s="1"/>
  <c r="O1280" i="1"/>
  <c r="Q1280" i="1" s="1"/>
  <c r="S1280" i="1" s="1"/>
  <c r="O1272" i="1"/>
  <c r="Q1272" i="1" s="1"/>
  <c r="S1272" i="1" s="1"/>
  <c r="O1264" i="1"/>
  <c r="Q1264" i="1" s="1"/>
  <c r="S1264" i="1" s="1"/>
  <c r="O1256" i="1"/>
  <c r="Q1256" i="1" s="1"/>
  <c r="S1256" i="1" s="1"/>
  <c r="O1248" i="1"/>
  <c r="Q1248" i="1" s="1"/>
  <c r="S1248" i="1" s="1"/>
  <c r="O1240" i="1"/>
  <c r="Q1240" i="1" s="1"/>
  <c r="S1240" i="1" s="1"/>
  <c r="O1232" i="1"/>
  <c r="Q1232" i="1" s="1"/>
  <c r="S1232" i="1" s="1"/>
  <c r="O1224" i="1"/>
  <c r="Q1224" i="1" s="1"/>
  <c r="S1224" i="1" s="1"/>
  <c r="O1216" i="1"/>
  <c r="Q1216" i="1" s="1"/>
  <c r="S1216" i="1" s="1"/>
  <c r="O1208" i="1"/>
  <c r="Q1208" i="1" s="1"/>
  <c r="S1208" i="1" s="1"/>
  <c r="O1200" i="1"/>
  <c r="Q1200" i="1" s="1"/>
  <c r="S1200" i="1" s="1"/>
  <c r="O1192" i="1"/>
  <c r="Q1192" i="1" s="1"/>
  <c r="S1192" i="1" s="1"/>
  <c r="O1184" i="1"/>
  <c r="Q1184" i="1" s="1"/>
  <c r="S1184" i="1" s="1"/>
  <c r="O1176" i="1"/>
  <c r="Q1176" i="1" s="1"/>
  <c r="S1176" i="1" s="1"/>
  <c r="O1168" i="1"/>
  <c r="Q1168" i="1" s="1"/>
  <c r="S1168" i="1" s="1"/>
  <c r="O1160" i="1"/>
  <c r="Q1160" i="1" s="1"/>
  <c r="S1160" i="1" s="1"/>
  <c r="O1152" i="1"/>
  <c r="Q1152" i="1" s="1"/>
  <c r="S1152" i="1" s="1"/>
  <c r="O926" i="1"/>
  <c r="Q926" i="1" s="1"/>
  <c r="S926" i="1" s="1"/>
  <c r="O15" i="1"/>
  <c r="Q15" i="1" s="1"/>
  <c r="S15" i="1" s="1"/>
  <c r="O7" i="1"/>
  <c r="Q7" i="1" s="1"/>
  <c r="S7" i="1" s="1"/>
  <c r="O1630" i="1"/>
  <c r="Q1630" i="1" s="1"/>
  <c r="S1630" i="1" s="1"/>
  <c r="O1622" i="1"/>
  <c r="Q1622" i="1" s="1"/>
  <c r="S1622" i="1" s="1"/>
  <c r="O1614" i="1"/>
  <c r="Q1614" i="1" s="1"/>
  <c r="S1614" i="1" s="1"/>
  <c r="O1606" i="1"/>
  <c r="Q1606" i="1" s="1"/>
  <c r="S1606" i="1" s="1"/>
  <c r="O1597" i="1"/>
  <c r="Q1597" i="1" s="1"/>
  <c r="S1597" i="1" s="1"/>
  <c r="O1587" i="1"/>
  <c r="Q1587" i="1" s="1"/>
  <c r="S1587" i="1" s="1"/>
  <c r="O1579" i="1"/>
  <c r="Q1579" i="1" s="1"/>
  <c r="S1579" i="1" s="1"/>
  <c r="O1571" i="1"/>
  <c r="Q1571" i="1" s="1"/>
  <c r="S1571" i="1" s="1"/>
  <c r="O1563" i="1"/>
  <c r="Q1563" i="1" s="1"/>
  <c r="S1563" i="1" s="1"/>
  <c r="O1555" i="1"/>
  <c r="Q1555" i="1" s="1"/>
  <c r="S1555" i="1" s="1"/>
  <c r="O1547" i="1"/>
  <c r="Q1547" i="1" s="1"/>
  <c r="S1547" i="1" s="1"/>
  <c r="O1539" i="1"/>
  <c r="Q1539" i="1" s="1"/>
  <c r="S1539" i="1" s="1"/>
  <c r="O1531" i="1"/>
  <c r="Q1531" i="1" s="1"/>
  <c r="S1531" i="1" s="1"/>
  <c r="O1523" i="1"/>
  <c r="Q1523" i="1" s="1"/>
  <c r="S1523" i="1" s="1"/>
  <c r="O1515" i="1"/>
  <c r="Q1515" i="1" s="1"/>
  <c r="S1515" i="1" s="1"/>
  <c r="O1507" i="1"/>
  <c r="Q1507" i="1" s="1"/>
  <c r="S1507" i="1" s="1"/>
  <c r="O1499" i="1"/>
  <c r="Q1499" i="1" s="1"/>
  <c r="S1499" i="1" s="1"/>
  <c r="O1491" i="1"/>
  <c r="Q1491" i="1" s="1"/>
  <c r="S1491" i="1" s="1"/>
  <c r="O1483" i="1"/>
  <c r="Q1483" i="1" s="1"/>
  <c r="S1483" i="1" s="1"/>
  <c r="O1475" i="1"/>
  <c r="Q1475" i="1" s="1"/>
  <c r="S1475" i="1" s="1"/>
  <c r="O1466" i="1"/>
  <c r="Q1466" i="1" s="1"/>
  <c r="S1466" i="1" s="1"/>
  <c r="O1458" i="1"/>
  <c r="Q1458" i="1" s="1"/>
  <c r="S1458" i="1" s="1"/>
  <c r="O781" i="1"/>
  <c r="Q781" i="1" s="1"/>
  <c r="S781" i="1" s="1"/>
  <c r="O677" i="1"/>
  <c r="Q677" i="1" s="1"/>
  <c r="S677" i="1" s="1"/>
  <c r="O14" i="1"/>
  <c r="Q14" i="1" s="1"/>
  <c r="S14" i="1" s="1"/>
  <c r="O6" i="1"/>
  <c r="Q6" i="1" s="1"/>
  <c r="S6" i="1" s="1"/>
  <c r="O1629" i="1"/>
  <c r="Q1629" i="1" s="1"/>
  <c r="S1629" i="1" s="1"/>
  <c r="O1621" i="1"/>
  <c r="Q1621" i="1" s="1"/>
  <c r="S1621" i="1" s="1"/>
  <c r="O1613" i="1"/>
  <c r="Q1613" i="1" s="1"/>
  <c r="S1613" i="1" s="1"/>
  <c r="O1605" i="1"/>
  <c r="Q1605" i="1" s="1"/>
  <c r="S1605" i="1" s="1"/>
  <c r="O1596" i="1"/>
  <c r="Q1596" i="1" s="1"/>
  <c r="S1596" i="1" s="1"/>
  <c r="O1586" i="1"/>
  <c r="Q1586" i="1" s="1"/>
  <c r="S1586" i="1" s="1"/>
  <c r="O1578" i="1"/>
  <c r="Q1578" i="1" s="1"/>
  <c r="S1578" i="1" s="1"/>
  <c r="O1570" i="1"/>
  <c r="Q1570" i="1" s="1"/>
  <c r="S1570" i="1" s="1"/>
  <c r="O1562" i="1"/>
  <c r="Q1562" i="1" s="1"/>
  <c r="S1562" i="1" s="1"/>
  <c r="O1554" i="1"/>
  <c r="Q1554" i="1" s="1"/>
  <c r="S1554" i="1" s="1"/>
  <c r="O1546" i="1"/>
  <c r="Q1546" i="1" s="1"/>
  <c r="S1546" i="1" s="1"/>
  <c r="O1538" i="1"/>
  <c r="Q1538" i="1" s="1"/>
  <c r="S1538" i="1" s="1"/>
  <c r="O1530" i="1"/>
  <c r="Q1530" i="1" s="1"/>
  <c r="S1530" i="1" s="1"/>
  <c r="O1522" i="1"/>
  <c r="Q1522" i="1" s="1"/>
  <c r="S1522" i="1" s="1"/>
  <c r="O1514" i="1"/>
  <c r="Q1514" i="1" s="1"/>
  <c r="S1514" i="1" s="1"/>
  <c r="O1506" i="1"/>
  <c r="Q1506" i="1" s="1"/>
  <c r="S1506" i="1" s="1"/>
  <c r="O1498" i="1"/>
  <c r="Q1498" i="1" s="1"/>
  <c r="S1498" i="1" s="1"/>
  <c r="O1490" i="1"/>
  <c r="Q1490" i="1" s="1"/>
  <c r="S1490" i="1" s="1"/>
  <c r="O1482" i="1"/>
  <c r="Q1482" i="1" s="1"/>
  <c r="S1482" i="1" s="1"/>
  <c r="O1474" i="1"/>
  <c r="Q1474" i="1" s="1"/>
  <c r="S1474" i="1" s="1"/>
  <c r="O1465" i="1"/>
  <c r="Q1465" i="1" s="1"/>
  <c r="S1465" i="1" s="1"/>
  <c r="O1457" i="1"/>
  <c r="Q1457" i="1" s="1"/>
  <c r="S1457" i="1" s="1"/>
  <c r="O1449" i="1"/>
  <c r="Q1449" i="1" s="1"/>
  <c r="S1449" i="1" s="1"/>
  <c r="O1441" i="1"/>
  <c r="Q1441" i="1" s="1"/>
  <c r="S1441" i="1" s="1"/>
  <c r="O1433" i="1"/>
  <c r="Q1433" i="1" s="1"/>
  <c r="S1433" i="1" s="1"/>
  <c r="O1425" i="1"/>
  <c r="Q1425" i="1" s="1"/>
  <c r="S1425" i="1" s="1"/>
  <c r="O1417" i="1"/>
  <c r="Q1417" i="1" s="1"/>
  <c r="S1417" i="1" s="1"/>
  <c r="O1409" i="1"/>
  <c r="Q1409" i="1" s="1"/>
  <c r="S1409" i="1" s="1"/>
  <c r="O1401" i="1"/>
  <c r="Q1401" i="1" s="1"/>
  <c r="S1401" i="1" s="1"/>
  <c r="O1393" i="1"/>
  <c r="Q1393" i="1" s="1"/>
  <c r="S1393" i="1" s="1"/>
  <c r="O1385" i="1"/>
  <c r="Q1385" i="1" s="1"/>
  <c r="S1385" i="1" s="1"/>
  <c r="O1377" i="1"/>
  <c r="Q1377" i="1" s="1"/>
  <c r="S1377" i="1" s="1"/>
  <c r="O1369" i="1"/>
  <c r="Q1369" i="1" s="1"/>
  <c r="S1369" i="1" s="1"/>
  <c r="O1361" i="1"/>
  <c r="Q1361" i="1" s="1"/>
  <c r="S1361" i="1" s="1"/>
  <c r="O1353" i="1"/>
  <c r="Q1353" i="1" s="1"/>
  <c r="S1353" i="1" s="1"/>
  <c r="O1345" i="1"/>
  <c r="Q1345" i="1" s="1"/>
  <c r="S1345" i="1" s="1"/>
  <c r="O1336" i="1"/>
  <c r="Q1336" i="1" s="1"/>
  <c r="S1336" i="1" s="1"/>
  <c r="O1328" i="1"/>
  <c r="Q1328" i="1" s="1"/>
  <c r="S1328" i="1" s="1"/>
  <c r="O1320" i="1"/>
  <c r="Q1320" i="1" s="1"/>
  <c r="S1320" i="1" s="1"/>
  <c r="O1312" i="1"/>
  <c r="Q1312" i="1" s="1"/>
  <c r="S1312" i="1" s="1"/>
  <c r="O1304" i="1"/>
  <c r="Q1304" i="1" s="1"/>
  <c r="S1304" i="1" s="1"/>
  <c r="O1294" i="1"/>
  <c r="Q1294" i="1" s="1"/>
  <c r="S1294" i="1" s="1"/>
  <c r="O1286" i="1"/>
  <c r="Q1286" i="1" s="1"/>
  <c r="S1286" i="1" s="1"/>
  <c r="O1278" i="1"/>
  <c r="Q1278" i="1" s="1"/>
  <c r="S1278" i="1" s="1"/>
  <c r="O1270" i="1"/>
  <c r="Q1270" i="1" s="1"/>
  <c r="S1270" i="1" s="1"/>
  <c r="O1262" i="1"/>
  <c r="Q1262" i="1" s="1"/>
  <c r="S1262" i="1" s="1"/>
  <c r="O1254" i="1"/>
  <c r="Q1254" i="1" s="1"/>
  <c r="S1254" i="1" s="1"/>
  <c r="O1246" i="1"/>
  <c r="Q1246" i="1" s="1"/>
  <c r="S1246" i="1" s="1"/>
  <c r="O1238" i="1"/>
  <c r="Q1238" i="1" s="1"/>
  <c r="S1238" i="1" s="1"/>
  <c r="O1230" i="1"/>
  <c r="Q1230" i="1" s="1"/>
  <c r="S1230" i="1" s="1"/>
  <c r="O1222" i="1"/>
  <c r="Q1222" i="1" s="1"/>
  <c r="S1222" i="1" s="1"/>
  <c r="O1214" i="1"/>
  <c r="Q1214" i="1" s="1"/>
  <c r="S1214" i="1" s="1"/>
  <c r="O1206" i="1"/>
  <c r="Q1206" i="1" s="1"/>
  <c r="S1206" i="1" s="1"/>
  <c r="O1198" i="1"/>
  <c r="Q1198" i="1" s="1"/>
  <c r="S1198" i="1" s="1"/>
  <c r="O1190" i="1"/>
  <c r="Q1190" i="1" s="1"/>
  <c r="S1190" i="1" s="1"/>
  <c r="O1182" i="1"/>
  <c r="Q1182" i="1" s="1"/>
  <c r="S1182" i="1" s="1"/>
  <c r="O1174" i="1"/>
  <c r="Q1174" i="1" s="1"/>
  <c r="S1174" i="1" s="1"/>
  <c r="O1166" i="1"/>
  <c r="Q1166" i="1" s="1"/>
  <c r="S1166" i="1" s="1"/>
  <c r="O1158" i="1"/>
  <c r="Q1158" i="1" s="1"/>
  <c r="S1158" i="1" s="1"/>
  <c r="O1150" i="1"/>
  <c r="Q1150" i="1" s="1"/>
  <c r="S1150" i="1" s="1"/>
  <c r="O1142" i="1"/>
  <c r="Q1142" i="1" s="1"/>
  <c r="S1142" i="1" s="1"/>
  <c r="O1134" i="1"/>
  <c r="Q1134" i="1" s="1"/>
  <c r="S1134" i="1" s="1"/>
  <c r="O940" i="1"/>
  <c r="Q940" i="1" s="1"/>
  <c r="S940" i="1" s="1"/>
  <c r="O13" i="1"/>
  <c r="Q13" i="1" s="1"/>
  <c r="S13" i="1" s="1"/>
  <c r="O5" i="1"/>
  <c r="Q5" i="1" s="1"/>
  <c r="S5" i="1" s="1"/>
  <c r="O1628" i="1"/>
  <c r="Q1628" i="1" s="1"/>
  <c r="S1628" i="1" s="1"/>
  <c r="O1620" i="1"/>
  <c r="Q1620" i="1" s="1"/>
  <c r="S1620" i="1" s="1"/>
  <c r="O1612" i="1"/>
  <c r="Q1612" i="1" s="1"/>
  <c r="S1612" i="1" s="1"/>
  <c r="O1604" i="1"/>
  <c r="Q1604" i="1" s="1"/>
  <c r="S1604" i="1" s="1"/>
  <c r="O1595" i="1"/>
  <c r="Q1595" i="1" s="1"/>
  <c r="S1595" i="1" s="1"/>
  <c r="O1585" i="1"/>
  <c r="Q1585" i="1" s="1"/>
  <c r="S1585" i="1" s="1"/>
  <c r="O1577" i="1"/>
  <c r="Q1577" i="1" s="1"/>
  <c r="S1577" i="1" s="1"/>
  <c r="O1569" i="1"/>
  <c r="Q1569" i="1" s="1"/>
  <c r="S1569" i="1" s="1"/>
  <c r="O1561" i="1"/>
  <c r="Q1561" i="1" s="1"/>
  <c r="S1561" i="1" s="1"/>
  <c r="O1553" i="1"/>
  <c r="Q1553" i="1" s="1"/>
  <c r="S1553" i="1" s="1"/>
  <c r="O1545" i="1"/>
  <c r="Q1545" i="1" s="1"/>
  <c r="S1545" i="1" s="1"/>
  <c r="O1537" i="1"/>
  <c r="Q1537" i="1" s="1"/>
  <c r="S1537" i="1" s="1"/>
  <c r="O1529" i="1"/>
  <c r="Q1529" i="1" s="1"/>
  <c r="S1529" i="1" s="1"/>
  <c r="O1521" i="1"/>
  <c r="Q1521" i="1" s="1"/>
  <c r="S1521" i="1" s="1"/>
  <c r="O1513" i="1"/>
  <c r="Q1513" i="1" s="1"/>
  <c r="S1513" i="1" s="1"/>
  <c r="O1505" i="1"/>
  <c r="Q1505" i="1" s="1"/>
  <c r="S1505" i="1" s="1"/>
  <c r="O1497" i="1"/>
  <c r="Q1497" i="1" s="1"/>
  <c r="S1497" i="1" s="1"/>
  <c r="O1489" i="1"/>
  <c r="Q1489" i="1" s="1"/>
  <c r="S1489" i="1" s="1"/>
  <c r="O1481" i="1"/>
  <c r="Q1481" i="1" s="1"/>
  <c r="S1481" i="1" s="1"/>
  <c r="O1473" i="1"/>
  <c r="Q1473" i="1" s="1"/>
  <c r="S1473" i="1" s="1"/>
  <c r="O1464" i="1"/>
  <c r="Q1464" i="1" s="1"/>
  <c r="S1464" i="1" s="1"/>
  <c r="O1456" i="1"/>
  <c r="Q1456" i="1" s="1"/>
  <c r="S1456" i="1" s="1"/>
  <c r="O1448" i="1"/>
  <c r="Q1448" i="1" s="1"/>
  <c r="S1448" i="1" s="1"/>
  <c r="O1440" i="1"/>
  <c r="Q1440" i="1" s="1"/>
  <c r="S1440" i="1" s="1"/>
  <c r="O1432" i="1"/>
  <c r="Q1432" i="1" s="1"/>
  <c r="S1432" i="1" s="1"/>
  <c r="O1424" i="1"/>
  <c r="Q1424" i="1" s="1"/>
  <c r="S1424" i="1" s="1"/>
  <c r="O1416" i="1"/>
  <c r="Q1416" i="1" s="1"/>
  <c r="S1416" i="1" s="1"/>
  <c r="O1408" i="1"/>
  <c r="Q1408" i="1" s="1"/>
  <c r="S1408" i="1" s="1"/>
  <c r="O1400" i="1"/>
  <c r="Q1400" i="1" s="1"/>
  <c r="S1400" i="1" s="1"/>
  <c r="O1392" i="1"/>
  <c r="Q1392" i="1" s="1"/>
  <c r="S1392" i="1" s="1"/>
  <c r="O1384" i="1"/>
  <c r="Q1384" i="1" s="1"/>
  <c r="S1384" i="1" s="1"/>
  <c r="O1376" i="1"/>
  <c r="Q1376" i="1" s="1"/>
  <c r="S1376" i="1" s="1"/>
  <c r="O1368" i="1"/>
  <c r="Q1368" i="1" s="1"/>
  <c r="S1368" i="1" s="1"/>
  <c r="O1360" i="1"/>
  <c r="Q1360" i="1" s="1"/>
  <c r="S1360" i="1" s="1"/>
  <c r="O1352" i="1"/>
  <c r="Q1352" i="1" s="1"/>
  <c r="S1352" i="1" s="1"/>
  <c r="O1344" i="1"/>
  <c r="Q1344" i="1" s="1"/>
  <c r="S1344" i="1" s="1"/>
  <c r="O1335" i="1"/>
  <c r="Q1335" i="1" s="1"/>
  <c r="S1335" i="1" s="1"/>
  <c r="O1327" i="1"/>
  <c r="Q1327" i="1" s="1"/>
  <c r="S1327" i="1" s="1"/>
  <c r="O1319" i="1"/>
  <c r="Q1319" i="1" s="1"/>
  <c r="S1319" i="1" s="1"/>
  <c r="O1311" i="1"/>
  <c r="Q1311" i="1" s="1"/>
  <c r="S1311" i="1" s="1"/>
  <c r="O1302" i="1"/>
  <c r="Q1302" i="1" s="1"/>
  <c r="S1302" i="1" s="1"/>
  <c r="O1293" i="1"/>
  <c r="Q1293" i="1" s="1"/>
  <c r="S1293" i="1" s="1"/>
  <c r="O1285" i="1"/>
  <c r="Q1285" i="1" s="1"/>
  <c r="S1285" i="1" s="1"/>
  <c r="O1277" i="1"/>
  <c r="Q1277" i="1" s="1"/>
  <c r="S1277" i="1" s="1"/>
  <c r="O1269" i="1"/>
  <c r="Q1269" i="1" s="1"/>
  <c r="S1269" i="1" s="1"/>
  <c r="O1261" i="1"/>
  <c r="Q1261" i="1" s="1"/>
  <c r="S1261" i="1" s="1"/>
  <c r="O1253" i="1"/>
  <c r="Q1253" i="1" s="1"/>
  <c r="S1253" i="1" s="1"/>
  <c r="O1245" i="1"/>
  <c r="Q1245" i="1" s="1"/>
  <c r="S1245" i="1" s="1"/>
  <c r="O1237" i="1"/>
  <c r="Q1237" i="1" s="1"/>
  <c r="S1237" i="1" s="1"/>
  <c r="O1229" i="1"/>
  <c r="Q1229" i="1" s="1"/>
  <c r="S1229" i="1" s="1"/>
  <c r="O1221" i="1"/>
  <c r="Q1221" i="1" s="1"/>
  <c r="S1221" i="1" s="1"/>
  <c r="O1213" i="1"/>
  <c r="Q1213" i="1" s="1"/>
  <c r="S1213" i="1" s="1"/>
  <c r="O1205" i="1"/>
  <c r="Q1205" i="1" s="1"/>
  <c r="S1205" i="1" s="1"/>
  <c r="O1197" i="1"/>
  <c r="Q1197" i="1" s="1"/>
  <c r="S1197" i="1" s="1"/>
  <c r="O1189" i="1"/>
  <c r="Q1189" i="1" s="1"/>
  <c r="S1189" i="1" s="1"/>
  <c r="O1181" i="1"/>
  <c r="Q1181" i="1" s="1"/>
  <c r="S1181" i="1" s="1"/>
  <c r="O1173" i="1"/>
  <c r="Q1173" i="1" s="1"/>
  <c r="S1173" i="1" s="1"/>
  <c r="O1165" i="1"/>
  <c r="Q1165" i="1" s="1"/>
  <c r="S1165" i="1" s="1"/>
  <c r="O1157" i="1"/>
  <c r="Q1157" i="1" s="1"/>
  <c r="S1157" i="1" s="1"/>
  <c r="O1149" i="1"/>
  <c r="Q1149" i="1" s="1"/>
  <c r="S1149" i="1" s="1"/>
  <c r="O1141" i="1"/>
  <c r="Q1141" i="1" s="1"/>
  <c r="S1141" i="1" s="1"/>
  <c r="O1133" i="1"/>
  <c r="Q1133" i="1" s="1"/>
  <c r="S1133" i="1" s="1"/>
  <c r="O1125" i="1"/>
  <c r="Q1125" i="1" s="1"/>
  <c r="S1125" i="1" s="1"/>
  <c r="O491" i="1"/>
  <c r="Q491" i="1" s="1"/>
  <c r="S491" i="1" s="1"/>
  <c r="O371" i="1"/>
  <c r="Q371" i="1" s="1"/>
  <c r="S371" i="1" s="1"/>
  <c r="O12" i="1"/>
  <c r="Q12" i="1" s="1"/>
  <c r="S12" i="1" s="1"/>
  <c r="O4" i="1"/>
  <c r="Q4" i="1" s="1"/>
  <c r="S4" i="1" s="1"/>
  <c r="O1627" i="1"/>
  <c r="Q1627" i="1" s="1"/>
  <c r="S1627" i="1" s="1"/>
  <c r="O1619" i="1"/>
  <c r="Q1619" i="1" s="1"/>
  <c r="S1619" i="1" s="1"/>
  <c r="O1611" i="1"/>
  <c r="Q1611" i="1" s="1"/>
  <c r="S1611" i="1" s="1"/>
  <c r="O1603" i="1"/>
  <c r="Q1603" i="1" s="1"/>
  <c r="S1603" i="1" s="1"/>
  <c r="O1594" i="1"/>
  <c r="Q1594" i="1" s="1"/>
  <c r="S1594" i="1" s="1"/>
  <c r="O1584" i="1"/>
  <c r="Q1584" i="1" s="1"/>
  <c r="S1584" i="1" s="1"/>
  <c r="O1576" i="1"/>
  <c r="Q1576" i="1" s="1"/>
  <c r="S1576" i="1" s="1"/>
  <c r="O1568" i="1"/>
  <c r="Q1568" i="1" s="1"/>
  <c r="S1568" i="1" s="1"/>
  <c r="O1560" i="1"/>
  <c r="Q1560" i="1" s="1"/>
  <c r="S1560" i="1" s="1"/>
  <c r="O1552" i="1"/>
  <c r="Q1552" i="1" s="1"/>
  <c r="S1552" i="1" s="1"/>
  <c r="O1544" i="1"/>
  <c r="Q1544" i="1" s="1"/>
  <c r="S1544" i="1" s="1"/>
  <c r="O1536" i="1"/>
  <c r="Q1536" i="1" s="1"/>
  <c r="S1536" i="1" s="1"/>
  <c r="O1528" i="1"/>
  <c r="Q1528" i="1" s="1"/>
  <c r="S1528" i="1" s="1"/>
  <c r="O1520" i="1"/>
  <c r="Q1520" i="1" s="1"/>
  <c r="S1520" i="1" s="1"/>
  <c r="O1512" i="1"/>
  <c r="Q1512" i="1" s="1"/>
  <c r="S1512" i="1" s="1"/>
  <c r="O1504" i="1"/>
  <c r="Q1504" i="1" s="1"/>
  <c r="S1504" i="1" s="1"/>
  <c r="O1496" i="1"/>
  <c r="Q1496" i="1" s="1"/>
  <c r="S1496" i="1" s="1"/>
  <c r="O610" i="1"/>
  <c r="Q610" i="1" s="1"/>
  <c r="S610" i="1" s="1"/>
  <c r="O554" i="1"/>
  <c r="Q554" i="1" s="1"/>
  <c r="S554" i="1" s="1"/>
  <c r="O346" i="1"/>
  <c r="Q346" i="1" s="1"/>
  <c r="S346" i="1" s="1"/>
  <c r="O306" i="1"/>
  <c r="Q306" i="1" s="1"/>
  <c r="S306" i="1" s="1"/>
  <c r="O20" i="1"/>
  <c r="Q20" i="1" s="1"/>
  <c r="S20" i="1" s="1"/>
  <c r="O11" i="1"/>
  <c r="Q11" i="1" s="1"/>
  <c r="S11" i="1" s="1"/>
  <c r="O3" i="1"/>
  <c r="Q3" i="1" s="1"/>
  <c r="S3" i="1" s="1"/>
  <c r="O1626" i="1"/>
  <c r="Q1626" i="1" s="1"/>
  <c r="S1626" i="1" s="1"/>
  <c r="O1618" i="1"/>
  <c r="Q1618" i="1" s="1"/>
  <c r="S1618" i="1" s="1"/>
  <c r="O1610" i="1"/>
  <c r="Q1610" i="1" s="1"/>
  <c r="S1610" i="1" s="1"/>
  <c r="O1602" i="1"/>
  <c r="Q1602" i="1" s="1"/>
  <c r="S1602" i="1" s="1"/>
  <c r="O1591" i="1"/>
  <c r="Q1591" i="1" s="1"/>
  <c r="S1591" i="1" s="1"/>
  <c r="O1583" i="1"/>
  <c r="Q1583" i="1" s="1"/>
  <c r="S1583" i="1" s="1"/>
  <c r="O1575" i="1"/>
  <c r="Q1575" i="1" s="1"/>
  <c r="S1575" i="1" s="1"/>
  <c r="O1567" i="1"/>
  <c r="Q1567" i="1" s="1"/>
  <c r="S1567" i="1" s="1"/>
  <c r="O1559" i="1"/>
  <c r="Q1559" i="1" s="1"/>
  <c r="S1559" i="1" s="1"/>
  <c r="O1551" i="1"/>
  <c r="Q1551" i="1" s="1"/>
  <c r="S1551" i="1" s="1"/>
  <c r="O1543" i="1"/>
  <c r="Q1543" i="1" s="1"/>
  <c r="S1543" i="1" s="1"/>
  <c r="O1535" i="1"/>
  <c r="Q1535" i="1" s="1"/>
  <c r="S1535" i="1" s="1"/>
  <c r="O1527" i="1"/>
  <c r="Q1527" i="1" s="1"/>
  <c r="S1527" i="1" s="1"/>
  <c r="O1519" i="1"/>
  <c r="Q1519" i="1" s="1"/>
  <c r="S1519" i="1" s="1"/>
  <c r="O1511" i="1"/>
  <c r="Q1511" i="1" s="1"/>
  <c r="S1511" i="1" s="1"/>
  <c r="O1503" i="1"/>
  <c r="Q1503" i="1" s="1"/>
  <c r="S1503" i="1" s="1"/>
  <c r="O1495" i="1"/>
  <c r="Q1495" i="1" s="1"/>
  <c r="S1495" i="1" s="1"/>
  <c r="O1487" i="1"/>
  <c r="Q1487" i="1" s="1"/>
  <c r="S1487" i="1" s="1"/>
  <c r="O1479" i="1"/>
  <c r="Q1479" i="1" s="1"/>
  <c r="S1479" i="1" s="1"/>
  <c r="O1470" i="1"/>
  <c r="Q1470" i="1" s="1"/>
  <c r="S1470" i="1" s="1"/>
  <c r="O1462" i="1"/>
  <c r="Q1462" i="1" s="1"/>
  <c r="S1462" i="1" s="1"/>
  <c r="O1454" i="1"/>
  <c r="Q1454" i="1" s="1"/>
  <c r="S1454" i="1" s="1"/>
  <c r="O1446" i="1"/>
  <c r="Q1446" i="1" s="1"/>
  <c r="S1446" i="1" s="1"/>
  <c r="O1438" i="1"/>
  <c r="Q1438" i="1" s="1"/>
  <c r="S1438" i="1" s="1"/>
  <c r="O1430" i="1"/>
  <c r="Q1430" i="1" s="1"/>
  <c r="S1430" i="1" s="1"/>
  <c r="O1422" i="1"/>
  <c r="Q1422" i="1" s="1"/>
  <c r="S1422" i="1" s="1"/>
  <c r="O1414" i="1"/>
  <c r="Q1414" i="1" s="1"/>
  <c r="S1414" i="1" s="1"/>
  <c r="O1406" i="1"/>
  <c r="Q1406" i="1" s="1"/>
  <c r="S1406" i="1" s="1"/>
  <c r="O1398" i="1"/>
  <c r="Q1398" i="1" s="1"/>
  <c r="S1398" i="1" s="1"/>
  <c r="O1390" i="1"/>
  <c r="Q1390" i="1" s="1"/>
  <c r="S1390" i="1" s="1"/>
  <c r="O1382" i="1"/>
  <c r="Q1382" i="1" s="1"/>
  <c r="S1382" i="1" s="1"/>
  <c r="O1374" i="1"/>
  <c r="Q1374" i="1" s="1"/>
  <c r="S1374" i="1" s="1"/>
  <c r="O1366" i="1"/>
  <c r="Q1366" i="1" s="1"/>
  <c r="S1366" i="1" s="1"/>
  <c r="O1358" i="1"/>
  <c r="Q1358" i="1" s="1"/>
  <c r="S1358" i="1" s="1"/>
  <c r="O1350" i="1"/>
  <c r="Q1350" i="1" s="1"/>
  <c r="S1350" i="1" s="1"/>
  <c r="O1342" i="1"/>
  <c r="Q1342" i="1" s="1"/>
  <c r="S1342" i="1" s="1"/>
  <c r="O1333" i="1"/>
  <c r="Q1333" i="1" s="1"/>
  <c r="S1333" i="1" s="1"/>
  <c r="O1325" i="1"/>
  <c r="Q1325" i="1" s="1"/>
  <c r="S1325" i="1" s="1"/>
  <c r="O1317" i="1"/>
  <c r="Q1317" i="1" s="1"/>
  <c r="S1317" i="1" s="1"/>
  <c r="O1309" i="1"/>
  <c r="Q1309" i="1" s="1"/>
  <c r="S1309" i="1" s="1"/>
  <c r="O1300" i="1"/>
  <c r="Q1300" i="1" s="1"/>
  <c r="S1300" i="1" s="1"/>
  <c r="O1291" i="1"/>
  <c r="Q1291" i="1" s="1"/>
  <c r="S1291" i="1" s="1"/>
  <c r="O1283" i="1"/>
  <c r="Q1283" i="1" s="1"/>
  <c r="S1283" i="1" s="1"/>
  <c r="O1275" i="1"/>
  <c r="Q1275" i="1" s="1"/>
  <c r="S1275" i="1" s="1"/>
  <c r="O1267" i="1"/>
  <c r="Q1267" i="1" s="1"/>
  <c r="S1267" i="1" s="1"/>
  <c r="O1259" i="1"/>
  <c r="Q1259" i="1" s="1"/>
  <c r="S1259" i="1" s="1"/>
  <c r="O1251" i="1"/>
  <c r="Q1251" i="1" s="1"/>
  <c r="S1251" i="1" s="1"/>
  <c r="O1243" i="1"/>
  <c r="Q1243" i="1" s="1"/>
  <c r="S1243" i="1" s="1"/>
  <c r="O1235" i="1"/>
  <c r="Q1235" i="1" s="1"/>
  <c r="S1235" i="1" s="1"/>
  <c r="O1227" i="1"/>
  <c r="Q1227" i="1" s="1"/>
  <c r="S1227" i="1" s="1"/>
  <c r="O1219" i="1"/>
  <c r="Q1219" i="1" s="1"/>
  <c r="S1219" i="1" s="1"/>
  <c r="O1211" i="1"/>
  <c r="Q1211" i="1" s="1"/>
  <c r="S1211" i="1" s="1"/>
  <c r="O1203" i="1"/>
  <c r="Q1203" i="1" s="1"/>
  <c r="S1203" i="1" s="1"/>
  <c r="O1195" i="1"/>
  <c r="Q1195" i="1" s="1"/>
  <c r="S1195" i="1" s="1"/>
  <c r="O1187" i="1"/>
  <c r="Q1187" i="1" s="1"/>
  <c r="S1187" i="1" s="1"/>
  <c r="O1179" i="1"/>
  <c r="Q1179" i="1" s="1"/>
  <c r="S1179" i="1" s="1"/>
  <c r="O1171" i="1"/>
  <c r="Q1171" i="1" s="1"/>
  <c r="S1171" i="1" s="1"/>
  <c r="O1163" i="1"/>
  <c r="Q1163" i="1" s="1"/>
  <c r="S1163" i="1" s="1"/>
  <c r="O1155" i="1"/>
  <c r="Q1155" i="1" s="1"/>
  <c r="S1155" i="1" s="1"/>
  <c r="O172" i="1"/>
  <c r="Q172" i="1" s="1"/>
  <c r="S172" i="1" s="1"/>
  <c r="O1593" i="1"/>
  <c r="Q1593" i="1" s="1"/>
  <c r="S1593" i="1" s="1"/>
  <c r="O1097" i="1"/>
  <c r="Q1097" i="1" s="1"/>
  <c r="S1097" i="1" s="1"/>
  <c r="O441" i="1"/>
  <c r="Q441" i="1" s="1"/>
  <c r="S441" i="1" s="1"/>
  <c r="O305" i="1"/>
  <c r="Q305" i="1" s="1"/>
  <c r="S305" i="1" s="1"/>
  <c r="O19" i="1"/>
  <c r="Q19" i="1" s="1"/>
  <c r="S19" i="1" s="1"/>
  <c r="O10" i="1"/>
  <c r="Q10" i="1" s="1"/>
  <c r="S10" i="1" s="1"/>
  <c r="O1633" i="1"/>
  <c r="Q1633" i="1" s="1"/>
  <c r="S1633" i="1" s="1"/>
  <c r="O1625" i="1"/>
  <c r="Q1625" i="1" s="1"/>
  <c r="S1625" i="1" s="1"/>
  <c r="O1617" i="1"/>
  <c r="Q1617" i="1" s="1"/>
  <c r="S1617" i="1" s="1"/>
  <c r="O1609" i="1"/>
  <c r="Q1609" i="1" s="1"/>
  <c r="S1609" i="1" s="1"/>
  <c r="O1601" i="1"/>
  <c r="Q1601" i="1" s="1"/>
  <c r="S1601" i="1" s="1"/>
  <c r="O1590" i="1"/>
  <c r="Q1590" i="1" s="1"/>
  <c r="S1590" i="1" s="1"/>
  <c r="O1582" i="1"/>
  <c r="Q1582" i="1" s="1"/>
  <c r="S1582" i="1" s="1"/>
  <c r="O1574" i="1"/>
  <c r="Q1574" i="1" s="1"/>
  <c r="S1574" i="1" s="1"/>
  <c r="O1566" i="1"/>
  <c r="Q1566" i="1" s="1"/>
  <c r="S1566" i="1" s="1"/>
  <c r="O1558" i="1"/>
  <c r="Q1558" i="1" s="1"/>
  <c r="S1558" i="1" s="1"/>
  <c r="O1550" i="1"/>
  <c r="Q1550" i="1" s="1"/>
  <c r="S1550" i="1" s="1"/>
  <c r="O1542" i="1"/>
  <c r="Q1542" i="1" s="1"/>
  <c r="S1542" i="1" s="1"/>
  <c r="O1534" i="1"/>
  <c r="Q1534" i="1" s="1"/>
  <c r="S1534" i="1" s="1"/>
  <c r="O1526" i="1"/>
  <c r="Q1526" i="1" s="1"/>
  <c r="S1526" i="1" s="1"/>
  <c r="O1518" i="1"/>
  <c r="Q1518" i="1" s="1"/>
  <c r="S1518" i="1" s="1"/>
  <c r="O1510" i="1"/>
  <c r="Q1510" i="1" s="1"/>
  <c r="S1510" i="1" s="1"/>
  <c r="O1502" i="1"/>
  <c r="Q1502" i="1" s="1"/>
  <c r="S1502" i="1" s="1"/>
  <c r="O1494" i="1"/>
  <c r="Q1494" i="1" s="1"/>
  <c r="S1494" i="1" s="1"/>
  <c r="O1486" i="1"/>
  <c r="Q1486" i="1" s="1"/>
  <c r="S1486" i="1" s="1"/>
  <c r="O1478" i="1"/>
  <c r="Q1478" i="1" s="1"/>
  <c r="S1478" i="1" s="1"/>
  <c r="O1469" i="1"/>
  <c r="Q1469" i="1" s="1"/>
  <c r="S1469" i="1" s="1"/>
  <c r="O1461" i="1"/>
  <c r="Q1461" i="1" s="1"/>
  <c r="S1461" i="1" s="1"/>
  <c r="O1453" i="1"/>
  <c r="Q1453" i="1" s="1"/>
  <c r="S1453" i="1" s="1"/>
  <c r="O1445" i="1"/>
  <c r="Q1445" i="1" s="1"/>
  <c r="S1445" i="1" s="1"/>
  <c r="O1437" i="1"/>
  <c r="Q1437" i="1" s="1"/>
  <c r="S1437" i="1" s="1"/>
  <c r="O1429" i="1"/>
  <c r="Q1429" i="1" s="1"/>
  <c r="S1429" i="1" s="1"/>
  <c r="O1421" i="1"/>
  <c r="Q1421" i="1" s="1"/>
  <c r="S1421" i="1" s="1"/>
  <c r="O1413" i="1"/>
  <c r="Q1413" i="1" s="1"/>
  <c r="S1413" i="1" s="1"/>
  <c r="O1405" i="1"/>
  <c r="Q1405" i="1" s="1"/>
  <c r="S1405" i="1" s="1"/>
  <c r="O1397" i="1"/>
  <c r="Q1397" i="1" s="1"/>
  <c r="S1397" i="1" s="1"/>
  <c r="O1389" i="1"/>
  <c r="Q1389" i="1" s="1"/>
  <c r="S1389" i="1" s="1"/>
  <c r="O1381" i="1"/>
  <c r="Q1381" i="1" s="1"/>
  <c r="S1381" i="1" s="1"/>
  <c r="O1373" i="1"/>
  <c r="Q1373" i="1" s="1"/>
  <c r="S1373" i="1" s="1"/>
  <c r="O1365" i="1"/>
  <c r="Q1365" i="1" s="1"/>
  <c r="S1365" i="1" s="1"/>
  <c r="O1357" i="1"/>
  <c r="Q1357" i="1" s="1"/>
  <c r="S1357" i="1" s="1"/>
  <c r="O1349" i="1"/>
  <c r="Q1349" i="1" s="1"/>
  <c r="S1349" i="1" s="1"/>
  <c r="O1341" i="1"/>
  <c r="Q1341" i="1" s="1"/>
  <c r="S1341" i="1" s="1"/>
  <c r="O1332" i="1"/>
  <c r="Q1332" i="1" s="1"/>
  <c r="S1332" i="1" s="1"/>
  <c r="O1324" i="1"/>
  <c r="Q1324" i="1" s="1"/>
  <c r="S1324" i="1" s="1"/>
  <c r="O1316" i="1"/>
  <c r="Q1316" i="1" s="1"/>
  <c r="S1316" i="1" s="1"/>
  <c r="O1308" i="1"/>
  <c r="Q1308" i="1" s="1"/>
  <c r="S1308" i="1" s="1"/>
  <c r="O1299" i="1"/>
  <c r="Q1299" i="1" s="1"/>
  <c r="S1299" i="1" s="1"/>
  <c r="O1290" i="1"/>
  <c r="Q1290" i="1" s="1"/>
  <c r="S1290" i="1" s="1"/>
  <c r="O1282" i="1"/>
  <c r="Q1282" i="1" s="1"/>
  <c r="S1282" i="1" s="1"/>
  <c r="O1274" i="1"/>
  <c r="Q1274" i="1" s="1"/>
  <c r="S1274" i="1" s="1"/>
  <c r="O1266" i="1"/>
  <c r="Q1266" i="1" s="1"/>
  <c r="S1266" i="1" s="1"/>
  <c r="O1258" i="1"/>
  <c r="Q1258" i="1" s="1"/>
  <c r="S1258" i="1" s="1"/>
  <c r="O1250" i="1"/>
  <c r="Q1250" i="1" s="1"/>
  <c r="S1250" i="1" s="1"/>
  <c r="O1242" i="1"/>
  <c r="Q1242" i="1" s="1"/>
  <c r="S1242" i="1" s="1"/>
  <c r="O1234" i="1"/>
  <c r="Q1234" i="1" s="1"/>
  <c r="S1234" i="1" s="1"/>
  <c r="O1226" i="1"/>
  <c r="Q1226" i="1" s="1"/>
  <c r="S1226" i="1" s="1"/>
  <c r="O1218" i="1"/>
  <c r="Q1218" i="1" s="1"/>
  <c r="S1218" i="1" s="1"/>
  <c r="O1210" i="1"/>
  <c r="Q1210" i="1" s="1"/>
  <c r="S1210" i="1" s="1"/>
  <c r="O1202" i="1"/>
  <c r="Q1202" i="1" s="1"/>
  <c r="S1202" i="1" s="1"/>
  <c r="O1194" i="1"/>
  <c r="Q1194" i="1" s="1"/>
  <c r="S1194" i="1" s="1"/>
  <c r="O1186" i="1"/>
  <c r="Q1186" i="1" s="1"/>
  <c r="S1186" i="1" s="1"/>
  <c r="O1178" i="1"/>
  <c r="Q1178" i="1" s="1"/>
  <c r="S1178" i="1" s="1"/>
  <c r="O1170" i="1"/>
  <c r="Q1170" i="1" s="1"/>
  <c r="S1170" i="1" s="1"/>
  <c r="O1162" i="1"/>
  <c r="Q1162" i="1" s="1"/>
  <c r="S1162" i="1" s="1"/>
  <c r="O1154" i="1"/>
  <c r="Q1154" i="1" s="1"/>
  <c r="S1154" i="1" s="1"/>
  <c r="O1146" i="1"/>
  <c r="Q1146" i="1" s="1"/>
  <c r="S1146" i="1" s="1"/>
  <c r="O1138" i="1"/>
  <c r="Q1138" i="1" s="1"/>
  <c r="S1138" i="1" s="1"/>
  <c r="O1130" i="1"/>
  <c r="Q1130" i="1" s="1"/>
  <c r="S1130" i="1" s="1"/>
  <c r="O1122" i="1"/>
  <c r="Q1122" i="1" s="1"/>
  <c r="S1122" i="1" s="1"/>
  <c r="O1114" i="1"/>
  <c r="Q1114" i="1" s="1"/>
  <c r="S1114" i="1" s="1"/>
  <c r="O1106" i="1"/>
  <c r="Q1106" i="1" s="1"/>
  <c r="S1106" i="1" s="1"/>
  <c r="O1098" i="1"/>
  <c r="Q1098" i="1" s="1"/>
  <c r="S1098" i="1" s="1"/>
  <c r="O1089" i="1"/>
  <c r="Q1089" i="1" s="1"/>
  <c r="S1089" i="1" s="1"/>
  <c r="O1081" i="1"/>
  <c r="Q1081" i="1" s="1"/>
  <c r="S1081" i="1" s="1"/>
  <c r="O1072" i="1"/>
  <c r="Q1072" i="1" s="1"/>
  <c r="S1072" i="1" s="1"/>
  <c r="O1064" i="1"/>
  <c r="Q1064" i="1" s="1"/>
  <c r="S1064" i="1" s="1"/>
  <c r="O1056" i="1"/>
  <c r="Q1056" i="1" s="1"/>
  <c r="S1056" i="1" s="1"/>
  <c r="O1048" i="1"/>
  <c r="Q1048" i="1" s="1"/>
  <c r="S1048" i="1" s="1"/>
  <c r="O1040" i="1"/>
  <c r="Q1040" i="1" s="1"/>
  <c r="S1040" i="1" s="1"/>
  <c r="O1032" i="1"/>
  <c r="Q1032" i="1" s="1"/>
  <c r="S1032" i="1" s="1"/>
  <c r="O1024" i="1"/>
  <c r="Q1024" i="1" s="1"/>
  <c r="S1024" i="1" s="1"/>
  <c r="O1016" i="1"/>
  <c r="Q1016" i="1" s="1"/>
  <c r="S1016" i="1" s="1"/>
  <c r="O1008" i="1"/>
  <c r="Q1008" i="1" s="1"/>
  <c r="S1008" i="1" s="1"/>
  <c r="O1000" i="1"/>
  <c r="Q1000" i="1" s="1"/>
  <c r="S1000" i="1" s="1"/>
  <c r="O992" i="1"/>
  <c r="Q992" i="1" s="1"/>
  <c r="S992" i="1" s="1"/>
  <c r="O984" i="1"/>
  <c r="Q984" i="1" s="1"/>
  <c r="S984" i="1" s="1"/>
  <c r="O976" i="1"/>
  <c r="Q976" i="1" s="1"/>
  <c r="S976" i="1" s="1"/>
  <c r="O967" i="1"/>
  <c r="Q967" i="1" s="1"/>
  <c r="S967" i="1" s="1"/>
  <c r="O959" i="1"/>
  <c r="Q959" i="1" s="1"/>
  <c r="S959" i="1" s="1"/>
  <c r="O951" i="1"/>
  <c r="Q951" i="1" s="1"/>
  <c r="S951" i="1" s="1"/>
  <c r="O1600" i="1"/>
  <c r="Q1600" i="1" s="1"/>
  <c r="S1600" i="1" s="1"/>
  <c r="O1592" i="1"/>
  <c r="Q1592" i="1" s="1"/>
  <c r="S1592" i="1" s="1"/>
  <c r="O1472" i="1"/>
  <c r="Q1472" i="1" s="1"/>
  <c r="S1472" i="1" s="1"/>
  <c r="O1296" i="1"/>
  <c r="Q1296" i="1" s="1"/>
  <c r="S1296" i="1" s="1"/>
  <c r="O968" i="1"/>
  <c r="Q968" i="1" s="1"/>
  <c r="S968" i="1" s="1"/>
  <c r="O488" i="1"/>
  <c r="Q488" i="1" s="1"/>
  <c r="S488" i="1" s="1"/>
  <c r="O320" i="1"/>
  <c r="Q320" i="1" s="1"/>
  <c r="S320" i="1" s="1"/>
  <c r="O18" i="1"/>
  <c r="Q18" i="1" s="1"/>
  <c r="S18" i="1" s="1"/>
  <c r="O9" i="1"/>
  <c r="Q9" i="1" s="1"/>
  <c r="S9" i="1" s="1"/>
  <c r="O1632" i="1"/>
  <c r="Q1632" i="1" s="1"/>
  <c r="S1632" i="1" s="1"/>
  <c r="O1624" i="1"/>
  <c r="Q1624" i="1" s="1"/>
  <c r="S1624" i="1" s="1"/>
  <c r="O1616" i="1"/>
  <c r="Q1616" i="1" s="1"/>
  <c r="S1616" i="1" s="1"/>
  <c r="O1608" i="1"/>
  <c r="Q1608" i="1" s="1"/>
  <c r="S1608" i="1" s="1"/>
  <c r="O1599" i="1"/>
  <c r="Q1599" i="1" s="1"/>
  <c r="S1599" i="1" s="1"/>
  <c r="O1589" i="1"/>
  <c r="Q1589" i="1" s="1"/>
  <c r="S1589" i="1" s="1"/>
  <c r="O1581" i="1"/>
  <c r="Q1581" i="1" s="1"/>
  <c r="S1581" i="1" s="1"/>
  <c r="O1573" i="1"/>
  <c r="Q1573" i="1" s="1"/>
  <c r="S1573" i="1" s="1"/>
  <c r="O1565" i="1"/>
  <c r="Q1565" i="1" s="1"/>
  <c r="S1565" i="1" s="1"/>
  <c r="O1557" i="1"/>
  <c r="Q1557" i="1" s="1"/>
  <c r="S1557" i="1" s="1"/>
  <c r="O1549" i="1"/>
  <c r="Q1549" i="1" s="1"/>
  <c r="S1549" i="1" s="1"/>
  <c r="O1541" i="1"/>
  <c r="Q1541" i="1" s="1"/>
  <c r="S1541" i="1" s="1"/>
  <c r="O1533" i="1"/>
  <c r="Q1533" i="1" s="1"/>
  <c r="S1533" i="1" s="1"/>
  <c r="O1525" i="1"/>
  <c r="Q1525" i="1" s="1"/>
  <c r="S1525" i="1" s="1"/>
  <c r="O1517" i="1"/>
  <c r="Q1517" i="1" s="1"/>
  <c r="S1517" i="1" s="1"/>
  <c r="O1509" i="1"/>
  <c r="Q1509" i="1" s="1"/>
  <c r="S1509" i="1" s="1"/>
  <c r="O1501" i="1"/>
  <c r="Q1501" i="1" s="1"/>
  <c r="S1501" i="1" s="1"/>
  <c r="O1493" i="1"/>
  <c r="Q1493" i="1" s="1"/>
  <c r="S1493" i="1" s="1"/>
  <c r="O1485" i="1"/>
  <c r="Q1485" i="1" s="1"/>
  <c r="S1485" i="1" s="1"/>
  <c r="O1477" i="1"/>
  <c r="Q1477" i="1" s="1"/>
  <c r="S1477" i="1" s="1"/>
  <c r="O1468" i="1"/>
  <c r="Q1468" i="1" s="1"/>
  <c r="S1468" i="1" s="1"/>
  <c r="O1460" i="1"/>
  <c r="Q1460" i="1" s="1"/>
  <c r="S1460" i="1" s="1"/>
  <c r="O1452" i="1"/>
  <c r="Q1452" i="1" s="1"/>
  <c r="S1452" i="1" s="1"/>
  <c r="O1444" i="1"/>
  <c r="Q1444" i="1" s="1"/>
  <c r="S1444" i="1" s="1"/>
  <c r="O1436" i="1"/>
  <c r="Q1436" i="1" s="1"/>
  <c r="S1436" i="1" s="1"/>
  <c r="O1428" i="1"/>
  <c r="Q1428" i="1" s="1"/>
  <c r="S1428" i="1" s="1"/>
  <c r="O1420" i="1"/>
  <c r="Q1420" i="1" s="1"/>
  <c r="S1420" i="1" s="1"/>
  <c r="O1412" i="1"/>
  <c r="Q1412" i="1" s="1"/>
  <c r="S1412" i="1" s="1"/>
  <c r="O1404" i="1"/>
  <c r="Q1404" i="1" s="1"/>
  <c r="S1404" i="1" s="1"/>
  <c r="O1396" i="1"/>
  <c r="Q1396" i="1" s="1"/>
  <c r="S1396" i="1" s="1"/>
  <c r="O1388" i="1"/>
  <c r="Q1388" i="1" s="1"/>
  <c r="S1388" i="1" s="1"/>
  <c r="O1380" i="1"/>
  <c r="Q1380" i="1" s="1"/>
  <c r="S1380" i="1" s="1"/>
  <c r="O1372" i="1"/>
  <c r="Q1372" i="1" s="1"/>
  <c r="S1372" i="1" s="1"/>
  <c r="O1364" i="1"/>
  <c r="Q1364" i="1" s="1"/>
  <c r="S1364" i="1" s="1"/>
  <c r="O1356" i="1"/>
  <c r="Q1356" i="1" s="1"/>
  <c r="S1356" i="1" s="1"/>
  <c r="O1348" i="1"/>
  <c r="Q1348" i="1" s="1"/>
  <c r="S1348" i="1" s="1"/>
  <c r="O1339" i="1"/>
  <c r="Q1339" i="1" s="1"/>
  <c r="S1339" i="1" s="1"/>
  <c r="O1331" i="1"/>
  <c r="Q1331" i="1" s="1"/>
  <c r="S1331" i="1" s="1"/>
  <c r="O1323" i="1"/>
  <c r="Q1323" i="1" s="1"/>
  <c r="S1323" i="1" s="1"/>
  <c r="O1315" i="1"/>
  <c r="Q1315" i="1" s="1"/>
  <c r="S1315" i="1" s="1"/>
  <c r="O1307" i="1"/>
  <c r="Q1307" i="1" s="1"/>
  <c r="S1307" i="1" s="1"/>
  <c r="O1298" i="1"/>
  <c r="Q1298" i="1" s="1"/>
  <c r="S1298" i="1" s="1"/>
  <c r="O1289" i="1"/>
  <c r="Q1289" i="1" s="1"/>
  <c r="S1289" i="1" s="1"/>
  <c r="O1281" i="1"/>
  <c r="Q1281" i="1" s="1"/>
  <c r="S1281" i="1" s="1"/>
  <c r="O1273" i="1"/>
  <c r="Q1273" i="1" s="1"/>
  <c r="S1273" i="1" s="1"/>
  <c r="O1265" i="1"/>
  <c r="Q1265" i="1" s="1"/>
  <c r="S1265" i="1" s="1"/>
  <c r="O1257" i="1"/>
  <c r="Q1257" i="1" s="1"/>
  <c r="S1257" i="1" s="1"/>
  <c r="O1249" i="1"/>
  <c r="Q1249" i="1" s="1"/>
  <c r="S1249" i="1" s="1"/>
  <c r="O1241" i="1"/>
  <c r="Q1241" i="1" s="1"/>
  <c r="S1241" i="1" s="1"/>
  <c r="O1233" i="1"/>
  <c r="Q1233" i="1" s="1"/>
  <c r="S1233" i="1" s="1"/>
  <c r="O1225" i="1"/>
  <c r="Q1225" i="1" s="1"/>
  <c r="S1225" i="1" s="1"/>
  <c r="O1217" i="1"/>
  <c r="Q1217" i="1" s="1"/>
  <c r="S1217" i="1" s="1"/>
  <c r="O1209" i="1"/>
  <c r="Q1209" i="1" s="1"/>
  <c r="S1209" i="1" s="1"/>
  <c r="O1201" i="1"/>
  <c r="Q1201" i="1" s="1"/>
  <c r="S1201" i="1" s="1"/>
  <c r="O1193" i="1"/>
  <c r="Q1193" i="1" s="1"/>
  <c r="S1193" i="1" s="1"/>
  <c r="O1185" i="1"/>
  <c r="Q1185" i="1" s="1"/>
  <c r="S1185" i="1" s="1"/>
  <c r="O1177" i="1"/>
  <c r="Q1177" i="1" s="1"/>
  <c r="S1177" i="1" s="1"/>
  <c r="O1169" i="1"/>
  <c r="Q1169" i="1" s="1"/>
  <c r="S1169" i="1" s="1"/>
  <c r="O1161" i="1"/>
  <c r="Q1161" i="1" s="1"/>
  <c r="S1161" i="1" s="1"/>
  <c r="O1153" i="1"/>
  <c r="Q1153" i="1" s="1"/>
  <c r="S1153" i="1" s="1"/>
  <c r="O1145" i="1"/>
  <c r="Q1145" i="1" s="1"/>
  <c r="S1145" i="1" s="1"/>
  <c r="O1137" i="1"/>
  <c r="Q1137" i="1" s="1"/>
  <c r="S1137" i="1" s="1"/>
  <c r="O1129" i="1"/>
  <c r="Q1129" i="1" s="1"/>
  <c r="S1129" i="1" s="1"/>
  <c r="O1121" i="1"/>
  <c r="Q1121" i="1" s="1"/>
  <c r="S1121" i="1" s="1"/>
  <c r="O1113" i="1"/>
  <c r="Q1113" i="1" s="1"/>
  <c r="S1113" i="1" s="1"/>
  <c r="O1105" i="1"/>
  <c r="Q1105" i="1" s="1"/>
  <c r="S1105" i="1" s="1"/>
  <c r="O1096" i="1"/>
  <c r="Q1096" i="1" s="1"/>
  <c r="S1096" i="1" s="1"/>
  <c r="O1088" i="1"/>
  <c r="Q1088" i="1" s="1"/>
  <c r="S1088" i="1" s="1"/>
  <c r="O1080" i="1"/>
  <c r="Q1080" i="1" s="1"/>
  <c r="S1080" i="1" s="1"/>
  <c r="O1071" i="1"/>
  <c r="Q1071" i="1" s="1"/>
  <c r="S1071" i="1" s="1"/>
  <c r="O1063" i="1"/>
  <c r="Q1063" i="1" s="1"/>
  <c r="S1063" i="1" s="1"/>
  <c r="O1055" i="1"/>
  <c r="Q1055" i="1" s="1"/>
  <c r="S1055" i="1" s="1"/>
  <c r="O1047" i="1"/>
  <c r="Q1047" i="1" s="1"/>
  <c r="S1047" i="1" s="1"/>
  <c r="O1039" i="1"/>
  <c r="Q1039" i="1" s="1"/>
  <c r="S1039" i="1" s="1"/>
  <c r="O1031" i="1"/>
  <c r="Q1031" i="1" s="1"/>
  <c r="S1031" i="1" s="1"/>
  <c r="O1023" i="1"/>
  <c r="Q1023" i="1" s="1"/>
  <c r="S1023" i="1" s="1"/>
  <c r="O1015" i="1"/>
  <c r="Q1015" i="1" s="1"/>
  <c r="S1015" i="1" s="1"/>
  <c r="O1007" i="1"/>
  <c r="Q1007" i="1" s="1"/>
  <c r="S1007" i="1" s="1"/>
  <c r="O999" i="1"/>
  <c r="Q999" i="1" s="1"/>
  <c r="S999" i="1" s="1"/>
  <c r="O991" i="1"/>
  <c r="Q991" i="1" s="1"/>
  <c r="S991" i="1" s="1"/>
  <c r="O983" i="1"/>
  <c r="Q983" i="1" s="1"/>
  <c r="S983" i="1" s="1"/>
  <c r="O975" i="1"/>
  <c r="Q975" i="1" s="1"/>
  <c r="S975" i="1" s="1"/>
  <c r="O966" i="1"/>
  <c r="Q966" i="1" s="1"/>
  <c r="S966" i="1" s="1"/>
  <c r="O958" i="1"/>
  <c r="Q958" i="1" s="1"/>
  <c r="S958" i="1" s="1"/>
  <c r="O950" i="1"/>
  <c r="Q950" i="1" s="1"/>
  <c r="S950" i="1" s="1"/>
  <c r="O1295" i="1"/>
  <c r="Q1295" i="1" s="1"/>
  <c r="S1295" i="1" s="1"/>
  <c r="O1287" i="1"/>
  <c r="Q1287" i="1" s="1"/>
  <c r="S1287" i="1" s="1"/>
  <c r="O1279" i="1"/>
  <c r="Q1279" i="1" s="1"/>
  <c r="S1279" i="1" s="1"/>
  <c r="O1271" i="1"/>
  <c r="Q1271" i="1" s="1"/>
  <c r="S1271" i="1" s="1"/>
  <c r="O1263" i="1"/>
  <c r="Q1263" i="1" s="1"/>
  <c r="S1263" i="1" s="1"/>
  <c r="O1255" i="1"/>
  <c r="Q1255" i="1" s="1"/>
  <c r="S1255" i="1" s="1"/>
  <c r="O1247" i="1"/>
  <c r="Q1247" i="1" s="1"/>
  <c r="S1247" i="1" s="1"/>
  <c r="O1239" i="1"/>
  <c r="Q1239" i="1" s="1"/>
  <c r="S1239" i="1" s="1"/>
  <c r="O1215" i="1"/>
  <c r="Q1215" i="1" s="1"/>
  <c r="S1215" i="1" s="1"/>
  <c r="O1207" i="1"/>
  <c r="Q1207" i="1" s="1"/>
  <c r="S1207" i="1" s="1"/>
  <c r="O1183" i="1"/>
  <c r="Q1183" i="1" s="1"/>
  <c r="S1183" i="1" s="1"/>
  <c r="O1175" i="1"/>
  <c r="Q1175" i="1" s="1"/>
  <c r="S1175" i="1" s="1"/>
  <c r="O1151" i="1"/>
  <c r="Q1151" i="1" s="1"/>
  <c r="S1151" i="1" s="1"/>
  <c r="O1143" i="1"/>
  <c r="Q1143" i="1" s="1"/>
  <c r="S1143" i="1" s="1"/>
  <c r="O1119" i="1"/>
  <c r="Q1119" i="1" s="1"/>
  <c r="S1119" i="1" s="1"/>
  <c r="O1111" i="1"/>
  <c r="Q1111" i="1" s="1"/>
  <c r="S1111" i="1" s="1"/>
  <c r="O1086" i="1"/>
  <c r="Q1086" i="1" s="1"/>
  <c r="S1086" i="1" s="1"/>
  <c r="O1077" i="1"/>
  <c r="Q1077" i="1" s="1"/>
  <c r="S1077" i="1" s="1"/>
  <c r="O1069" i="1"/>
  <c r="Q1069" i="1" s="1"/>
  <c r="S1069" i="1" s="1"/>
  <c r="O1045" i="1"/>
  <c r="Q1045" i="1" s="1"/>
  <c r="S1045" i="1" s="1"/>
  <c r="O1037" i="1"/>
  <c r="Q1037" i="1" s="1"/>
  <c r="S1037" i="1" s="1"/>
  <c r="O1021" i="1"/>
  <c r="Q1021" i="1" s="1"/>
  <c r="S1021" i="1" s="1"/>
  <c r="O1013" i="1"/>
  <c r="Q1013" i="1" s="1"/>
  <c r="S1013" i="1" s="1"/>
  <c r="O997" i="1"/>
  <c r="Q997" i="1" s="1"/>
  <c r="S997" i="1" s="1"/>
  <c r="O981" i="1"/>
  <c r="Q981" i="1" s="1"/>
  <c r="S981" i="1" s="1"/>
  <c r="O964" i="1"/>
  <c r="Q964" i="1" s="1"/>
  <c r="S964" i="1" s="1"/>
  <c r="O956" i="1"/>
  <c r="Q956" i="1" s="1"/>
  <c r="S956" i="1" s="1"/>
  <c r="O939" i="1"/>
  <c r="Q939" i="1" s="1"/>
  <c r="S939" i="1" s="1"/>
  <c r="O921" i="1"/>
  <c r="Q921" i="1" s="1"/>
  <c r="S921" i="1" s="1"/>
  <c r="O913" i="1"/>
  <c r="Q913" i="1" s="1"/>
  <c r="S913" i="1" s="1"/>
  <c r="O896" i="1"/>
  <c r="Q896" i="1" s="1"/>
  <c r="S896" i="1" s="1"/>
  <c r="O887" i="1"/>
  <c r="Q887" i="1" s="1"/>
  <c r="S887" i="1" s="1"/>
  <c r="O879" i="1"/>
  <c r="Q879" i="1" s="1"/>
  <c r="S879" i="1" s="1"/>
  <c r="O871" i="1"/>
  <c r="Q871" i="1" s="1"/>
  <c r="S871" i="1" s="1"/>
  <c r="O838" i="1"/>
  <c r="Q838" i="1" s="1"/>
  <c r="S838" i="1" s="1"/>
  <c r="O830" i="1"/>
  <c r="Q830" i="1" s="1"/>
  <c r="S830" i="1" s="1"/>
  <c r="O822" i="1"/>
  <c r="Q822" i="1" s="1"/>
  <c r="S822" i="1" s="1"/>
  <c r="O814" i="1"/>
  <c r="Q814" i="1" s="1"/>
  <c r="S814" i="1" s="1"/>
  <c r="O806" i="1"/>
  <c r="Q806" i="1" s="1"/>
  <c r="S806" i="1" s="1"/>
  <c r="O798" i="1"/>
  <c r="Q798" i="1" s="1"/>
  <c r="S798" i="1" s="1"/>
  <c r="O790" i="1"/>
  <c r="Q790" i="1" s="1"/>
  <c r="S790" i="1" s="1"/>
  <c r="O779" i="1"/>
  <c r="Q779" i="1" s="1"/>
  <c r="S779" i="1" s="1"/>
  <c r="O771" i="1"/>
  <c r="Q771" i="1" s="1"/>
  <c r="S771" i="1" s="1"/>
  <c r="O763" i="1"/>
  <c r="Q763" i="1" s="1"/>
  <c r="S763" i="1" s="1"/>
  <c r="O755" i="1"/>
  <c r="Q755" i="1" s="1"/>
  <c r="S755" i="1" s="1"/>
  <c r="O747" i="1"/>
  <c r="Q747" i="1" s="1"/>
  <c r="S747" i="1" s="1"/>
  <c r="O739" i="1"/>
  <c r="Q739" i="1" s="1"/>
  <c r="S739" i="1" s="1"/>
  <c r="O731" i="1"/>
  <c r="Q731" i="1" s="1"/>
  <c r="S731" i="1" s="1"/>
  <c r="O723" i="1"/>
  <c r="Q723" i="1" s="1"/>
  <c r="S723" i="1" s="1"/>
  <c r="O715" i="1"/>
  <c r="Q715" i="1" s="1"/>
  <c r="S715" i="1" s="1"/>
  <c r="O707" i="1"/>
  <c r="Q707" i="1" s="1"/>
  <c r="S707" i="1" s="1"/>
  <c r="O699" i="1"/>
  <c r="Q699" i="1" s="1"/>
  <c r="S699" i="1" s="1"/>
  <c r="O691" i="1"/>
  <c r="Q691" i="1" s="1"/>
  <c r="S691" i="1" s="1"/>
  <c r="O683" i="1"/>
  <c r="Q683" i="1" s="1"/>
  <c r="S683" i="1" s="1"/>
  <c r="O674" i="1"/>
  <c r="Q674" i="1" s="1"/>
  <c r="S674" i="1" s="1"/>
  <c r="O666" i="1"/>
  <c r="Q666" i="1" s="1"/>
  <c r="S666" i="1" s="1"/>
  <c r="O658" i="1"/>
  <c r="Q658" i="1" s="1"/>
  <c r="S658" i="1" s="1"/>
  <c r="O650" i="1"/>
  <c r="Q650" i="1" s="1"/>
  <c r="S650" i="1" s="1"/>
  <c r="O642" i="1"/>
  <c r="Q642" i="1" s="1"/>
  <c r="S642" i="1" s="1"/>
  <c r="O634" i="1"/>
  <c r="Q634" i="1" s="1"/>
  <c r="S634" i="1" s="1"/>
  <c r="O626" i="1"/>
  <c r="Q626" i="1" s="1"/>
  <c r="S626" i="1" s="1"/>
  <c r="O618" i="1"/>
  <c r="Q618" i="1" s="1"/>
  <c r="S618" i="1" s="1"/>
  <c r="O609" i="1"/>
  <c r="Q609" i="1" s="1"/>
  <c r="S609" i="1" s="1"/>
  <c r="O601" i="1"/>
  <c r="Q601" i="1" s="1"/>
  <c r="S601" i="1" s="1"/>
  <c r="O593" i="1"/>
  <c r="Q593" i="1" s="1"/>
  <c r="S593" i="1" s="1"/>
  <c r="O585" i="1"/>
  <c r="Q585" i="1" s="1"/>
  <c r="S585" i="1" s="1"/>
  <c r="O577" i="1"/>
  <c r="Q577" i="1" s="1"/>
  <c r="S577" i="1" s="1"/>
  <c r="O569" i="1"/>
  <c r="Q569" i="1" s="1"/>
  <c r="S569" i="1" s="1"/>
  <c r="O561" i="1"/>
  <c r="Q561" i="1" s="1"/>
  <c r="S561" i="1" s="1"/>
  <c r="O552" i="1"/>
  <c r="Q552" i="1" s="1"/>
  <c r="S552" i="1" s="1"/>
  <c r="O544" i="1"/>
  <c r="Q544" i="1" s="1"/>
  <c r="S544" i="1" s="1"/>
  <c r="O536" i="1"/>
  <c r="Q536" i="1" s="1"/>
  <c r="S536" i="1" s="1"/>
  <c r="O528" i="1"/>
  <c r="Q528" i="1" s="1"/>
  <c r="S528" i="1" s="1"/>
  <c r="O520" i="1"/>
  <c r="Q520" i="1" s="1"/>
  <c r="S520" i="1" s="1"/>
  <c r="O512" i="1"/>
  <c r="Q512" i="1" s="1"/>
  <c r="S512" i="1" s="1"/>
  <c r="O504" i="1"/>
  <c r="Q504" i="1" s="1"/>
  <c r="S504" i="1" s="1"/>
  <c r="O496" i="1"/>
  <c r="Q496" i="1" s="1"/>
  <c r="S496" i="1" s="1"/>
  <c r="O486" i="1"/>
  <c r="Q486" i="1" s="1"/>
  <c r="S486" i="1" s="1"/>
  <c r="O478" i="1"/>
  <c r="Q478" i="1" s="1"/>
  <c r="S478" i="1" s="1"/>
  <c r="O470" i="1"/>
  <c r="Q470" i="1" s="1"/>
  <c r="S470" i="1" s="1"/>
  <c r="O462" i="1"/>
  <c r="Q462" i="1" s="1"/>
  <c r="S462" i="1" s="1"/>
  <c r="O454" i="1"/>
  <c r="Q454" i="1" s="1"/>
  <c r="S454" i="1" s="1"/>
  <c r="O446" i="1"/>
  <c r="Q446" i="1" s="1"/>
  <c r="S446" i="1" s="1"/>
  <c r="O437" i="1"/>
  <c r="Q437" i="1" s="1"/>
  <c r="S437" i="1" s="1"/>
  <c r="O429" i="1"/>
  <c r="Q429" i="1" s="1"/>
  <c r="S429" i="1" s="1"/>
  <c r="O421" i="1"/>
  <c r="Q421" i="1" s="1"/>
  <c r="S421" i="1" s="1"/>
  <c r="O413" i="1"/>
  <c r="Q413" i="1" s="1"/>
  <c r="S413" i="1" s="1"/>
  <c r="O404" i="1"/>
  <c r="Q404" i="1" s="1"/>
  <c r="S404" i="1" s="1"/>
  <c r="O396" i="1"/>
  <c r="Q396" i="1" s="1"/>
  <c r="S396" i="1" s="1"/>
  <c r="O388" i="1"/>
  <c r="Q388" i="1" s="1"/>
  <c r="S388" i="1" s="1"/>
  <c r="O380" i="1"/>
  <c r="Q380" i="1" s="1"/>
  <c r="S380" i="1" s="1"/>
  <c r="O372" i="1"/>
  <c r="Q372" i="1" s="1"/>
  <c r="S372" i="1" s="1"/>
  <c r="O363" i="1"/>
  <c r="Q363" i="1" s="1"/>
  <c r="S363" i="1" s="1"/>
  <c r="O355" i="1"/>
  <c r="Q355" i="1" s="1"/>
  <c r="S355" i="1" s="1"/>
  <c r="O347" i="1"/>
  <c r="Q347" i="1" s="1"/>
  <c r="S347" i="1" s="1"/>
  <c r="O338" i="1"/>
  <c r="Q338" i="1" s="1"/>
  <c r="S338" i="1" s="1"/>
  <c r="O330" i="1"/>
  <c r="Q330" i="1" s="1"/>
  <c r="S330" i="1" s="1"/>
  <c r="O322" i="1"/>
  <c r="Q322" i="1" s="1"/>
  <c r="S322" i="1" s="1"/>
  <c r="O313" i="1"/>
  <c r="Q313" i="1" s="1"/>
  <c r="S313" i="1" s="1"/>
  <c r="O303" i="1"/>
  <c r="Q303" i="1" s="1"/>
  <c r="S303" i="1" s="1"/>
  <c r="O294" i="1"/>
  <c r="Q294" i="1" s="1"/>
  <c r="S294" i="1" s="1"/>
  <c r="O286" i="1"/>
  <c r="Q286" i="1" s="1"/>
  <c r="S286" i="1" s="1"/>
  <c r="O278" i="1"/>
  <c r="Q278" i="1" s="1"/>
  <c r="S278" i="1" s="1"/>
  <c r="O270" i="1"/>
  <c r="Q270" i="1" s="1"/>
  <c r="S270" i="1" s="1"/>
  <c r="O262" i="1"/>
  <c r="Q262" i="1" s="1"/>
  <c r="S262" i="1" s="1"/>
  <c r="O254" i="1"/>
  <c r="Q254" i="1" s="1"/>
  <c r="S254" i="1" s="1"/>
  <c r="O246" i="1"/>
  <c r="Q246" i="1" s="1"/>
  <c r="S246" i="1" s="1"/>
  <c r="O238" i="1"/>
  <c r="Q238" i="1" s="1"/>
  <c r="S238" i="1" s="1"/>
  <c r="O230" i="1"/>
  <c r="Q230" i="1" s="1"/>
  <c r="S230" i="1" s="1"/>
  <c r="O222" i="1"/>
  <c r="Q222" i="1" s="1"/>
  <c r="S222" i="1" s="1"/>
  <c r="O214" i="1"/>
  <c r="Q214" i="1" s="1"/>
  <c r="S214" i="1" s="1"/>
  <c r="O206" i="1"/>
  <c r="Q206" i="1" s="1"/>
  <c r="S206" i="1" s="1"/>
  <c r="O198" i="1"/>
  <c r="Q198" i="1" s="1"/>
  <c r="S198" i="1" s="1"/>
  <c r="O189" i="1"/>
  <c r="Q189" i="1" s="1"/>
  <c r="S189" i="1" s="1"/>
  <c r="O181" i="1"/>
  <c r="Q181" i="1" s="1"/>
  <c r="S181" i="1" s="1"/>
  <c r="O173" i="1"/>
  <c r="Q173" i="1" s="1"/>
  <c r="S173" i="1" s="1"/>
  <c r="O164" i="1"/>
  <c r="Q164" i="1" s="1"/>
  <c r="S164" i="1" s="1"/>
  <c r="O155" i="1"/>
  <c r="Q155" i="1" s="1"/>
  <c r="S155" i="1" s="1"/>
  <c r="O139" i="1"/>
  <c r="Q139" i="1" s="1"/>
  <c r="S139" i="1" s="1"/>
  <c r="O131" i="1"/>
  <c r="Q131" i="1" s="1"/>
  <c r="S131" i="1" s="1"/>
  <c r="O123" i="1"/>
  <c r="Q123" i="1" s="1"/>
  <c r="S123" i="1" s="1"/>
  <c r="O115" i="1"/>
  <c r="Q115" i="1" s="1"/>
  <c r="S115" i="1" s="1"/>
  <c r="O107" i="1"/>
  <c r="Q107" i="1" s="1"/>
  <c r="S107" i="1" s="1"/>
  <c r="O99" i="1"/>
  <c r="Q99" i="1" s="1"/>
  <c r="S99" i="1" s="1"/>
  <c r="O91" i="1"/>
  <c r="Q91" i="1" s="1"/>
  <c r="S91" i="1" s="1"/>
  <c r="O83" i="1"/>
  <c r="Q83" i="1" s="1"/>
  <c r="S83" i="1" s="1"/>
  <c r="O75" i="1"/>
  <c r="Q75" i="1" s="1"/>
  <c r="S75" i="1" s="1"/>
  <c r="O67" i="1"/>
  <c r="Q67" i="1" s="1"/>
  <c r="S67" i="1" s="1"/>
  <c r="O59" i="1"/>
  <c r="Q59" i="1" s="1"/>
  <c r="S59" i="1" s="1"/>
  <c r="O51" i="1"/>
  <c r="Q51" i="1" s="1"/>
  <c r="S51" i="1" s="1"/>
  <c r="O43" i="1"/>
  <c r="Q43" i="1" s="1"/>
  <c r="S43" i="1" s="1"/>
  <c r="O35" i="1"/>
  <c r="Q35" i="1" s="1"/>
  <c r="S35" i="1" s="1"/>
  <c r="O27" i="1"/>
  <c r="Q27" i="1" s="1"/>
  <c r="S27" i="1" s="1"/>
  <c r="O1450" i="1"/>
  <c r="Q1450" i="1" s="1"/>
  <c r="S1450" i="1" s="1"/>
  <c r="O1418" i="1"/>
  <c r="Q1418" i="1" s="1"/>
  <c r="S1418" i="1" s="1"/>
  <c r="O1394" i="1"/>
  <c r="Q1394" i="1" s="1"/>
  <c r="S1394" i="1" s="1"/>
  <c r="O1378" i="1"/>
  <c r="Q1378" i="1" s="1"/>
  <c r="S1378" i="1" s="1"/>
  <c r="O1362" i="1"/>
  <c r="Q1362" i="1" s="1"/>
  <c r="S1362" i="1" s="1"/>
  <c r="O1346" i="1"/>
  <c r="Q1346" i="1" s="1"/>
  <c r="S1346" i="1" s="1"/>
  <c r="O1212" i="1"/>
  <c r="Q1212" i="1" s="1"/>
  <c r="S1212" i="1" s="1"/>
  <c r="O1148" i="1"/>
  <c r="Q1148" i="1" s="1"/>
  <c r="S1148" i="1" s="1"/>
  <c r="O1126" i="1"/>
  <c r="Q1126" i="1" s="1"/>
  <c r="S1126" i="1" s="1"/>
  <c r="O1084" i="1"/>
  <c r="Q1084" i="1" s="1"/>
  <c r="S1084" i="1" s="1"/>
  <c r="O1060" i="1"/>
  <c r="Q1060" i="1" s="1"/>
  <c r="S1060" i="1" s="1"/>
  <c r="O1004" i="1"/>
  <c r="Q1004" i="1" s="1"/>
  <c r="S1004" i="1" s="1"/>
  <c r="O974" i="1"/>
  <c r="Q974" i="1" s="1"/>
  <c r="S974" i="1" s="1"/>
  <c r="O947" i="1"/>
  <c r="Q947" i="1" s="1"/>
  <c r="S947" i="1" s="1"/>
  <c r="O918" i="1"/>
  <c r="Q918" i="1" s="1"/>
  <c r="S918" i="1" s="1"/>
  <c r="O890" i="1"/>
  <c r="Q890" i="1" s="1"/>
  <c r="S890" i="1" s="1"/>
  <c r="O861" i="1"/>
  <c r="Q861" i="1" s="1"/>
  <c r="S861" i="1" s="1"/>
  <c r="O1118" i="1"/>
  <c r="Q1118" i="1" s="1"/>
  <c r="S1118" i="1" s="1"/>
  <c r="O1102" i="1"/>
  <c r="Q1102" i="1" s="1"/>
  <c r="S1102" i="1" s="1"/>
  <c r="O1076" i="1"/>
  <c r="Q1076" i="1" s="1"/>
  <c r="S1076" i="1" s="1"/>
  <c r="O1052" i="1"/>
  <c r="Q1052" i="1" s="1"/>
  <c r="S1052" i="1" s="1"/>
  <c r="O1036" i="1"/>
  <c r="Q1036" i="1" s="1"/>
  <c r="S1036" i="1" s="1"/>
  <c r="O1028" i="1"/>
  <c r="Q1028" i="1" s="1"/>
  <c r="S1028" i="1" s="1"/>
  <c r="O1020" i="1"/>
  <c r="Q1020" i="1" s="1"/>
  <c r="S1020" i="1" s="1"/>
  <c r="O1012" i="1"/>
  <c r="Q1012" i="1" s="1"/>
  <c r="S1012" i="1" s="1"/>
  <c r="O988" i="1"/>
  <c r="Q988" i="1" s="1"/>
  <c r="S988" i="1" s="1"/>
  <c r="O980" i="1"/>
  <c r="Q980" i="1" s="1"/>
  <c r="S980" i="1" s="1"/>
  <c r="O972" i="1"/>
  <c r="Q972" i="1" s="1"/>
  <c r="S972" i="1" s="1"/>
  <c r="O955" i="1"/>
  <c r="Q955" i="1" s="1"/>
  <c r="S955" i="1" s="1"/>
  <c r="O938" i="1"/>
  <c r="Q938" i="1" s="1"/>
  <c r="S938" i="1" s="1"/>
  <c r="O930" i="1"/>
  <c r="Q930" i="1" s="1"/>
  <c r="S930" i="1" s="1"/>
  <c r="O912" i="1"/>
  <c r="Q912" i="1" s="1"/>
  <c r="S912" i="1" s="1"/>
  <c r="O903" i="1"/>
  <c r="Q903" i="1" s="1"/>
  <c r="S903" i="1" s="1"/>
  <c r="O895" i="1"/>
  <c r="Q895" i="1" s="1"/>
  <c r="S895" i="1" s="1"/>
  <c r="O886" i="1"/>
  <c r="Q886" i="1" s="1"/>
  <c r="S886" i="1" s="1"/>
  <c r="O878" i="1"/>
  <c r="Q878" i="1" s="1"/>
  <c r="S878" i="1" s="1"/>
  <c r="O870" i="1"/>
  <c r="Q870" i="1" s="1"/>
  <c r="S870" i="1" s="1"/>
  <c r="O853" i="1"/>
  <c r="Q853" i="1" s="1"/>
  <c r="S853" i="1" s="1"/>
  <c r="O837" i="1"/>
  <c r="Q837" i="1" s="1"/>
  <c r="S837" i="1" s="1"/>
  <c r="O829" i="1"/>
  <c r="Q829" i="1" s="1"/>
  <c r="S829" i="1" s="1"/>
  <c r="O821" i="1"/>
  <c r="Q821" i="1" s="1"/>
  <c r="S821" i="1" s="1"/>
  <c r="O813" i="1"/>
  <c r="Q813" i="1" s="1"/>
  <c r="S813" i="1" s="1"/>
  <c r="O805" i="1"/>
  <c r="Q805" i="1" s="1"/>
  <c r="S805" i="1" s="1"/>
  <c r="O797" i="1"/>
  <c r="Q797" i="1" s="1"/>
  <c r="S797" i="1" s="1"/>
  <c r="O789" i="1"/>
  <c r="Q789" i="1" s="1"/>
  <c r="S789" i="1" s="1"/>
  <c r="O778" i="1"/>
  <c r="Q778" i="1" s="1"/>
  <c r="S778" i="1" s="1"/>
  <c r="O770" i="1"/>
  <c r="Q770" i="1" s="1"/>
  <c r="S770" i="1" s="1"/>
  <c r="O762" i="1"/>
  <c r="Q762" i="1" s="1"/>
  <c r="S762" i="1" s="1"/>
  <c r="O754" i="1"/>
  <c r="Q754" i="1" s="1"/>
  <c r="S754" i="1" s="1"/>
  <c r="O746" i="1"/>
  <c r="Q746" i="1" s="1"/>
  <c r="S746" i="1" s="1"/>
  <c r="O738" i="1"/>
  <c r="Q738" i="1" s="1"/>
  <c r="S738" i="1" s="1"/>
  <c r="O730" i="1"/>
  <c r="Q730" i="1" s="1"/>
  <c r="S730" i="1" s="1"/>
  <c r="O722" i="1"/>
  <c r="Q722" i="1" s="1"/>
  <c r="S722" i="1" s="1"/>
  <c r="O714" i="1"/>
  <c r="Q714" i="1" s="1"/>
  <c r="S714" i="1" s="1"/>
  <c r="O706" i="1"/>
  <c r="Q706" i="1" s="1"/>
  <c r="S706" i="1" s="1"/>
  <c r="O698" i="1"/>
  <c r="Q698" i="1" s="1"/>
  <c r="S698" i="1" s="1"/>
  <c r="O690" i="1"/>
  <c r="Q690" i="1" s="1"/>
  <c r="S690" i="1" s="1"/>
  <c r="O682" i="1"/>
  <c r="Q682" i="1" s="1"/>
  <c r="S682" i="1" s="1"/>
  <c r="O673" i="1"/>
  <c r="Q673" i="1" s="1"/>
  <c r="S673" i="1" s="1"/>
  <c r="O665" i="1"/>
  <c r="Q665" i="1" s="1"/>
  <c r="S665" i="1" s="1"/>
  <c r="O657" i="1"/>
  <c r="Q657" i="1" s="1"/>
  <c r="S657" i="1" s="1"/>
  <c r="O649" i="1"/>
  <c r="Q649" i="1" s="1"/>
  <c r="S649" i="1" s="1"/>
  <c r="O641" i="1"/>
  <c r="Q641" i="1" s="1"/>
  <c r="S641" i="1" s="1"/>
  <c r="O633" i="1"/>
  <c r="Q633" i="1" s="1"/>
  <c r="S633" i="1" s="1"/>
  <c r="O625" i="1"/>
  <c r="Q625" i="1" s="1"/>
  <c r="S625" i="1" s="1"/>
  <c r="O617" i="1"/>
  <c r="Q617" i="1" s="1"/>
  <c r="S617" i="1" s="1"/>
  <c r="O608" i="1"/>
  <c r="Q608" i="1" s="1"/>
  <c r="S608" i="1" s="1"/>
  <c r="O600" i="1"/>
  <c r="Q600" i="1" s="1"/>
  <c r="S600" i="1" s="1"/>
  <c r="O592" i="1"/>
  <c r="Q592" i="1" s="1"/>
  <c r="S592" i="1" s="1"/>
  <c r="O584" i="1"/>
  <c r="Q584" i="1" s="1"/>
  <c r="S584" i="1" s="1"/>
  <c r="O576" i="1"/>
  <c r="Q576" i="1" s="1"/>
  <c r="S576" i="1" s="1"/>
  <c r="O568" i="1"/>
  <c r="Q568" i="1" s="1"/>
  <c r="S568" i="1" s="1"/>
  <c r="O560" i="1"/>
  <c r="Q560" i="1" s="1"/>
  <c r="S560" i="1" s="1"/>
  <c r="O551" i="1"/>
  <c r="Q551" i="1" s="1"/>
  <c r="S551" i="1" s="1"/>
  <c r="O543" i="1"/>
  <c r="Q543" i="1" s="1"/>
  <c r="S543" i="1" s="1"/>
  <c r="O535" i="1"/>
  <c r="Q535" i="1" s="1"/>
  <c r="S535" i="1" s="1"/>
  <c r="O527" i="1"/>
  <c r="Q527" i="1" s="1"/>
  <c r="S527" i="1" s="1"/>
  <c r="O519" i="1"/>
  <c r="Q519" i="1" s="1"/>
  <c r="S519" i="1" s="1"/>
  <c r="O511" i="1"/>
  <c r="Q511" i="1" s="1"/>
  <c r="S511" i="1" s="1"/>
  <c r="O503" i="1"/>
  <c r="Q503" i="1" s="1"/>
  <c r="S503" i="1" s="1"/>
  <c r="O495" i="1"/>
  <c r="Q495" i="1" s="1"/>
  <c r="S495" i="1" s="1"/>
  <c r="O485" i="1"/>
  <c r="Q485" i="1" s="1"/>
  <c r="S485" i="1" s="1"/>
  <c r="O477" i="1"/>
  <c r="Q477" i="1" s="1"/>
  <c r="S477" i="1" s="1"/>
  <c r="O469" i="1"/>
  <c r="Q469" i="1" s="1"/>
  <c r="S469" i="1" s="1"/>
  <c r="O461" i="1"/>
  <c r="Q461" i="1" s="1"/>
  <c r="S461" i="1" s="1"/>
  <c r="O453" i="1"/>
  <c r="Q453" i="1" s="1"/>
  <c r="S453" i="1" s="1"/>
  <c r="O445" i="1"/>
  <c r="Q445" i="1" s="1"/>
  <c r="S445" i="1" s="1"/>
  <c r="O436" i="1"/>
  <c r="Q436" i="1" s="1"/>
  <c r="S436" i="1" s="1"/>
  <c r="O428" i="1"/>
  <c r="Q428" i="1" s="1"/>
  <c r="S428" i="1" s="1"/>
  <c r="O420" i="1"/>
  <c r="Q420" i="1" s="1"/>
  <c r="S420" i="1" s="1"/>
  <c r="O412" i="1"/>
  <c r="Q412" i="1" s="1"/>
  <c r="S412" i="1" s="1"/>
  <c r="O403" i="1"/>
  <c r="Q403" i="1" s="1"/>
  <c r="S403" i="1" s="1"/>
  <c r="O395" i="1"/>
  <c r="Q395" i="1" s="1"/>
  <c r="S395" i="1" s="1"/>
  <c r="O387" i="1"/>
  <c r="Q387" i="1" s="1"/>
  <c r="S387" i="1" s="1"/>
  <c r="O379" i="1"/>
  <c r="Q379" i="1" s="1"/>
  <c r="S379" i="1" s="1"/>
  <c r="O370" i="1"/>
  <c r="Q370" i="1" s="1"/>
  <c r="S370" i="1" s="1"/>
  <c r="O362" i="1"/>
  <c r="Q362" i="1" s="1"/>
  <c r="S362" i="1" s="1"/>
  <c r="O354" i="1"/>
  <c r="Q354" i="1" s="1"/>
  <c r="S354" i="1" s="1"/>
  <c r="O345" i="1"/>
  <c r="Q345" i="1" s="1"/>
  <c r="S345" i="1" s="1"/>
  <c r="O337" i="1"/>
  <c r="Q337" i="1" s="1"/>
  <c r="S337" i="1" s="1"/>
  <c r="O329" i="1"/>
  <c r="Q329" i="1" s="1"/>
  <c r="S329" i="1" s="1"/>
  <c r="O321" i="1"/>
  <c r="Q321" i="1" s="1"/>
  <c r="S321" i="1" s="1"/>
  <c r="O312" i="1"/>
  <c r="Q312" i="1" s="1"/>
  <c r="S312" i="1" s="1"/>
  <c r="O302" i="1"/>
  <c r="Q302" i="1" s="1"/>
  <c r="S302" i="1" s="1"/>
  <c r="O293" i="1"/>
  <c r="Q293" i="1" s="1"/>
  <c r="S293" i="1" s="1"/>
  <c r="O285" i="1"/>
  <c r="Q285" i="1" s="1"/>
  <c r="S285" i="1" s="1"/>
  <c r="O277" i="1"/>
  <c r="Q277" i="1" s="1"/>
  <c r="S277" i="1" s="1"/>
  <c r="O269" i="1"/>
  <c r="Q269" i="1" s="1"/>
  <c r="S269" i="1" s="1"/>
  <c r="O261" i="1"/>
  <c r="Q261" i="1" s="1"/>
  <c r="S261" i="1" s="1"/>
  <c r="O253" i="1"/>
  <c r="Q253" i="1" s="1"/>
  <c r="S253" i="1" s="1"/>
  <c r="O245" i="1"/>
  <c r="Q245" i="1" s="1"/>
  <c r="S245" i="1" s="1"/>
  <c r="O237" i="1"/>
  <c r="Q237" i="1" s="1"/>
  <c r="S237" i="1" s="1"/>
  <c r="O229" i="1"/>
  <c r="Q229" i="1" s="1"/>
  <c r="S229" i="1" s="1"/>
  <c r="O221" i="1"/>
  <c r="Q221" i="1" s="1"/>
  <c r="S221" i="1" s="1"/>
  <c r="O1329" i="1"/>
  <c r="Q1329" i="1" s="1"/>
  <c r="S1329" i="1" s="1"/>
  <c r="O1313" i="1"/>
  <c r="Q1313" i="1" s="1"/>
  <c r="S1313" i="1" s="1"/>
  <c r="O1231" i="1"/>
  <c r="Q1231" i="1" s="1"/>
  <c r="S1231" i="1" s="1"/>
  <c r="O1167" i="1"/>
  <c r="Q1167" i="1" s="1"/>
  <c r="S1167" i="1" s="1"/>
  <c r="O1103" i="1"/>
  <c r="Q1103" i="1" s="1"/>
  <c r="S1103" i="1" s="1"/>
  <c r="O1082" i="1"/>
  <c r="Q1082" i="1" s="1"/>
  <c r="S1082" i="1" s="1"/>
  <c r="O1059" i="1"/>
  <c r="Q1059" i="1" s="1"/>
  <c r="S1059" i="1" s="1"/>
  <c r="O1029" i="1"/>
  <c r="Q1029" i="1" s="1"/>
  <c r="S1029" i="1" s="1"/>
  <c r="O1002" i="1"/>
  <c r="Q1002" i="1" s="1"/>
  <c r="S1002" i="1" s="1"/>
  <c r="O973" i="1"/>
  <c r="Q973" i="1" s="1"/>
  <c r="S973" i="1" s="1"/>
  <c r="O944" i="1"/>
  <c r="Q944" i="1" s="1"/>
  <c r="S944" i="1" s="1"/>
  <c r="O916" i="1"/>
  <c r="Q916" i="1" s="1"/>
  <c r="S916" i="1" s="1"/>
  <c r="O888" i="1"/>
  <c r="Q888" i="1" s="1"/>
  <c r="S888" i="1" s="1"/>
  <c r="O859" i="1"/>
  <c r="Q859" i="1" s="1"/>
  <c r="S859" i="1" s="1"/>
  <c r="O1109" i="1"/>
  <c r="Q1109" i="1" s="1"/>
  <c r="S1109" i="1" s="1"/>
  <c r="O1101" i="1"/>
  <c r="Q1101" i="1" s="1"/>
  <c r="S1101" i="1" s="1"/>
  <c r="O1092" i="1"/>
  <c r="Q1092" i="1" s="1"/>
  <c r="S1092" i="1" s="1"/>
  <c r="O1075" i="1"/>
  <c r="Q1075" i="1" s="1"/>
  <c r="S1075" i="1" s="1"/>
  <c r="O1067" i="1"/>
  <c r="Q1067" i="1" s="1"/>
  <c r="S1067" i="1" s="1"/>
  <c r="O1051" i="1"/>
  <c r="Q1051" i="1" s="1"/>
  <c r="S1051" i="1" s="1"/>
  <c r="O1043" i="1"/>
  <c r="Q1043" i="1" s="1"/>
  <c r="S1043" i="1" s="1"/>
  <c r="O1035" i="1"/>
  <c r="Q1035" i="1" s="1"/>
  <c r="S1035" i="1" s="1"/>
  <c r="O1027" i="1"/>
  <c r="Q1027" i="1" s="1"/>
  <c r="S1027" i="1" s="1"/>
  <c r="O1003" i="1"/>
  <c r="Q1003" i="1" s="1"/>
  <c r="S1003" i="1" s="1"/>
  <c r="O995" i="1"/>
  <c r="Q995" i="1" s="1"/>
  <c r="S995" i="1" s="1"/>
  <c r="O979" i="1"/>
  <c r="Q979" i="1" s="1"/>
  <c r="S979" i="1" s="1"/>
  <c r="O971" i="1"/>
  <c r="Q971" i="1" s="1"/>
  <c r="S971" i="1" s="1"/>
  <c r="O946" i="1"/>
  <c r="Q946" i="1" s="1"/>
  <c r="S946" i="1" s="1"/>
  <c r="O937" i="1"/>
  <c r="Q937" i="1" s="1"/>
  <c r="S937" i="1" s="1"/>
  <c r="O929" i="1"/>
  <c r="Q929" i="1" s="1"/>
  <c r="S929" i="1" s="1"/>
  <c r="O919" i="1"/>
  <c r="Q919" i="1" s="1"/>
  <c r="S919" i="1" s="1"/>
  <c r="O911" i="1"/>
  <c r="Q911" i="1" s="1"/>
  <c r="S911" i="1" s="1"/>
  <c r="O902" i="1"/>
  <c r="Q902" i="1" s="1"/>
  <c r="S902" i="1" s="1"/>
  <c r="O894" i="1"/>
  <c r="Q894" i="1" s="1"/>
  <c r="S894" i="1" s="1"/>
  <c r="O885" i="1"/>
  <c r="Q885" i="1" s="1"/>
  <c r="S885" i="1" s="1"/>
  <c r="O869" i="1"/>
  <c r="Q869" i="1" s="1"/>
  <c r="S869" i="1" s="1"/>
  <c r="O860" i="1"/>
  <c r="Q860" i="1" s="1"/>
  <c r="S860" i="1" s="1"/>
  <c r="O852" i="1"/>
  <c r="Q852" i="1" s="1"/>
  <c r="S852" i="1" s="1"/>
  <c r="O844" i="1"/>
  <c r="Q844" i="1" s="1"/>
  <c r="S844" i="1" s="1"/>
  <c r="O836" i="1"/>
  <c r="Q836" i="1" s="1"/>
  <c r="S836" i="1" s="1"/>
  <c r="O828" i="1"/>
  <c r="Q828" i="1" s="1"/>
  <c r="S828" i="1" s="1"/>
  <c r="O820" i="1"/>
  <c r="Q820" i="1" s="1"/>
  <c r="S820" i="1" s="1"/>
  <c r="O812" i="1"/>
  <c r="Q812" i="1" s="1"/>
  <c r="S812" i="1" s="1"/>
  <c r="O804" i="1"/>
  <c r="Q804" i="1" s="1"/>
  <c r="S804" i="1" s="1"/>
  <c r="O796" i="1"/>
  <c r="Q796" i="1" s="1"/>
  <c r="S796" i="1" s="1"/>
  <c r="O788" i="1"/>
  <c r="Q788" i="1" s="1"/>
  <c r="S788" i="1" s="1"/>
  <c r="O777" i="1"/>
  <c r="Q777" i="1" s="1"/>
  <c r="S777" i="1" s="1"/>
  <c r="O769" i="1"/>
  <c r="Q769" i="1" s="1"/>
  <c r="S769" i="1" s="1"/>
  <c r="O761" i="1"/>
  <c r="Q761" i="1" s="1"/>
  <c r="S761" i="1" s="1"/>
  <c r="O753" i="1"/>
  <c r="Q753" i="1" s="1"/>
  <c r="S753" i="1" s="1"/>
  <c r="O745" i="1"/>
  <c r="Q745" i="1" s="1"/>
  <c r="S745" i="1" s="1"/>
  <c r="O737" i="1"/>
  <c r="Q737" i="1" s="1"/>
  <c r="S737" i="1" s="1"/>
  <c r="O729" i="1"/>
  <c r="Q729" i="1" s="1"/>
  <c r="S729" i="1" s="1"/>
  <c r="O721" i="1"/>
  <c r="Q721" i="1" s="1"/>
  <c r="S721" i="1" s="1"/>
  <c r="O713" i="1"/>
  <c r="Q713" i="1" s="1"/>
  <c r="S713" i="1" s="1"/>
  <c r="O705" i="1"/>
  <c r="Q705" i="1" s="1"/>
  <c r="S705" i="1" s="1"/>
  <c r="O697" i="1"/>
  <c r="Q697" i="1" s="1"/>
  <c r="S697" i="1" s="1"/>
  <c r="O689" i="1"/>
  <c r="Q689" i="1" s="1"/>
  <c r="S689" i="1" s="1"/>
  <c r="O681" i="1"/>
  <c r="Q681" i="1" s="1"/>
  <c r="S681" i="1" s="1"/>
  <c r="O672" i="1"/>
  <c r="Q672" i="1" s="1"/>
  <c r="S672" i="1" s="1"/>
  <c r="O664" i="1"/>
  <c r="Q664" i="1" s="1"/>
  <c r="S664" i="1" s="1"/>
  <c r="O656" i="1"/>
  <c r="Q656" i="1" s="1"/>
  <c r="S656" i="1" s="1"/>
  <c r="O648" i="1"/>
  <c r="Q648" i="1" s="1"/>
  <c r="S648" i="1" s="1"/>
  <c r="O640" i="1"/>
  <c r="Q640" i="1" s="1"/>
  <c r="S640" i="1" s="1"/>
  <c r="O632" i="1"/>
  <c r="Q632" i="1" s="1"/>
  <c r="S632" i="1" s="1"/>
  <c r="O624" i="1"/>
  <c r="Q624" i="1" s="1"/>
  <c r="S624" i="1" s="1"/>
  <c r="O616" i="1"/>
  <c r="Q616" i="1" s="1"/>
  <c r="S616" i="1" s="1"/>
  <c r="O607" i="1"/>
  <c r="Q607" i="1" s="1"/>
  <c r="S607" i="1" s="1"/>
  <c r="O599" i="1"/>
  <c r="Q599" i="1" s="1"/>
  <c r="S599" i="1" s="1"/>
  <c r="O591" i="1"/>
  <c r="Q591" i="1" s="1"/>
  <c r="S591" i="1" s="1"/>
  <c r="O583" i="1"/>
  <c r="Q583" i="1" s="1"/>
  <c r="S583" i="1" s="1"/>
  <c r="O575" i="1"/>
  <c r="Q575" i="1" s="1"/>
  <c r="S575" i="1" s="1"/>
  <c r="O567" i="1"/>
  <c r="Q567" i="1" s="1"/>
  <c r="S567" i="1" s="1"/>
  <c r="O559" i="1"/>
  <c r="Q559" i="1" s="1"/>
  <c r="S559" i="1" s="1"/>
  <c r="O550" i="1"/>
  <c r="Q550" i="1" s="1"/>
  <c r="S550" i="1" s="1"/>
  <c r="O542" i="1"/>
  <c r="Q542" i="1" s="1"/>
  <c r="S542" i="1" s="1"/>
  <c r="O534" i="1"/>
  <c r="Q534" i="1" s="1"/>
  <c r="S534" i="1" s="1"/>
  <c r="O526" i="1"/>
  <c r="Q526" i="1" s="1"/>
  <c r="S526" i="1" s="1"/>
  <c r="O518" i="1"/>
  <c r="Q518" i="1" s="1"/>
  <c r="S518" i="1" s="1"/>
  <c r="O510" i="1"/>
  <c r="Q510" i="1" s="1"/>
  <c r="S510" i="1" s="1"/>
  <c r="O502" i="1"/>
  <c r="Q502" i="1" s="1"/>
  <c r="S502" i="1" s="1"/>
  <c r="O494" i="1"/>
  <c r="Q494" i="1" s="1"/>
  <c r="S494" i="1" s="1"/>
  <c r="O484" i="1"/>
  <c r="Q484" i="1" s="1"/>
  <c r="S484" i="1" s="1"/>
  <c r="O476" i="1"/>
  <c r="Q476" i="1" s="1"/>
  <c r="S476" i="1" s="1"/>
  <c r="O468" i="1"/>
  <c r="Q468" i="1" s="1"/>
  <c r="S468" i="1" s="1"/>
  <c r="O460" i="1"/>
  <c r="Q460" i="1" s="1"/>
  <c r="S460" i="1" s="1"/>
  <c r="O452" i="1"/>
  <c r="Q452" i="1" s="1"/>
  <c r="S452" i="1" s="1"/>
  <c r="O444" i="1"/>
  <c r="Q444" i="1" s="1"/>
  <c r="S444" i="1" s="1"/>
  <c r="O435" i="1"/>
  <c r="Q435" i="1" s="1"/>
  <c r="S435" i="1" s="1"/>
  <c r="O427" i="1"/>
  <c r="Q427" i="1" s="1"/>
  <c r="S427" i="1" s="1"/>
  <c r="O419" i="1"/>
  <c r="Q419" i="1" s="1"/>
  <c r="S419" i="1" s="1"/>
  <c r="O411" i="1"/>
  <c r="Q411" i="1" s="1"/>
  <c r="S411" i="1" s="1"/>
  <c r="O402" i="1"/>
  <c r="Q402" i="1" s="1"/>
  <c r="S402" i="1" s="1"/>
  <c r="O394" i="1"/>
  <c r="Q394" i="1" s="1"/>
  <c r="S394" i="1" s="1"/>
  <c r="O386" i="1"/>
  <c r="Q386" i="1" s="1"/>
  <c r="S386" i="1" s="1"/>
  <c r="O378" i="1"/>
  <c r="Q378" i="1" s="1"/>
  <c r="S378" i="1" s="1"/>
  <c r="O369" i="1"/>
  <c r="Q369" i="1" s="1"/>
  <c r="S369" i="1" s="1"/>
  <c r="O361" i="1"/>
  <c r="Q361" i="1" s="1"/>
  <c r="S361" i="1" s="1"/>
  <c r="O353" i="1"/>
  <c r="Q353" i="1" s="1"/>
  <c r="S353" i="1" s="1"/>
  <c r="O344" i="1"/>
  <c r="Q344" i="1" s="1"/>
  <c r="S344" i="1" s="1"/>
  <c r="O336" i="1"/>
  <c r="Q336" i="1" s="1"/>
  <c r="S336" i="1" s="1"/>
  <c r="O328" i="1"/>
  <c r="Q328" i="1" s="1"/>
  <c r="S328" i="1" s="1"/>
  <c r="O319" i="1"/>
  <c r="Q319" i="1" s="1"/>
  <c r="S319" i="1" s="1"/>
  <c r="O311" i="1"/>
  <c r="Q311" i="1" s="1"/>
  <c r="S311" i="1" s="1"/>
  <c r="O300" i="1"/>
  <c r="Q300" i="1" s="1"/>
  <c r="S300" i="1" s="1"/>
  <c r="O292" i="1"/>
  <c r="Q292" i="1" s="1"/>
  <c r="S292" i="1" s="1"/>
  <c r="O284" i="1"/>
  <c r="Q284" i="1" s="1"/>
  <c r="S284" i="1" s="1"/>
  <c r="O276" i="1"/>
  <c r="Q276" i="1" s="1"/>
  <c r="S276" i="1" s="1"/>
  <c r="O268" i="1"/>
  <c r="Q268" i="1" s="1"/>
  <c r="S268" i="1" s="1"/>
  <c r="O260" i="1"/>
  <c r="Q260" i="1" s="1"/>
  <c r="S260" i="1" s="1"/>
  <c r="O252" i="1"/>
  <c r="Q252" i="1" s="1"/>
  <c r="S252" i="1" s="1"/>
  <c r="O244" i="1"/>
  <c r="Q244" i="1" s="1"/>
  <c r="S244" i="1" s="1"/>
  <c r="O236" i="1"/>
  <c r="Q236" i="1" s="1"/>
  <c r="S236" i="1" s="1"/>
  <c r="O228" i="1"/>
  <c r="Q228" i="1" s="1"/>
  <c r="S228" i="1" s="1"/>
  <c r="O220" i="1"/>
  <c r="Q220" i="1" s="1"/>
  <c r="S220" i="1" s="1"/>
  <c r="O212" i="1"/>
  <c r="Q212" i="1" s="1"/>
  <c r="S212" i="1" s="1"/>
  <c r="O204" i="1"/>
  <c r="Q204" i="1" s="1"/>
  <c r="S204" i="1" s="1"/>
  <c r="O196" i="1"/>
  <c r="Q196" i="1" s="1"/>
  <c r="S196" i="1" s="1"/>
  <c r="O187" i="1"/>
  <c r="Q187" i="1" s="1"/>
  <c r="S187" i="1" s="1"/>
  <c r="O179" i="1"/>
  <c r="Q179" i="1" s="1"/>
  <c r="S179" i="1" s="1"/>
  <c r="O170" i="1"/>
  <c r="Q170" i="1" s="1"/>
  <c r="S170" i="1" s="1"/>
  <c r="O162" i="1"/>
  <c r="Q162" i="1" s="1"/>
  <c r="S162" i="1" s="1"/>
  <c r="O153" i="1"/>
  <c r="Q153" i="1" s="1"/>
  <c r="S153" i="1" s="1"/>
  <c r="O137" i="1"/>
  <c r="Q137" i="1" s="1"/>
  <c r="S137" i="1" s="1"/>
  <c r="O129" i="1"/>
  <c r="Q129" i="1" s="1"/>
  <c r="S129" i="1" s="1"/>
  <c r="O121" i="1"/>
  <c r="Q121" i="1" s="1"/>
  <c r="S121" i="1" s="1"/>
  <c r="O113" i="1"/>
  <c r="Q113" i="1" s="1"/>
  <c r="S113" i="1" s="1"/>
  <c r="O105" i="1"/>
  <c r="Q105" i="1" s="1"/>
  <c r="S105" i="1" s="1"/>
  <c r="O97" i="1"/>
  <c r="Q97" i="1" s="1"/>
  <c r="S97" i="1" s="1"/>
  <c r="O89" i="1"/>
  <c r="Q89" i="1" s="1"/>
  <c r="S89" i="1" s="1"/>
  <c r="O81" i="1"/>
  <c r="Q81" i="1" s="1"/>
  <c r="S81" i="1" s="1"/>
  <c r="O73" i="1"/>
  <c r="Q73" i="1" s="1"/>
  <c r="S73" i="1" s="1"/>
  <c r="O65" i="1"/>
  <c r="Q65" i="1" s="1"/>
  <c r="S65" i="1" s="1"/>
  <c r="O57" i="1"/>
  <c r="Q57" i="1" s="1"/>
  <c r="S57" i="1" s="1"/>
  <c r="O49" i="1"/>
  <c r="Q49" i="1" s="1"/>
  <c r="S49" i="1" s="1"/>
  <c r="O41" i="1"/>
  <c r="Q41" i="1" s="1"/>
  <c r="S41" i="1" s="1"/>
  <c r="O33" i="1"/>
  <c r="Q33" i="1" s="1"/>
  <c r="S33" i="1" s="1"/>
  <c r="O25" i="1"/>
  <c r="Q25" i="1" s="1"/>
  <c r="S25" i="1" s="1"/>
  <c r="O1480" i="1"/>
  <c r="Q1480" i="1" s="1"/>
  <c r="S1480" i="1" s="1"/>
  <c r="O1426" i="1"/>
  <c r="Q1426" i="1" s="1"/>
  <c r="S1426" i="1" s="1"/>
  <c r="O1326" i="1"/>
  <c r="Q1326" i="1" s="1"/>
  <c r="S1326" i="1" s="1"/>
  <c r="O1310" i="1"/>
  <c r="Q1310" i="1" s="1"/>
  <c r="S1310" i="1" s="1"/>
  <c r="O1228" i="1"/>
  <c r="Q1228" i="1" s="1"/>
  <c r="S1228" i="1" s="1"/>
  <c r="O1164" i="1"/>
  <c r="Q1164" i="1" s="1"/>
  <c r="S1164" i="1" s="1"/>
  <c r="O1100" i="1"/>
  <c r="Q1100" i="1" s="1"/>
  <c r="S1100" i="1" s="1"/>
  <c r="O1078" i="1"/>
  <c r="Q1078" i="1" s="1"/>
  <c r="S1078" i="1" s="1"/>
  <c r="O1053" i="1"/>
  <c r="Q1053" i="1" s="1"/>
  <c r="S1053" i="1" s="1"/>
  <c r="O1026" i="1"/>
  <c r="Q1026" i="1" s="1"/>
  <c r="S1026" i="1" s="1"/>
  <c r="O996" i="1"/>
  <c r="Q996" i="1" s="1"/>
  <c r="S996" i="1" s="1"/>
  <c r="O883" i="1"/>
  <c r="Q883" i="1" s="1"/>
  <c r="S883" i="1" s="1"/>
  <c r="O854" i="1"/>
  <c r="Q854" i="1" s="1"/>
  <c r="S854" i="1" s="1"/>
  <c r="O1471" i="1"/>
  <c r="Q1471" i="1" s="1"/>
  <c r="S1471" i="1" s="1"/>
  <c r="O1463" i="1"/>
  <c r="Q1463" i="1" s="1"/>
  <c r="S1463" i="1" s="1"/>
  <c r="O1455" i="1"/>
  <c r="Q1455" i="1" s="1"/>
  <c r="S1455" i="1" s="1"/>
  <c r="O1447" i="1"/>
  <c r="Q1447" i="1" s="1"/>
  <c r="S1447" i="1" s="1"/>
  <c r="O1439" i="1"/>
  <c r="Q1439" i="1" s="1"/>
  <c r="S1439" i="1" s="1"/>
  <c r="O1431" i="1"/>
  <c r="Q1431" i="1" s="1"/>
  <c r="S1431" i="1" s="1"/>
  <c r="O1423" i="1"/>
  <c r="Q1423" i="1" s="1"/>
  <c r="S1423" i="1" s="1"/>
  <c r="O1415" i="1"/>
  <c r="Q1415" i="1" s="1"/>
  <c r="S1415" i="1" s="1"/>
  <c r="O1407" i="1"/>
  <c r="Q1407" i="1" s="1"/>
  <c r="S1407" i="1" s="1"/>
  <c r="O1399" i="1"/>
  <c r="Q1399" i="1" s="1"/>
  <c r="S1399" i="1" s="1"/>
  <c r="O1391" i="1"/>
  <c r="Q1391" i="1" s="1"/>
  <c r="S1391" i="1" s="1"/>
  <c r="O1383" i="1"/>
  <c r="Q1383" i="1" s="1"/>
  <c r="S1383" i="1" s="1"/>
  <c r="O1375" i="1"/>
  <c r="Q1375" i="1" s="1"/>
  <c r="S1375" i="1" s="1"/>
  <c r="O1367" i="1"/>
  <c r="Q1367" i="1" s="1"/>
  <c r="S1367" i="1" s="1"/>
  <c r="O1359" i="1"/>
  <c r="Q1359" i="1" s="1"/>
  <c r="S1359" i="1" s="1"/>
  <c r="O1351" i="1"/>
  <c r="Q1351" i="1" s="1"/>
  <c r="S1351" i="1" s="1"/>
  <c r="O1343" i="1"/>
  <c r="Q1343" i="1" s="1"/>
  <c r="S1343" i="1" s="1"/>
  <c r="O1301" i="1"/>
  <c r="Q1301" i="1" s="1"/>
  <c r="S1301" i="1" s="1"/>
  <c r="O1292" i="1"/>
  <c r="Q1292" i="1" s="1"/>
  <c r="S1292" i="1" s="1"/>
  <c r="O1284" i="1"/>
  <c r="Q1284" i="1" s="1"/>
  <c r="S1284" i="1" s="1"/>
  <c r="O1276" i="1"/>
  <c r="Q1276" i="1" s="1"/>
  <c r="S1276" i="1" s="1"/>
  <c r="O1268" i="1"/>
  <c r="Q1268" i="1" s="1"/>
  <c r="S1268" i="1" s="1"/>
  <c r="O1260" i="1"/>
  <c r="Q1260" i="1" s="1"/>
  <c r="S1260" i="1" s="1"/>
  <c r="O1252" i="1"/>
  <c r="Q1252" i="1" s="1"/>
  <c r="S1252" i="1" s="1"/>
  <c r="O1244" i="1"/>
  <c r="Q1244" i="1" s="1"/>
  <c r="S1244" i="1" s="1"/>
  <c r="O1236" i="1"/>
  <c r="Q1236" i="1" s="1"/>
  <c r="S1236" i="1" s="1"/>
  <c r="O1220" i="1"/>
  <c r="Q1220" i="1" s="1"/>
  <c r="S1220" i="1" s="1"/>
  <c r="O1204" i="1"/>
  <c r="Q1204" i="1" s="1"/>
  <c r="S1204" i="1" s="1"/>
  <c r="O1188" i="1"/>
  <c r="Q1188" i="1" s="1"/>
  <c r="S1188" i="1" s="1"/>
  <c r="O1172" i="1"/>
  <c r="Q1172" i="1" s="1"/>
  <c r="S1172" i="1" s="1"/>
  <c r="O1156" i="1"/>
  <c r="Q1156" i="1" s="1"/>
  <c r="S1156" i="1" s="1"/>
  <c r="O1140" i="1"/>
  <c r="Q1140" i="1" s="1"/>
  <c r="S1140" i="1" s="1"/>
  <c r="O1124" i="1"/>
  <c r="Q1124" i="1" s="1"/>
  <c r="S1124" i="1" s="1"/>
  <c r="O1108" i="1"/>
  <c r="Q1108" i="1" s="1"/>
  <c r="S1108" i="1" s="1"/>
  <c r="O1091" i="1"/>
  <c r="Q1091" i="1" s="1"/>
  <c r="S1091" i="1" s="1"/>
  <c r="O1083" i="1"/>
  <c r="Q1083" i="1" s="1"/>
  <c r="S1083" i="1" s="1"/>
  <c r="O1066" i="1"/>
  <c r="Q1066" i="1" s="1"/>
  <c r="S1066" i="1" s="1"/>
  <c r="O1058" i="1"/>
  <c r="Q1058" i="1" s="1"/>
  <c r="S1058" i="1" s="1"/>
  <c r="O1050" i="1"/>
  <c r="Q1050" i="1" s="1"/>
  <c r="S1050" i="1" s="1"/>
  <c r="O1042" i="1"/>
  <c r="Q1042" i="1" s="1"/>
  <c r="S1042" i="1" s="1"/>
  <c r="O1010" i="1"/>
  <c r="Q1010" i="1" s="1"/>
  <c r="S1010" i="1" s="1"/>
  <c r="O994" i="1"/>
  <c r="Q994" i="1" s="1"/>
  <c r="S994" i="1" s="1"/>
  <c r="O986" i="1"/>
  <c r="Q986" i="1" s="1"/>
  <c r="S986" i="1" s="1"/>
  <c r="O978" i="1"/>
  <c r="Q978" i="1" s="1"/>
  <c r="S978" i="1" s="1"/>
  <c r="O970" i="1"/>
  <c r="Q970" i="1" s="1"/>
  <c r="S970" i="1" s="1"/>
  <c r="O961" i="1"/>
  <c r="Q961" i="1" s="1"/>
  <c r="S961" i="1" s="1"/>
  <c r="O953" i="1"/>
  <c r="Q953" i="1" s="1"/>
  <c r="S953" i="1" s="1"/>
  <c r="O945" i="1"/>
  <c r="Q945" i="1" s="1"/>
  <c r="S945" i="1" s="1"/>
  <c r="O936" i="1"/>
  <c r="Q936" i="1" s="1"/>
  <c r="S936" i="1" s="1"/>
  <c r="O928" i="1"/>
  <c r="Q928" i="1" s="1"/>
  <c r="S928" i="1" s="1"/>
  <c r="O909" i="1"/>
  <c r="Q909" i="1" s="1"/>
  <c r="S909" i="1" s="1"/>
  <c r="O893" i="1"/>
  <c r="Q893" i="1" s="1"/>
  <c r="S893" i="1" s="1"/>
  <c r="O884" i="1"/>
  <c r="Q884" i="1" s="1"/>
  <c r="S884" i="1" s="1"/>
  <c r="O867" i="1"/>
  <c r="Q867" i="1" s="1"/>
  <c r="S867" i="1" s="1"/>
  <c r="O851" i="1"/>
  <c r="Q851" i="1" s="1"/>
  <c r="S851" i="1" s="1"/>
  <c r="O843" i="1"/>
  <c r="Q843" i="1" s="1"/>
  <c r="S843" i="1" s="1"/>
  <c r="O827" i="1"/>
  <c r="Q827" i="1" s="1"/>
  <c r="S827" i="1" s="1"/>
  <c r="O819" i="1"/>
  <c r="Q819" i="1" s="1"/>
  <c r="S819" i="1" s="1"/>
  <c r="O811" i="1"/>
  <c r="Q811" i="1" s="1"/>
  <c r="S811" i="1" s="1"/>
  <c r="O803" i="1"/>
  <c r="Q803" i="1" s="1"/>
  <c r="S803" i="1" s="1"/>
  <c r="O795" i="1"/>
  <c r="Q795" i="1" s="1"/>
  <c r="S795" i="1" s="1"/>
  <c r="O787" i="1"/>
  <c r="Q787" i="1" s="1"/>
  <c r="S787" i="1" s="1"/>
  <c r="O776" i="1"/>
  <c r="Q776" i="1" s="1"/>
  <c r="S776" i="1" s="1"/>
  <c r="O768" i="1"/>
  <c r="Q768" i="1" s="1"/>
  <c r="S768" i="1" s="1"/>
  <c r="O760" i="1"/>
  <c r="Q760" i="1" s="1"/>
  <c r="S760" i="1" s="1"/>
  <c r="O752" i="1"/>
  <c r="Q752" i="1" s="1"/>
  <c r="S752" i="1" s="1"/>
  <c r="O744" i="1"/>
  <c r="Q744" i="1" s="1"/>
  <c r="S744" i="1" s="1"/>
  <c r="O736" i="1"/>
  <c r="Q736" i="1" s="1"/>
  <c r="S736" i="1" s="1"/>
  <c r="O728" i="1"/>
  <c r="Q728" i="1" s="1"/>
  <c r="S728" i="1" s="1"/>
  <c r="O720" i="1"/>
  <c r="Q720" i="1" s="1"/>
  <c r="S720" i="1" s="1"/>
  <c r="O712" i="1"/>
  <c r="Q712" i="1" s="1"/>
  <c r="S712" i="1" s="1"/>
  <c r="O704" i="1"/>
  <c r="Q704" i="1" s="1"/>
  <c r="S704" i="1" s="1"/>
  <c r="O696" i="1"/>
  <c r="Q696" i="1" s="1"/>
  <c r="S696" i="1" s="1"/>
  <c r="O688" i="1"/>
  <c r="Q688" i="1" s="1"/>
  <c r="S688" i="1" s="1"/>
  <c r="O680" i="1"/>
  <c r="Q680" i="1" s="1"/>
  <c r="S680" i="1" s="1"/>
  <c r="O671" i="1"/>
  <c r="Q671" i="1" s="1"/>
  <c r="S671" i="1" s="1"/>
  <c r="O663" i="1"/>
  <c r="Q663" i="1" s="1"/>
  <c r="S663" i="1" s="1"/>
  <c r="O655" i="1"/>
  <c r="Q655" i="1" s="1"/>
  <c r="S655" i="1" s="1"/>
  <c r="O647" i="1"/>
  <c r="Q647" i="1" s="1"/>
  <c r="S647" i="1" s="1"/>
  <c r="O639" i="1"/>
  <c r="Q639" i="1" s="1"/>
  <c r="S639" i="1" s="1"/>
  <c r="O631" i="1"/>
  <c r="Q631" i="1" s="1"/>
  <c r="S631" i="1" s="1"/>
  <c r="O623" i="1"/>
  <c r="Q623" i="1" s="1"/>
  <c r="S623" i="1" s="1"/>
  <c r="O615" i="1"/>
  <c r="Q615" i="1" s="1"/>
  <c r="S615" i="1" s="1"/>
  <c r="O606" i="1"/>
  <c r="Q606" i="1" s="1"/>
  <c r="S606" i="1" s="1"/>
  <c r="O598" i="1"/>
  <c r="Q598" i="1" s="1"/>
  <c r="S598" i="1" s="1"/>
  <c r="O590" i="1"/>
  <c r="Q590" i="1" s="1"/>
  <c r="S590" i="1" s="1"/>
  <c r="O582" i="1"/>
  <c r="Q582" i="1" s="1"/>
  <c r="S582" i="1" s="1"/>
  <c r="O574" i="1"/>
  <c r="Q574" i="1" s="1"/>
  <c r="S574" i="1" s="1"/>
  <c r="O566" i="1"/>
  <c r="Q566" i="1" s="1"/>
  <c r="S566" i="1" s="1"/>
  <c r="O558" i="1"/>
  <c r="Q558" i="1" s="1"/>
  <c r="S558" i="1" s="1"/>
  <c r="O549" i="1"/>
  <c r="Q549" i="1" s="1"/>
  <c r="S549" i="1" s="1"/>
  <c r="O541" i="1"/>
  <c r="Q541" i="1" s="1"/>
  <c r="S541" i="1" s="1"/>
  <c r="O533" i="1"/>
  <c r="Q533" i="1" s="1"/>
  <c r="S533" i="1" s="1"/>
  <c r="O525" i="1"/>
  <c r="Q525" i="1" s="1"/>
  <c r="S525" i="1" s="1"/>
  <c r="O517" i="1"/>
  <c r="Q517" i="1" s="1"/>
  <c r="S517" i="1" s="1"/>
  <c r="O509" i="1"/>
  <c r="Q509" i="1" s="1"/>
  <c r="S509" i="1" s="1"/>
  <c r="O501" i="1"/>
  <c r="Q501" i="1" s="1"/>
  <c r="S501" i="1" s="1"/>
  <c r="O493" i="1"/>
  <c r="Q493" i="1" s="1"/>
  <c r="S493" i="1" s="1"/>
  <c r="O483" i="1"/>
  <c r="Q483" i="1" s="1"/>
  <c r="S483" i="1" s="1"/>
  <c r="O475" i="1"/>
  <c r="Q475" i="1" s="1"/>
  <c r="S475" i="1" s="1"/>
  <c r="O467" i="1"/>
  <c r="Q467" i="1" s="1"/>
  <c r="S467" i="1" s="1"/>
  <c r="O459" i="1"/>
  <c r="Q459" i="1" s="1"/>
  <c r="S459" i="1" s="1"/>
  <c r="O451" i="1"/>
  <c r="Q451" i="1" s="1"/>
  <c r="S451" i="1" s="1"/>
  <c r="O443" i="1"/>
  <c r="Q443" i="1" s="1"/>
  <c r="S443" i="1" s="1"/>
  <c r="O434" i="1"/>
  <c r="Q434" i="1" s="1"/>
  <c r="S434" i="1" s="1"/>
  <c r="O426" i="1"/>
  <c r="Q426" i="1" s="1"/>
  <c r="S426" i="1" s="1"/>
  <c r="O418" i="1"/>
  <c r="Q418" i="1" s="1"/>
  <c r="S418" i="1" s="1"/>
  <c r="O410" i="1"/>
  <c r="Q410" i="1" s="1"/>
  <c r="S410" i="1" s="1"/>
  <c r="O401" i="1"/>
  <c r="Q401" i="1" s="1"/>
  <c r="S401" i="1" s="1"/>
  <c r="O393" i="1"/>
  <c r="Q393" i="1" s="1"/>
  <c r="S393" i="1" s="1"/>
  <c r="O385" i="1"/>
  <c r="Q385" i="1" s="1"/>
  <c r="S385" i="1" s="1"/>
  <c r="O377" i="1"/>
  <c r="Q377" i="1" s="1"/>
  <c r="S377" i="1" s="1"/>
  <c r="O368" i="1"/>
  <c r="Q368" i="1" s="1"/>
  <c r="S368" i="1" s="1"/>
  <c r="O360" i="1"/>
  <c r="Q360" i="1" s="1"/>
  <c r="S360" i="1" s="1"/>
  <c r="O352" i="1"/>
  <c r="Q352" i="1" s="1"/>
  <c r="S352" i="1" s="1"/>
  <c r="O343" i="1"/>
  <c r="Q343" i="1" s="1"/>
  <c r="S343" i="1" s="1"/>
  <c r="O335" i="1"/>
  <c r="Q335" i="1" s="1"/>
  <c r="S335" i="1" s="1"/>
  <c r="O327" i="1"/>
  <c r="Q327" i="1" s="1"/>
  <c r="S327" i="1" s="1"/>
  <c r="O318" i="1"/>
  <c r="Q318" i="1" s="1"/>
  <c r="S318" i="1" s="1"/>
  <c r="O310" i="1"/>
  <c r="Q310" i="1" s="1"/>
  <c r="S310" i="1" s="1"/>
  <c r="O299" i="1"/>
  <c r="Q299" i="1" s="1"/>
  <c r="S299" i="1" s="1"/>
  <c r="O291" i="1"/>
  <c r="Q291" i="1" s="1"/>
  <c r="S291" i="1" s="1"/>
  <c r="O283" i="1"/>
  <c r="Q283" i="1" s="1"/>
  <c r="S283" i="1" s="1"/>
  <c r="O275" i="1"/>
  <c r="Q275" i="1" s="1"/>
  <c r="S275" i="1" s="1"/>
  <c r="O267" i="1"/>
  <c r="Q267" i="1" s="1"/>
  <c r="S267" i="1" s="1"/>
  <c r="O259" i="1"/>
  <c r="Q259" i="1" s="1"/>
  <c r="S259" i="1" s="1"/>
  <c r="O251" i="1"/>
  <c r="Q251" i="1" s="1"/>
  <c r="S251" i="1" s="1"/>
  <c r="O243" i="1"/>
  <c r="Q243" i="1" s="1"/>
  <c r="S243" i="1" s="1"/>
  <c r="O235" i="1"/>
  <c r="Q235" i="1" s="1"/>
  <c r="S235" i="1" s="1"/>
  <c r="O227" i="1"/>
  <c r="Q227" i="1" s="1"/>
  <c r="S227" i="1" s="1"/>
  <c r="O219" i="1"/>
  <c r="Q219" i="1" s="1"/>
  <c r="S219" i="1" s="1"/>
  <c r="O211" i="1"/>
  <c r="Q211" i="1" s="1"/>
  <c r="S211" i="1" s="1"/>
  <c r="O203" i="1"/>
  <c r="Q203" i="1" s="1"/>
  <c r="S203" i="1" s="1"/>
  <c r="O195" i="1"/>
  <c r="Q195" i="1" s="1"/>
  <c r="S195" i="1" s="1"/>
  <c r="O186" i="1"/>
  <c r="Q186" i="1" s="1"/>
  <c r="S186" i="1" s="1"/>
  <c r="O178" i="1"/>
  <c r="Q178" i="1" s="1"/>
  <c r="S178" i="1" s="1"/>
  <c r="O169" i="1"/>
  <c r="Q169" i="1" s="1"/>
  <c r="S169" i="1" s="1"/>
  <c r="O161" i="1"/>
  <c r="Q161" i="1" s="1"/>
  <c r="S161" i="1" s="1"/>
  <c r="O152" i="1"/>
  <c r="Q152" i="1" s="1"/>
  <c r="S152" i="1" s="1"/>
  <c r="O144" i="1"/>
  <c r="Q144" i="1" s="1"/>
  <c r="S144" i="1" s="1"/>
  <c r="O136" i="1"/>
  <c r="Q136" i="1" s="1"/>
  <c r="S136" i="1" s="1"/>
  <c r="O128" i="1"/>
  <c r="Q128" i="1" s="1"/>
  <c r="S128" i="1" s="1"/>
  <c r="O120" i="1"/>
  <c r="Q120" i="1" s="1"/>
  <c r="S120" i="1" s="1"/>
  <c r="O112" i="1"/>
  <c r="Q112" i="1" s="1"/>
  <c r="S112" i="1" s="1"/>
  <c r="O104" i="1"/>
  <c r="Q104" i="1" s="1"/>
  <c r="S104" i="1" s="1"/>
  <c r="O96" i="1"/>
  <c r="Q96" i="1" s="1"/>
  <c r="S96" i="1" s="1"/>
  <c r="O88" i="1"/>
  <c r="Q88" i="1" s="1"/>
  <c r="S88" i="1" s="1"/>
  <c r="O80" i="1"/>
  <c r="Q80" i="1" s="1"/>
  <c r="S80" i="1" s="1"/>
  <c r="O72" i="1"/>
  <c r="Q72" i="1" s="1"/>
  <c r="S72" i="1" s="1"/>
  <c r="O64" i="1"/>
  <c r="Q64" i="1" s="1"/>
  <c r="S64" i="1" s="1"/>
  <c r="O56" i="1"/>
  <c r="Q56" i="1" s="1"/>
  <c r="S56" i="1" s="1"/>
  <c r="O48" i="1"/>
  <c r="Q48" i="1" s="1"/>
  <c r="S48" i="1" s="1"/>
  <c r="O40" i="1"/>
  <c r="Q40" i="1" s="1"/>
  <c r="S40" i="1" s="1"/>
  <c r="O32" i="1"/>
  <c r="Q32" i="1" s="1"/>
  <c r="S32" i="1" s="1"/>
  <c r="O24" i="1"/>
  <c r="Q24" i="1" s="1"/>
  <c r="S24" i="1" s="1"/>
  <c r="O1223" i="1"/>
  <c r="Q1223" i="1" s="1"/>
  <c r="S1223" i="1" s="1"/>
  <c r="O1159" i="1"/>
  <c r="Q1159" i="1" s="1"/>
  <c r="S1159" i="1" s="1"/>
  <c r="O1117" i="1"/>
  <c r="Q1117" i="1" s="1"/>
  <c r="S1117" i="1" s="1"/>
  <c r="O1095" i="1"/>
  <c r="Q1095" i="1" s="1"/>
  <c r="S1095" i="1" s="1"/>
  <c r="O1074" i="1"/>
  <c r="Q1074" i="1" s="1"/>
  <c r="S1074" i="1" s="1"/>
  <c r="O1019" i="1"/>
  <c r="Q1019" i="1" s="1"/>
  <c r="S1019" i="1" s="1"/>
  <c r="O990" i="1"/>
  <c r="Q990" i="1" s="1"/>
  <c r="S990" i="1" s="1"/>
  <c r="O963" i="1"/>
  <c r="Q963" i="1" s="1"/>
  <c r="S963" i="1" s="1"/>
  <c r="O933" i="1"/>
  <c r="Q933" i="1" s="1"/>
  <c r="S933" i="1" s="1"/>
  <c r="O906" i="1"/>
  <c r="Q906" i="1" s="1"/>
  <c r="S906" i="1" s="1"/>
  <c r="O877" i="1"/>
  <c r="Q877" i="1" s="1"/>
  <c r="S877" i="1" s="1"/>
  <c r="O848" i="1"/>
  <c r="Q848" i="1" s="1"/>
  <c r="S848" i="1" s="1"/>
  <c r="O1147" i="1"/>
  <c r="Q1147" i="1" s="1"/>
  <c r="S1147" i="1" s="1"/>
  <c r="O1139" i="1"/>
  <c r="Q1139" i="1" s="1"/>
  <c r="S1139" i="1" s="1"/>
  <c r="O1131" i="1"/>
  <c r="Q1131" i="1" s="1"/>
  <c r="S1131" i="1" s="1"/>
  <c r="O1123" i="1"/>
  <c r="Q1123" i="1" s="1"/>
  <c r="S1123" i="1" s="1"/>
  <c r="O1115" i="1"/>
  <c r="Q1115" i="1" s="1"/>
  <c r="S1115" i="1" s="1"/>
  <c r="O1107" i="1"/>
  <c r="Q1107" i="1" s="1"/>
  <c r="S1107" i="1" s="1"/>
  <c r="O1099" i="1"/>
  <c r="Q1099" i="1" s="1"/>
  <c r="S1099" i="1" s="1"/>
  <c r="O1090" i="1"/>
  <c r="Q1090" i="1" s="1"/>
  <c r="S1090" i="1" s="1"/>
  <c r="O1065" i="1"/>
  <c r="Q1065" i="1" s="1"/>
  <c r="S1065" i="1" s="1"/>
  <c r="O1057" i="1"/>
  <c r="Q1057" i="1" s="1"/>
  <c r="S1057" i="1" s="1"/>
  <c r="O1049" i="1"/>
  <c r="Q1049" i="1" s="1"/>
  <c r="S1049" i="1" s="1"/>
  <c r="O1041" i="1"/>
  <c r="Q1041" i="1" s="1"/>
  <c r="S1041" i="1" s="1"/>
  <c r="O1033" i="1"/>
  <c r="Q1033" i="1" s="1"/>
  <c r="S1033" i="1" s="1"/>
  <c r="O1025" i="1"/>
  <c r="Q1025" i="1" s="1"/>
  <c r="S1025" i="1" s="1"/>
  <c r="O1017" i="1"/>
  <c r="Q1017" i="1" s="1"/>
  <c r="S1017" i="1" s="1"/>
  <c r="O1009" i="1"/>
  <c r="Q1009" i="1" s="1"/>
  <c r="S1009" i="1" s="1"/>
  <c r="O1001" i="1"/>
  <c r="Q1001" i="1" s="1"/>
  <c r="S1001" i="1" s="1"/>
  <c r="O993" i="1"/>
  <c r="Q993" i="1" s="1"/>
  <c r="S993" i="1" s="1"/>
  <c r="O985" i="1"/>
  <c r="Q985" i="1" s="1"/>
  <c r="S985" i="1" s="1"/>
  <c r="O977" i="1"/>
  <c r="Q977" i="1" s="1"/>
  <c r="S977" i="1" s="1"/>
  <c r="O969" i="1"/>
  <c r="Q969" i="1" s="1"/>
  <c r="S969" i="1" s="1"/>
  <c r="O960" i="1"/>
  <c r="Q960" i="1" s="1"/>
  <c r="S960" i="1" s="1"/>
  <c r="O952" i="1"/>
  <c r="Q952" i="1" s="1"/>
  <c r="S952" i="1" s="1"/>
  <c r="O935" i="1"/>
  <c r="Q935" i="1" s="1"/>
  <c r="S935" i="1" s="1"/>
  <c r="O927" i="1"/>
  <c r="Q927" i="1" s="1"/>
  <c r="S927" i="1" s="1"/>
  <c r="O917" i="1"/>
  <c r="Q917" i="1" s="1"/>
  <c r="S917" i="1" s="1"/>
  <c r="O908" i="1"/>
  <c r="Q908" i="1" s="1"/>
  <c r="S908" i="1" s="1"/>
  <c r="O900" i="1"/>
  <c r="Q900" i="1" s="1"/>
  <c r="S900" i="1" s="1"/>
  <c r="O875" i="1"/>
  <c r="Q875" i="1" s="1"/>
  <c r="S875" i="1" s="1"/>
  <c r="O866" i="1"/>
  <c r="Q866" i="1" s="1"/>
  <c r="S866" i="1" s="1"/>
  <c r="O858" i="1"/>
  <c r="Q858" i="1" s="1"/>
  <c r="S858" i="1" s="1"/>
  <c r="O850" i="1"/>
  <c r="Q850" i="1" s="1"/>
  <c r="S850" i="1" s="1"/>
  <c r="O842" i="1"/>
  <c r="Q842" i="1" s="1"/>
  <c r="S842" i="1" s="1"/>
  <c r="O834" i="1"/>
  <c r="Q834" i="1" s="1"/>
  <c r="S834" i="1" s="1"/>
  <c r="O826" i="1"/>
  <c r="Q826" i="1" s="1"/>
  <c r="S826" i="1" s="1"/>
  <c r="O818" i="1"/>
  <c r="Q818" i="1" s="1"/>
  <c r="S818" i="1" s="1"/>
  <c r="O810" i="1"/>
  <c r="Q810" i="1" s="1"/>
  <c r="S810" i="1" s="1"/>
  <c r="O802" i="1"/>
  <c r="Q802" i="1" s="1"/>
  <c r="S802" i="1" s="1"/>
  <c r="O794" i="1"/>
  <c r="Q794" i="1" s="1"/>
  <c r="S794" i="1" s="1"/>
  <c r="O786" i="1"/>
  <c r="Q786" i="1" s="1"/>
  <c r="S786" i="1" s="1"/>
  <c r="O775" i="1"/>
  <c r="Q775" i="1" s="1"/>
  <c r="S775" i="1" s="1"/>
  <c r="O767" i="1"/>
  <c r="Q767" i="1" s="1"/>
  <c r="S767" i="1" s="1"/>
  <c r="O759" i="1"/>
  <c r="Q759" i="1" s="1"/>
  <c r="S759" i="1" s="1"/>
  <c r="O751" i="1"/>
  <c r="Q751" i="1" s="1"/>
  <c r="S751" i="1" s="1"/>
  <c r="O743" i="1"/>
  <c r="Q743" i="1" s="1"/>
  <c r="S743" i="1" s="1"/>
  <c r="O735" i="1"/>
  <c r="Q735" i="1" s="1"/>
  <c r="S735" i="1" s="1"/>
  <c r="O727" i="1"/>
  <c r="Q727" i="1" s="1"/>
  <c r="S727" i="1" s="1"/>
  <c r="O719" i="1"/>
  <c r="Q719" i="1" s="1"/>
  <c r="S719" i="1" s="1"/>
  <c r="O711" i="1"/>
  <c r="Q711" i="1" s="1"/>
  <c r="S711" i="1" s="1"/>
  <c r="O703" i="1"/>
  <c r="Q703" i="1" s="1"/>
  <c r="S703" i="1" s="1"/>
  <c r="O695" i="1"/>
  <c r="Q695" i="1" s="1"/>
  <c r="S695" i="1" s="1"/>
  <c r="O687" i="1"/>
  <c r="Q687" i="1" s="1"/>
  <c r="S687" i="1" s="1"/>
  <c r="O679" i="1"/>
  <c r="Q679" i="1" s="1"/>
  <c r="S679" i="1" s="1"/>
  <c r="O670" i="1"/>
  <c r="Q670" i="1" s="1"/>
  <c r="S670" i="1" s="1"/>
  <c r="O662" i="1"/>
  <c r="Q662" i="1" s="1"/>
  <c r="S662" i="1" s="1"/>
  <c r="O654" i="1"/>
  <c r="Q654" i="1" s="1"/>
  <c r="S654" i="1" s="1"/>
  <c r="O646" i="1"/>
  <c r="Q646" i="1" s="1"/>
  <c r="S646" i="1" s="1"/>
  <c r="O638" i="1"/>
  <c r="Q638" i="1" s="1"/>
  <c r="S638" i="1" s="1"/>
  <c r="O630" i="1"/>
  <c r="Q630" i="1" s="1"/>
  <c r="S630" i="1" s="1"/>
  <c r="O622" i="1"/>
  <c r="Q622" i="1" s="1"/>
  <c r="S622" i="1" s="1"/>
  <c r="O614" i="1"/>
  <c r="Q614" i="1" s="1"/>
  <c r="S614" i="1" s="1"/>
  <c r="O605" i="1"/>
  <c r="Q605" i="1" s="1"/>
  <c r="S605" i="1" s="1"/>
  <c r="O597" i="1"/>
  <c r="Q597" i="1" s="1"/>
  <c r="S597" i="1" s="1"/>
  <c r="O589" i="1"/>
  <c r="Q589" i="1" s="1"/>
  <c r="S589" i="1" s="1"/>
  <c r="O581" i="1"/>
  <c r="Q581" i="1" s="1"/>
  <c r="S581" i="1" s="1"/>
  <c r="O573" i="1"/>
  <c r="Q573" i="1" s="1"/>
  <c r="S573" i="1" s="1"/>
  <c r="O565" i="1"/>
  <c r="Q565" i="1" s="1"/>
  <c r="S565" i="1" s="1"/>
  <c r="O557" i="1"/>
  <c r="Q557" i="1" s="1"/>
  <c r="S557" i="1" s="1"/>
  <c r="O548" i="1"/>
  <c r="Q548" i="1" s="1"/>
  <c r="S548" i="1" s="1"/>
  <c r="O540" i="1"/>
  <c r="Q540" i="1" s="1"/>
  <c r="S540" i="1" s="1"/>
  <c r="O532" i="1"/>
  <c r="Q532" i="1" s="1"/>
  <c r="S532" i="1" s="1"/>
  <c r="O524" i="1"/>
  <c r="Q524" i="1" s="1"/>
  <c r="S524" i="1" s="1"/>
  <c r="O516" i="1"/>
  <c r="Q516" i="1" s="1"/>
  <c r="S516" i="1" s="1"/>
  <c r="O508" i="1"/>
  <c r="Q508" i="1" s="1"/>
  <c r="S508" i="1" s="1"/>
  <c r="O500" i="1"/>
  <c r="Q500" i="1" s="1"/>
  <c r="S500" i="1" s="1"/>
  <c r="O492" i="1"/>
  <c r="Q492" i="1" s="1"/>
  <c r="S492" i="1" s="1"/>
  <c r="O482" i="1"/>
  <c r="Q482" i="1" s="1"/>
  <c r="S482" i="1" s="1"/>
  <c r="O474" i="1"/>
  <c r="Q474" i="1" s="1"/>
  <c r="S474" i="1" s="1"/>
  <c r="O466" i="1"/>
  <c r="Q466" i="1" s="1"/>
  <c r="S466" i="1" s="1"/>
  <c r="O458" i="1"/>
  <c r="Q458" i="1" s="1"/>
  <c r="S458" i="1" s="1"/>
  <c r="O450" i="1"/>
  <c r="Q450" i="1" s="1"/>
  <c r="S450" i="1" s="1"/>
  <c r="O442" i="1"/>
  <c r="Q442" i="1" s="1"/>
  <c r="S442" i="1" s="1"/>
  <c r="O433" i="1"/>
  <c r="Q433" i="1" s="1"/>
  <c r="S433" i="1" s="1"/>
  <c r="O425" i="1"/>
  <c r="Q425" i="1" s="1"/>
  <c r="S425" i="1" s="1"/>
  <c r="O417" i="1"/>
  <c r="Q417" i="1" s="1"/>
  <c r="S417" i="1" s="1"/>
  <c r="O408" i="1"/>
  <c r="Q408" i="1" s="1"/>
  <c r="S408" i="1" s="1"/>
  <c r="O400" i="1"/>
  <c r="Q400" i="1" s="1"/>
  <c r="S400" i="1" s="1"/>
  <c r="O392" i="1"/>
  <c r="Q392" i="1" s="1"/>
  <c r="S392" i="1" s="1"/>
  <c r="O384" i="1"/>
  <c r="Q384" i="1" s="1"/>
  <c r="S384" i="1" s="1"/>
  <c r="O376" i="1"/>
  <c r="Q376" i="1" s="1"/>
  <c r="S376" i="1" s="1"/>
  <c r="O367" i="1"/>
  <c r="Q367" i="1" s="1"/>
  <c r="S367" i="1" s="1"/>
  <c r="O359" i="1"/>
  <c r="Q359" i="1" s="1"/>
  <c r="S359" i="1" s="1"/>
  <c r="O351" i="1"/>
  <c r="Q351" i="1" s="1"/>
  <c r="S351" i="1" s="1"/>
  <c r="O342" i="1"/>
  <c r="Q342" i="1" s="1"/>
  <c r="S342" i="1" s="1"/>
  <c r="O334" i="1"/>
  <c r="Q334" i="1" s="1"/>
  <c r="S334" i="1" s="1"/>
  <c r="O326" i="1"/>
  <c r="Q326" i="1" s="1"/>
  <c r="S326" i="1" s="1"/>
  <c r="O317" i="1"/>
  <c r="Q317" i="1" s="1"/>
  <c r="S317" i="1" s="1"/>
  <c r="O309" i="1"/>
  <c r="Q309" i="1" s="1"/>
  <c r="S309" i="1" s="1"/>
  <c r="O298" i="1"/>
  <c r="Q298" i="1" s="1"/>
  <c r="S298" i="1" s="1"/>
  <c r="O290" i="1"/>
  <c r="Q290" i="1" s="1"/>
  <c r="S290" i="1" s="1"/>
  <c r="O282" i="1"/>
  <c r="Q282" i="1" s="1"/>
  <c r="S282" i="1" s="1"/>
  <c r="O274" i="1"/>
  <c r="Q274" i="1" s="1"/>
  <c r="S274" i="1" s="1"/>
  <c r="O266" i="1"/>
  <c r="Q266" i="1" s="1"/>
  <c r="S266" i="1" s="1"/>
  <c r="O258" i="1"/>
  <c r="Q258" i="1" s="1"/>
  <c r="S258" i="1" s="1"/>
  <c r="O250" i="1"/>
  <c r="Q250" i="1" s="1"/>
  <c r="S250" i="1" s="1"/>
  <c r="O242" i="1"/>
  <c r="Q242" i="1" s="1"/>
  <c r="S242" i="1" s="1"/>
  <c r="O234" i="1"/>
  <c r="Q234" i="1" s="1"/>
  <c r="S234" i="1" s="1"/>
  <c r="O226" i="1"/>
  <c r="Q226" i="1" s="1"/>
  <c r="S226" i="1" s="1"/>
  <c r="O218" i="1"/>
  <c r="Q218" i="1" s="1"/>
  <c r="S218" i="1" s="1"/>
  <c r="O210" i="1"/>
  <c r="Q210" i="1" s="1"/>
  <c r="S210" i="1" s="1"/>
  <c r="O1488" i="1"/>
  <c r="Q1488" i="1" s="1"/>
  <c r="S1488" i="1" s="1"/>
  <c r="O1434" i="1"/>
  <c r="Q1434" i="1" s="1"/>
  <c r="S1434" i="1" s="1"/>
  <c r="O1402" i="1"/>
  <c r="Q1402" i="1" s="1"/>
  <c r="S1402" i="1" s="1"/>
  <c r="O1386" i="1"/>
  <c r="Q1386" i="1" s="1"/>
  <c r="S1386" i="1" s="1"/>
  <c r="O1370" i="1"/>
  <c r="Q1370" i="1" s="1"/>
  <c r="S1370" i="1" s="1"/>
  <c r="O1354" i="1"/>
  <c r="Q1354" i="1" s="1"/>
  <c r="S1354" i="1" s="1"/>
  <c r="O1180" i="1"/>
  <c r="Q1180" i="1" s="1"/>
  <c r="S1180" i="1" s="1"/>
  <c r="O1116" i="1"/>
  <c r="Q1116" i="1" s="1"/>
  <c r="S1116" i="1" s="1"/>
  <c r="O1094" i="1"/>
  <c r="Q1094" i="1" s="1"/>
  <c r="S1094" i="1" s="1"/>
  <c r="O1073" i="1"/>
  <c r="Q1073" i="1" s="1"/>
  <c r="S1073" i="1" s="1"/>
  <c r="O1046" i="1"/>
  <c r="Q1046" i="1" s="1"/>
  <c r="S1046" i="1" s="1"/>
  <c r="O1018" i="1"/>
  <c r="Q1018" i="1" s="1"/>
  <c r="S1018" i="1" s="1"/>
  <c r="O989" i="1"/>
  <c r="Q989" i="1" s="1"/>
  <c r="S989" i="1" s="1"/>
  <c r="O962" i="1"/>
  <c r="Q962" i="1" s="1"/>
  <c r="S962" i="1" s="1"/>
  <c r="O932" i="1"/>
  <c r="Q932" i="1" s="1"/>
  <c r="S932" i="1" s="1"/>
  <c r="O904" i="1"/>
  <c r="Q904" i="1" s="1"/>
  <c r="S904" i="1" s="1"/>
  <c r="O876" i="1"/>
  <c r="Q876" i="1" s="1"/>
  <c r="S876" i="1" s="1"/>
  <c r="O846" i="1"/>
  <c r="Q846" i="1" s="1"/>
  <c r="S846" i="1" s="1"/>
  <c r="O943" i="1"/>
  <c r="Q943" i="1" s="1"/>
  <c r="S943" i="1" s="1"/>
  <c r="O934" i="1"/>
  <c r="Q934" i="1" s="1"/>
  <c r="S934" i="1" s="1"/>
  <c r="O924" i="1"/>
  <c r="Q924" i="1" s="1"/>
  <c r="S924" i="1" s="1"/>
  <c r="O907" i="1"/>
  <c r="Q907" i="1" s="1"/>
  <c r="S907" i="1" s="1"/>
  <c r="O899" i="1"/>
  <c r="Q899" i="1" s="1"/>
  <c r="S899" i="1" s="1"/>
  <c r="O882" i="1"/>
  <c r="Q882" i="1" s="1"/>
  <c r="S882" i="1" s="1"/>
  <c r="O865" i="1"/>
  <c r="Q865" i="1" s="1"/>
  <c r="S865" i="1" s="1"/>
  <c r="O857" i="1"/>
  <c r="Q857" i="1" s="1"/>
  <c r="S857" i="1" s="1"/>
  <c r="O849" i="1"/>
  <c r="Q849" i="1" s="1"/>
  <c r="S849" i="1" s="1"/>
  <c r="O841" i="1"/>
  <c r="Q841" i="1" s="1"/>
  <c r="S841" i="1" s="1"/>
  <c r="O833" i="1"/>
  <c r="Q833" i="1" s="1"/>
  <c r="S833" i="1" s="1"/>
  <c r="O825" i="1"/>
  <c r="Q825" i="1" s="1"/>
  <c r="S825" i="1" s="1"/>
  <c r="O817" i="1"/>
  <c r="Q817" i="1" s="1"/>
  <c r="S817" i="1" s="1"/>
  <c r="O809" i="1"/>
  <c r="Q809" i="1" s="1"/>
  <c r="S809" i="1" s="1"/>
  <c r="O801" i="1"/>
  <c r="Q801" i="1" s="1"/>
  <c r="S801" i="1" s="1"/>
  <c r="O793" i="1"/>
  <c r="Q793" i="1" s="1"/>
  <c r="S793" i="1" s="1"/>
  <c r="O785" i="1"/>
  <c r="Q785" i="1" s="1"/>
  <c r="S785" i="1" s="1"/>
  <c r="O774" i="1"/>
  <c r="Q774" i="1" s="1"/>
  <c r="S774" i="1" s="1"/>
  <c r="O766" i="1"/>
  <c r="Q766" i="1" s="1"/>
  <c r="S766" i="1" s="1"/>
  <c r="O758" i="1"/>
  <c r="Q758" i="1" s="1"/>
  <c r="S758" i="1" s="1"/>
  <c r="O750" i="1"/>
  <c r="Q750" i="1" s="1"/>
  <c r="S750" i="1" s="1"/>
  <c r="O742" i="1"/>
  <c r="Q742" i="1" s="1"/>
  <c r="S742" i="1" s="1"/>
  <c r="O734" i="1"/>
  <c r="Q734" i="1" s="1"/>
  <c r="S734" i="1" s="1"/>
  <c r="O726" i="1"/>
  <c r="Q726" i="1" s="1"/>
  <c r="S726" i="1" s="1"/>
  <c r="O718" i="1"/>
  <c r="Q718" i="1" s="1"/>
  <c r="S718" i="1" s="1"/>
  <c r="O710" i="1"/>
  <c r="Q710" i="1" s="1"/>
  <c r="S710" i="1" s="1"/>
  <c r="O702" i="1"/>
  <c r="Q702" i="1" s="1"/>
  <c r="S702" i="1" s="1"/>
  <c r="O694" i="1"/>
  <c r="Q694" i="1" s="1"/>
  <c r="S694" i="1" s="1"/>
  <c r="O686" i="1"/>
  <c r="Q686" i="1" s="1"/>
  <c r="S686" i="1" s="1"/>
  <c r="O678" i="1"/>
  <c r="Q678" i="1" s="1"/>
  <c r="S678" i="1" s="1"/>
  <c r="O669" i="1"/>
  <c r="Q669" i="1" s="1"/>
  <c r="S669" i="1" s="1"/>
  <c r="O661" i="1"/>
  <c r="Q661" i="1" s="1"/>
  <c r="S661" i="1" s="1"/>
  <c r="O653" i="1"/>
  <c r="Q653" i="1" s="1"/>
  <c r="S653" i="1" s="1"/>
  <c r="O645" i="1"/>
  <c r="Q645" i="1" s="1"/>
  <c r="S645" i="1" s="1"/>
  <c r="O637" i="1"/>
  <c r="Q637" i="1" s="1"/>
  <c r="S637" i="1" s="1"/>
  <c r="O629" i="1"/>
  <c r="Q629" i="1" s="1"/>
  <c r="S629" i="1" s="1"/>
  <c r="O621" i="1"/>
  <c r="Q621" i="1" s="1"/>
  <c r="S621" i="1" s="1"/>
  <c r="O613" i="1"/>
  <c r="Q613" i="1" s="1"/>
  <c r="S613" i="1" s="1"/>
  <c r="O604" i="1"/>
  <c r="Q604" i="1" s="1"/>
  <c r="S604" i="1" s="1"/>
  <c r="O596" i="1"/>
  <c r="Q596" i="1" s="1"/>
  <c r="S596" i="1" s="1"/>
  <c r="O588" i="1"/>
  <c r="Q588" i="1" s="1"/>
  <c r="S588" i="1" s="1"/>
  <c r="O580" i="1"/>
  <c r="Q580" i="1" s="1"/>
  <c r="S580" i="1" s="1"/>
  <c r="O572" i="1"/>
  <c r="Q572" i="1" s="1"/>
  <c r="S572" i="1" s="1"/>
  <c r="O564" i="1"/>
  <c r="Q564" i="1" s="1"/>
  <c r="S564" i="1" s="1"/>
  <c r="O556" i="1"/>
  <c r="Q556" i="1" s="1"/>
  <c r="S556" i="1" s="1"/>
  <c r="O547" i="1"/>
  <c r="Q547" i="1" s="1"/>
  <c r="S547" i="1" s="1"/>
  <c r="O539" i="1"/>
  <c r="Q539" i="1" s="1"/>
  <c r="S539" i="1" s="1"/>
  <c r="O531" i="1"/>
  <c r="Q531" i="1" s="1"/>
  <c r="S531" i="1" s="1"/>
  <c r="O523" i="1"/>
  <c r="Q523" i="1" s="1"/>
  <c r="S523" i="1" s="1"/>
  <c r="O515" i="1"/>
  <c r="Q515" i="1" s="1"/>
  <c r="S515" i="1" s="1"/>
  <c r="O507" i="1"/>
  <c r="Q507" i="1" s="1"/>
  <c r="S507" i="1" s="1"/>
  <c r="O499" i="1"/>
  <c r="Q499" i="1" s="1"/>
  <c r="S499" i="1" s="1"/>
  <c r="O490" i="1"/>
  <c r="Q490" i="1" s="1"/>
  <c r="S490" i="1" s="1"/>
  <c r="O481" i="1"/>
  <c r="Q481" i="1" s="1"/>
  <c r="S481" i="1" s="1"/>
  <c r="O473" i="1"/>
  <c r="Q473" i="1" s="1"/>
  <c r="S473" i="1" s="1"/>
  <c r="O465" i="1"/>
  <c r="Q465" i="1" s="1"/>
  <c r="S465" i="1" s="1"/>
  <c r="O457" i="1"/>
  <c r="Q457" i="1" s="1"/>
  <c r="S457" i="1" s="1"/>
  <c r="O449" i="1"/>
  <c r="Q449" i="1" s="1"/>
  <c r="S449" i="1" s="1"/>
  <c r="O440" i="1"/>
  <c r="Q440" i="1" s="1"/>
  <c r="S440" i="1" s="1"/>
  <c r="O432" i="1"/>
  <c r="Q432" i="1" s="1"/>
  <c r="S432" i="1" s="1"/>
  <c r="O424" i="1"/>
  <c r="Q424" i="1" s="1"/>
  <c r="S424" i="1" s="1"/>
  <c r="O416" i="1"/>
  <c r="Q416" i="1" s="1"/>
  <c r="S416" i="1" s="1"/>
  <c r="O407" i="1"/>
  <c r="Q407" i="1" s="1"/>
  <c r="S407" i="1" s="1"/>
  <c r="O399" i="1"/>
  <c r="Q399" i="1" s="1"/>
  <c r="S399" i="1" s="1"/>
  <c r="O391" i="1"/>
  <c r="Q391" i="1" s="1"/>
  <c r="S391" i="1" s="1"/>
  <c r="O383" i="1"/>
  <c r="Q383" i="1" s="1"/>
  <c r="S383" i="1" s="1"/>
  <c r="O375" i="1"/>
  <c r="Q375" i="1" s="1"/>
  <c r="S375" i="1" s="1"/>
  <c r="O366" i="1"/>
  <c r="Q366" i="1" s="1"/>
  <c r="S366" i="1" s="1"/>
  <c r="O358" i="1"/>
  <c r="Q358" i="1" s="1"/>
  <c r="S358" i="1" s="1"/>
  <c r="O350" i="1"/>
  <c r="Q350" i="1" s="1"/>
  <c r="S350" i="1" s="1"/>
  <c r="O341" i="1"/>
  <c r="Q341" i="1" s="1"/>
  <c r="S341" i="1" s="1"/>
  <c r="O333" i="1"/>
  <c r="Q333" i="1" s="1"/>
  <c r="S333" i="1" s="1"/>
  <c r="O325" i="1"/>
  <c r="Q325" i="1" s="1"/>
  <c r="S325" i="1" s="1"/>
  <c r="O316" i="1"/>
  <c r="Q316" i="1" s="1"/>
  <c r="S316" i="1" s="1"/>
  <c r="O308" i="1"/>
  <c r="Q308" i="1" s="1"/>
  <c r="S308" i="1" s="1"/>
  <c r="O297" i="1"/>
  <c r="Q297" i="1" s="1"/>
  <c r="S297" i="1" s="1"/>
  <c r="O289" i="1"/>
  <c r="Q289" i="1" s="1"/>
  <c r="S289" i="1" s="1"/>
  <c r="O281" i="1"/>
  <c r="Q281" i="1" s="1"/>
  <c r="S281" i="1" s="1"/>
  <c r="O273" i="1"/>
  <c r="Q273" i="1" s="1"/>
  <c r="S273" i="1" s="1"/>
  <c r="O265" i="1"/>
  <c r="Q265" i="1" s="1"/>
  <c r="S265" i="1" s="1"/>
  <c r="O257" i="1"/>
  <c r="Q257" i="1" s="1"/>
  <c r="S257" i="1" s="1"/>
  <c r="O249" i="1"/>
  <c r="Q249" i="1" s="1"/>
  <c r="S249" i="1" s="1"/>
  <c r="O241" i="1"/>
  <c r="Q241" i="1" s="1"/>
  <c r="S241" i="1" s="1"/>
  <c r="O233" i="1"/>
  <c r="Q233" i="1" s="1"/>
  <c r="S233" i="1" s="1"/>
  <c r="O225" i="1"/>
  <c r="Q225" i="1" s="1"/>
  <c r="S225" i="1" s="1"/>
  <c r="O217" i="1"/>
  <c r="Q217" i="1" s="1"/>
  <c r="S217" i="1" s="1"/>
  <c r="O209" i="1"/>
  <c r="Q209" i="1" s="1"/>
  <c r="S209" i="1" s="1"/>
  <c r="O201" i="1"/>
  <c r="Q201" i="1" s="1"/>
  <c r="S201" i="1" s="1"/>
  <c r="O193" i="1"/>
  <c r="Q193" i="1" s="1"/>
  <c r="S193" i="1" s="1"/>
  <c r="O184" i="1"/>
  <c r="Q184" i="1" s="1"/>
  <c r="S184" i="1" s="1"/>
  <c r="O176" i="1"/>
  <c r="Q176" i="1" s="1"/>
  <c r="S176" i="1" s="1"/>
  <c r="O167" i="1"/>
  <c r="Q167" i="1" s="1"/>
  <c r="S167" i="1" s="1"/>
  <c r="O158" i="1"/>
  <c r="Q158" i="1" s="1"/>
  <c r="S158" i="1" s="1"/>
  <c r="O150" i="1"/>
  <c r="Q150" i="1" s="1"/>
  <c r="S150" i="1" s="1"/>
  <c r="O142" i="1"/>
  <c r="Q142" i="1" s="1"/>
  <c r="S142" i="1" s="1"/>
  <c r="O134" i="1"/>
  <c r="Q134" i="1" s="1"/>
  <c r="S134" i="1" s="1"/>
  <c r="O126" i="1"/>
  <c r="Q126" i="1" s="1"/>
  <c r="S126" i="1" s="1"/>
  <c r="O118" i="1"/>
  <c r="Q118" i="1" s="1"/>
  <c r="S118" i="1" s="1"/>
  <c r="O110" i="1"/>
  <c r="Q110" i="1" s="1"/>
  <c r="S110" i="1" s="1"/>
  <c r="O102" i="1"/>
  <c r="Q102" i="1" s="1"/>
  <c r="S102" i="1" s="1"/>
  <c r="O94" i="1"/>
  <c r="Q94" i="1" s="1"/>
  <c r="S94" i="1" s="1"/>
  <c r="O86" i="1"/>
  <c r="Q86" i="1" s="1"/>
  <c r="S86" i="1" s="1"/>
  <c r="O78" i="1"/>
  <c r="Q78" i="1" s="1"/>
  <c r="S78" i="1" s="1"/>
  <c r="O70" i="1"/>
  <c r="Q70" i="1" s="1"/>
  <c r="S70" i="1" s="1"/>
  <c r="O62" i="1"/>
  <c r="Q62" i="1" s="1"/>
  <c r="S62" i="1" s="1"/>
  <c r="O54" i="1"/>
  <c r="Q54" i="1" s="1"/>
  <c r="S54" i="1" s="1"/>
  <c r="O46" i="1"/>
  <c r="Q46" i="1" s="1"/>
  <c r="S46" i="1" s="1"/>
  <c r="O38" i="1"/>
  <c r="Q38" i="1" s="1"/>
  <c r="S38" i="1" s="1"/>
  <c r="O30" i="1"/>
  <c r="Q30" i="1" s="1"/>
  <c r="S30" i="1" s="1"/>
  <c r="O22" i="1"/>
  <c r="Q22" i="1" s="1"/>
  <c r="S22" i="1" s="1"/>
  <c r="O1337" i="1"/>
  <c r="Q1337" i="1" s="1"/>
  <c r="S1337" i="1" s="1"/>
  <c r="O1321" i="1"/>
  <c r="Q1321" i="1" s="1"/>
  <c r="S1321" i="1" s="1"/>
  <c r="O1305" i="1"/>
  <c r="Q1305" i="1" s="1"/>
  <c r="S1305" i="1" s="1"/>
  <c r="O1199" i="1"/>
  <c r="Q1199" i="1" s="1"/>
  <c r="S1199" i="1" s="1"/>
  <c r="O1135" i="1"/>
  <c r="Q1135" i="1" s="1"/>
  <c r="S1135" i="1" s="1"/>
  <c r="O1093" i="1"/>
  <c r="Q1093" i="1" s="1"/>
  <c r="S1093" i="1" s="1"/>
  <c r="O1044" i="1"/>
  <c r="Q1044" i="1" s="1"/>
  <c r="S1044" i="1" s="1"/>
  <c r="O987" i="1"/>
  <c r="Q987" i="1" s="1"/>
  <c r="S987" i="1" s="1"/>
  <c r="O931" i="1"/>
  <c r="Q931" i="1" s="1"/>
  <c r="S931" i="1" s="1"/>
  <c r="O901" i="1"/>
  <c r="Q901" i="1" s="1"/>
  <c r="S901" i="1" s="1"/>
  <c r="O874" i="1"/>
  <c r="Q874" i="1" s="1"/>
  <c r="S874" i="1" s="1"/>
  <c r="O845" i="1"/>
  <c r="Q845" i="1" s="1"/>
  <c r="S845" i="1" s="1"/>
  <c r="O942" i="1"/>
  <c r="Q942" i="1" s="1"/>
  <c r="S942" i="1" s="1"/>
  <c r="O923" i="1"/>
  <c r="Q923" i="1" s="1"/>
  <c r="S923" i="1" s="1"/>
  <c r="O915" i="1"/>
  <c r="Q915" i="1" s="1"/>
  <c r="S915" i="1" s="1"/>
  <c r="O889" i="1"/>
  <c r="Q889" i="1" s="1"/>
  <c r="S889" i="1" s="1"/>
  <c r="O881" i="1"/>
  <c r="Q881" i="1" s="1"/>
  <c r="S881" i="1" s="1"/>
  <c r="O873" i="1"/>
  <c r="Q873" i="1" s="1"/>
  <c r="S873" i="1" s="1"/>
  <c r="O864" i="1"/>
  <c r="Q864" i="1" s="1"/>
  <c r="S864" i="1" s="1"/>
  <c r="O856" i="1"/>
  <c r="Q856" i="1" s="1"/>
  <c r="S856" i="1" s="1"/>
  <c r="O832" i="1"/>
  <c r="Q832" i="1" s="1"/>
  <c r="S832" i="1" s="1"/>
  <c r="O824" i="1"/>
  <c r="Q824" i="1" s="1"/>
  <c r="S824" i="1" s="1"/>
  <c r="O816" i="1"/>
  <c r="Q816" i="1" s="1"/>
  <c r="S816" i="1" s="1"/>
  <c r="O808" i="1"/>
  <c r="Q808" i="1" s="1"/>
  <c r="S808" i="1" s="1"/>
  <c r="O800" i="1"/>
  <c r="Q800" i="1" s="1"/>
  <c r="S800" i="1" s="1"/>
  <c r="O792" i="1"/>
  <c r="Q792" i="1" s="1"/>
  <c r="S792" i="1" s="1"/>
  <c r="O784" i="1"/>
  <c r="Q784" i="1" s="1"/>
  <c r="S784" i="1" s="1"/>
  <c r="O773" i="1"/>
  <c r="Q773" i="1" s="1"/>
  <c r="S773" i="1" s="1"/>
  <c r="O765" i="1"/>
  <c r="Q765" i="1" s="1"/>
  <c r="S765" i="1" s="1"/>
  <c r="O757" i="1"/>
  <c r="Q757" i="1" s="1"/>
  <c r="S757" i="1" s="1"/>
  <c r="O749" i="1"/>
  <c r="Q749" i="1" s="1"/>
  <c r="S749" i="1" s="1"/>
  <c r="O741" i="1"/>
  <c r="Q741" i="1" s="1"/>
  <c r="S741" i="1" s="1"/>
  <c r="O733" i="1"/>
  <c r="Q733" i="1" s="1"/>
  <c r="S733" i="1" s="1"/>
  <c r="O725" i="1"/>
  <c r="Q725" i="1" s="1"/>
  <c r="S725" i="1" s="1"/>
  <c r="O717" i="1"/>
  <c r="Q717" i="1" s="1"/>
  <c r="S717" i="1" s="1"/>
  <c r="O709" i="1"/>
  <c r="Q709" i="1" s="1"/>
  <c r="S709" i="1" s="1"/>
  <c r="O701" i="1"/>
  <c r="Q701" i="1" s="1"/>
  <c r="S701" i="1" s="1"/>
  <c r="O693" i="1"/>
  <c r="Q693" i="1" s="1"/>
  <c r="S693" i="1" s="1"/>
  <c r="O685" i="1"/>
  <c r="Q685" i="1" s="1"/>
  <c r="S685" i="1" s="1"/>
  <c r="O676" i="1"/>
  <c r="Q676" i="1" s="1"/>
  <c r="S676" i="1" s="1"/>
  <c r="O668" i="1"/>
  <c r="Q668" i="1" s="1"/>
  <c r="S668" i="1" s="1"/>
  <c r="O660" i="1"/>
  <c r="Q660" i="1" s="1"/>
  <c r="S660" i="1" s="1"/>
  <c r="O652" i="1"/>
  <c r="Q652" i="1" s="1"/>
  <c r="S652" i="1" s="1"/>
  <c r="O644" i="1"/>
  <c r="Q644" i="1" s="1"/>
  <c r="S644" i="1" s="1"/>
  <c r="O636" i="1"/>
  <c r="Q636" i="1" s="1"/>
  <c r="S636" i="1" s="1"/>
  <c r="O628" i="1"/>
  <c r="Q628" i="1" s="1"/>
  <c r="S628" i="1" s="1"/>
  <c r="O620" i="1"/>
  <c r="Q620" i="1" s="1"/>
  <c r="S620" i="1" s="1"/>
  <c r="O612" i="1"/>
  <c r="Q612" i="1" s="1"/>
  <c r="S612" i="1" s="1"/>
  <c r="O603" i="1"/>
  <c r="Q603" i="1" s="1"/>
  <c r="S603" i="1" s="1"/>
  <c r="O595" i="1"/>
  <c r="Q595" i="1" s="1"/>
  <c r="S595" i="1" s="1"/>
  <c r="O587" i="1"/>
  <c r="Q587" i="1" s="1"/>
  <c r="S587" i="1" s="1"/>
  <c r="O579" i="1"/>
  <c r="Q579" i="1" s="1"/>
  <c r="S579" i="1" s="1"/>
  <c r="O571" i="1"/>
  <c r="Q571" i="1" s="1"/>
  <c r="S571" i="1" s="1"/>
  <c r="O563" i="1"/>
  <c r="Q563" i="1" s="1"/>
  <c r="S563" i="1" s="1"/>
  <c r="O555" i="1"/>
  <c r="Q555" i="1" s="1"/>
  <c r="S555" i="1" s="1"/>
  <c r="O546" i="1"/>
  <c r="Q546" i="1" s="1"/>
  <c r="S546" i="1" s="1"/>
  <c r="O538" i="1"/>
  <c r="Q538" i="1" s="1"/>
  <c r="S538" i="1" s="1"/>
  <c r="O530" i="1"/>
  <c r="Q530" i="1" s="1"/>
  <c r="S530" i="1" s="1"/>
  <c r="O522" i="1"/>
  <c r="Q522" i="1" s="1"/>
  <c r="S522" i="1" s="1"/>
  <c r="O514" i="1"/>
  <c r="Q514" i="1" s="1"/>
  <c r="S514" i="1" s="1"/>
  <c r="O506" i="1"/>
  <c r="Q506" i="1" s="1"/>
  <c r="S506" i="1" s="1"/>
  <c r="O498" i="1"/>
  <c r="Q498" i="1" s="1"/>
  <c r="S498" i="1" s="1"/>
  <c r="O489" i="1"/>
  <c r="Q489" i="1" s="1"/>
  <c r="S489" i="1" s="1"/>
  <c r="O480" i="1"/>
  <c r="Q480" i="1" s="1"/>
  <c r="S480" i="1" s="1"/>
  <c r="O472" i="1"/>
  <c r="Q472" i="1" s="1"/>
  <c r="S472" i="1" s="1"/>
  <c r="O464" i="1"/>
  <c r="Q464" i="1" s="1"/>
  <c r="S464" i="1" s="1"/>
  <c r="O456" i="1"/>
  <c r="Q456" i="1" s="1"/>
  <c r="S456" i="1" s="1"/>
  <c r="O448" i="1"/>
  <c r="Q448" i="1" s="1"/>
  <c r="S448" i="1" s="1"/>
  <c r="O439" i="1"/>
  <c r="Q439" i="1" s="1"/>
  <c r="S439" i="1" s="1"/>
  <c r="O431" i="1"/>
  <c r="Q431" i="1" s="1"/>
  <c r="S431" i="1" s="1"/>
  <c r="O423" i="1"/>
  <c r="Q423" i="1" s="1"/>
  <c r="S423" i="1" s="1"/>
  <c r="O415" i="1"/>
  <c r="Q415" i="1" s="1"/>
  <c r="S415" i="1" s="1"/>
  <c r="O406" i="1"/>
  <c r="Q406" i="1" s="1"/>
  <c r="S406" i="1" s="1"/>
  <c r="O398" i="1"/>
  <c r="Q398" i="1" s="1"/>
  <c r="S398" i="1" s="1"/>
  <c r="O390" i="1"/>
  <c r="Q390" i="1" s="1"/>
  <c r="S390" i="1" s="1"/>
  <c r="O382" i="1"/>
  <c r="Q382" i="1" s="1"/>
  <c r="S382" i="1" s="1"/>
  <c r="O374" i="1"/>
  <c r="Q374" i="1" s="1"/>
  <c r="S374" i="1" s="1"/>
  <c r="O365" i="1"/>
  <c r="Q365" i="1" s="1"/>
  <c r="S365" i="1" s="1"/>
  <c r="O357" i="1"/>
  <c r="Q357" i="1" s="1"/>
  <c r="S357" i="1" s="1"/>
  <c r="O349" i="1"/>
  <c r="Q349" i="1" s="1"/>
  <c r="S349" i="1" s="1"/>
  <c r="O340" i="1"/>
  <c r="Q340" i="1" s="1"/>
  <c r="S340" i="1" s="1"/>
  <c r="O332" i="1"/>
  <c r="Q332" i="1" s="1"/>
  <c r="S332" i="1" s="1"/>
  <c r="O324" i="1"/>
  <c r="Q324" i="1" s="1"/>
  <c r="S324" i="1" s="1"/>
  <c r="O315" i="1"/>
  <c r="Q315" i="1" s="1"/>
  <c r="S315" i="1" s="1"/>
  <c r="O307" i="1"/>
  <c r="Q307" i="1" s="1"/>
  <c r="S307" i="1" s="1"/>
  <c r="O296" i="1"/>
  <c r="Q296" i="1" s="1"/>
  <c r="S296" i="1" s="1"/>
  <c r="O288" i="1"/>
  <c r="Q288" i="1" s="1"/>
  <c r="S288" i="1" s="1"/>
  <c r="O280" i="1"/>
  <c r="Q280" i="1" s="1"/>
  <c r="S280" i="1" s="1"/>
  <c r="O272" i="1"/>
  <c r="Q272" i="1" s="1"/>
  <c r="S272" i="1" s="1"/>
  <c r="O264" i="1"/>
  <c r="Q264" i="1" s="1"/>
  <c r="S264" i="1" s="1"/>
  <c r="O256" i="1"/>
  <c r="Q256" i="1" s="1"/>
  <c r="S256" i="1" s="1"/>
  <c r="O248" i="1"/>
  <c r="Q248" i="1" s="1"/>
  <c r="S248" i="1" s="1"/>
  <c r="O240" i="1"/>
  <c r="Q240" i="1" s="1"/>
  <c r="S240" i="1" s="1"/>
  <c r="O232" i="1"/>
  <c r="Q232" i="1" s="1"/>
  <c r="S232" i="1" s="1"/>
  <c r="O224" i="1"/>
  <c r="Q224" i="1" s="1"/>
  <c r="S224" i="1" s="1"/>
  <c r="O216" i="1"/>
  <c r="Q216" i="1" s="1"/>
  <c r="S216" i="1" s="1"/>
  <c r="O208" i="1"/>
  <c r="Q208" i="1" s="1"/>
  <c r="S208" i="1" s="1"/>
  <c r="O200" i="1"/>
  <c r="Q200" i="1" s="1"/>
  <c r="S200" i="1" s="1"/>
  <c r="O191" i="1"/>
  <c r="Q191" i="1" s="1"/>
  <c r="S191" i="1" s="1"/>
  <c r="O183" i="1"/>
  <c r="Q183" i="1" s="1"/>
  <c r="S183" i="1" s="1"/>
  <c r="O175" i="1"/>
  <c r="Q175" i="1" s="1"/>
  <c r="S175" i="1" s="1"/>
  <c r="O166" i="1"/>
  <c r="Q166" i="1" s="1"/>
  <c r="S166" i="1" s="1"/>
  <c r="O157" i="1"/>
  <c r="Q157" i="1" s="1"/>
  <c r="S157" i="1" s="1"/>
  <c r="O149" i="1"/>
  <c r="Q149" i="1" s="1"/>
  <c r="S149" i="1" s="1"/>
  <c r="O141" i="1"/>
  <c r="Q141" i="1" s="1"/>
  <c r="S141" i="1" s="1"/>
  <c r="O133" i="1"/>
  <c r="Q133" i="1" s="1"/>
  <c r="S133" i="1" s="1"/>
  <c r="O125" i="1"/>
  <c r="Q125" i="1" s="1"/>
  <c r="S125" i="1" s="1"/>
  <c r="O117" i="1"/>
  <c r="Q117" i="1" s="1"/>
  <c r="S117" i="1" s="1"/>
  <c r="O109" i="1"/>
  <c r="Q109" i="1" s="1"/>
  <c r="S109" i="1" s="1"/>
  <c r="O101" i="1"/>
  <c r="Q101" i="1" s="1"/>
  <c r="S101" i="1" s="1"/>
  <c r="O93" i="1"/>
  <c r="Q93" i="1" s="1"/>
  <c r="S93" i="1" s="1"/>
  <c r="O85" i="1"/>
  <c r="Q85" i="1" s="1"/>
  <c r="S85" i="1" s="1"/>
  <c r="O77" i="1"/>
  <c r="Q77" i="1" s="1"/>
  <c r="S77" i="1" s="1"/>
  <c r="O69" i="1"/>
  <c r="Q69" i="1" s="1"/>
  <c r="S69" i="1" s="1"/>
  <c r="O61" i="1"/>
  <c r="Q61" i="1" s="1"/>
  <c r="S61" i="1" s="1"/>
  <c r="O53" i="1"/>
  <c r="Q53" i="1" s="1"/>
  <c r="S53" i="1" s="1"/>
  <c r="O45" i="1"/>
  <c r="Q45" i="1" s="1"/>
  <c r="S45" i="1" s="1"/>
  <c r="O37" i="1"/>
  <c r="Q37" i="1" s="1"/>
  <c r="S37" i="1" s="1"/>
  <c r="O29" i="1"/>
  <c r="Q29" i="1" s="1"/>
  <c r="S29" i="1" s="1"/>
  <c r="O21" i="1"/>
  <c r="Q21" i="1" s="1"/>
  <c r="S21" i="1" s="1"/>
  <c r="O1442" i="1"/>
  <c r="Q1442" i="1" s="1"/>
  <c r="S1442" i="1" s="1"/>
  <c r="O1410" i="1"/>
  <c r="Q1410" i="1" s="1"/>
  <c r="S1410" i="1" s="1"/>
  <c r="O1334" i="1"/>
  <c r="Q1334" i="1" s="1"/>
  <c r="S1334" i="1" s="1"/>
  <c r="O1318" i="1"/>
  <c r="Q1318" i="1" s="1"/>
  <c r="S1318" i="1" s="1"/>
  <c r="O1196" i="1"/>
  <c r="Q1196" i="1" s="1"/>
  <c r="S1196" i="1" s="1"/>
  <c r="O1132" i="1"/>
  <c r="Q1132" i="1" s="1"/>
  <c r="S1132" i="1" s="1"/>
  <c r="O1110" i="1"/>
  <c r="Q1110" i="1" s="1"/>
  <c r="S1110" i="1" s="1"/>
  <c r="O1068" i="1"/>
  <c r="Q1068" i="1" s="1"/>
  <c r="S1068" i="1" s="1"/>
  <c r="O1038" i="1"/>
  <c r="Q1038" i="1" s="1"/>
  <c r="S1038" i="1" s="1"/>
  <c r="O1011" i="1"/>
  <c r="Q1011" i="1" s="1"/>
  <c r="S1011" i="1" s="1"/>
  <c r="O982" i="1"/>
  <c r="Q982" i="1" s="1"/>
  <c r="S982" i="1" s="1"/>
  <c r="O954" i="1"/>
  <c r="Q954" i="1" s="1"/>
  <c r="S954" i="1" s="1"/>
  <c r="O898" i="1"/>
  <c r="Q898" i="1" s="1"/>
  <c r="S898" i="1" s="1"/>
  <c r="O840" i="1"/>
  <c r="Q840" i="1" s="1"/>
  <c r="S840" i="1" s="1"/>
  <c r="O1144" i="1"/>
  <c r="Q1144" i="1" s="1"/>
  <c r="S1144" i="1" s="1"/>
  <c r="O1136" i="1"/>
  <c r="Q1136" i="1" s="1"/>
  <c r="S1136" i="1" s="1"/>
  <c r="O1128" i="1"/>
  <c r="Q1128" i="1" s="1"/>
  <c r="S1128" i="1" s="1"/>
  <c r="O1120" i="1"/>
  <c r="Q1120" i="1" s="1"/>
  <c r="S1120" i="1" s="1"/>
  <c r="O1112" i="1"/>
  <c r="Q1112" i="1" s="1"/>
  <c r="S1112" i="1" s="1"/>
  <c r="O1104" i="1"/>
  <c r="Q1104" i="1" s="1"/>
  <c r="S1104" i="1" s="1"/>
  <c r="O1087" i="1"/>
  <c r="Q1087" i="1" s="1"/>
  <c r="S1087" i="1" s="1"/>
  <c r="O1070" i="1"/>
  <c r="Q1070" i="1" s="1"/>
  <c r="S1070" i="1" s="1"/>
  <c r="O1062" i="1"/>
  <c r="Q1062" i="1" s="1"/>
  <c r="S1062" i="1" s="1"/>
  <c r="O1054" i="1"/>
  <c r="Q1054" i="1" s="1"/>
  <c r="S1054" i="1" s="1"/>
  <c r="O1030" i="1"/>
  <c r="Q1030" i="1" s="1"/>
  <c r="S1030" i="1" s="1"/>
  <c r="O1022" i="1"/>
  <c r="Q1022" i="1" s="1"/>
  <c r="S1022" i="1" s="1"/>
  <c r="O1014" i="1"/>
  <c r="Q1014" i="1" s="1"/>
  <c r="S1014" i="1" s="1"/>
  <c r="O1006" i="1"/>
  <c r="Q1006" i="1" s="1"/>
  <c r="S1006" i="1" s="1"/>
  <c r="O998" i="1"/>
  <c r="Q998" i="1" s="1"/>
  <c r="S998" i="1" s="1"/>
  <c r="O965" i="1"/>
  <c r="Q965" i="1" s="1"/>
  <c r="S965" i="1" s="1"/>
  <c r="O957" i="1"/>
  <c r="Q957" i="1" s="1"/>
  <c r="S957" i="1" s="1"/>
  <c r="O949" i="1"/>
  <c r="Q949" i="1" s="1"/>
  <c r="S949" i="1" s="1"/>
  <c r="O941" i="1"/>
  <c r="Q941" i="1" s="1"/>
  <c r="S941" i="1" s="1"/>
  <c r="O922" i="1"/>
  <c r="Q922" i="1" s="1"/>
  <c r="S922" i="1" s="1"/>
  <c r="O914" i="1"/>
  <c r="Q914" i="1" s="1"/>
  <c r="S914" i="1" s="1"/>
  <c r="O905" i="1"/>
  <c r="Q905" i="1" s="1"/>
  <c r="S905" i="1" s="1"/>
  <c r="O897" i="1"/>
  <c r="Q897" i="1" s="1"/>
  <c r="S897" i="1" s="1"/>
  <c r="O880" i="1"/>
  <c r="Q880" i="1" s="1"/>
  <c r="S880" i="1" s="1"/>
  <c r="O872" i="1"/>
  <c r="Q872" i="1" s="1"/>
  <c r="S872" i="1" s="1"/>
  <c r="O863" i="1"/>
  <c r="Q863" i="1" s="1"/>
  <c r="S863" i="1" s="1"/>
  <c r="O855" i="1"/>
  <c r="Q855" i="1" s="1"/>
  <c r="S855" i="1" s="1"/>
  <c r="O847" i="1"/>
  <c r="Q847" i="1" s="1"/>
  <c r="S847" i="1" s="1"/>
  <c r="O839" i="1"/>
  <c r="Q839" i="1" s="1"/>
  <c r="S839" i="1" s="1"/>
  <c r="O831" i="1"/>
  <c r="Q831" i="1" s="1"/>
  <c r="S831" i="1" s="1"/>
  <c r="O823" i="1"/>
  <c r="Q823" i="1" s="1"/>
  <c r="S823" i="1" s="1"/>
  <c r="O815" i="1"/>
  <c r="Q815" i="1" s="1"/>
  <c r="S815" i="1" s="1"/>
  <c r="O807" i="1"/>
  <c r="Q807" i="1" s="1"/>
  <c r="S807" i="1" s="1"/>
  <c r="O799" i="1"/>
  <c r="Q799" i="1" s="1"/>
  <c r="S799" i="1" s="1"/>
  <c r="O791" i="1"/>
  <c r="Q791" i="1" s="1"/>
  <c r="S791" i="1" s="1"/>
  <c r="O780" i="1"/>
  <c r="Q780" i="1" s="1"/>
  <c r="S780" i="1" s="1"/>
  <c r="O772" i="1"/>
  <c r="Q772" i="1" s="1"/>
  <c r="S772" i="1" s="1"/>
  <c r="O764" i="1"/>
  <c r="Q764" i="1" s="1"/>
  <c r="S764" i="1" s="1"/>
  <c r="O756" i="1"/>
  <c r="Q756" i="1" s="1"/>
  <c r="S756" i="1" s="1"/>
  <c r="O748" i="1"/>
  <c r="Q748" i="1" s="1"/>
  <c r="S748" i="1" s="1"/>
  <c r="O740" i="1"/>
  <c r="Q740" i="1" s="1"/>
  <c r="S740" i="1" s="1"/>
  <c r="O732" i="1"/>
  <c r="Q732" i="1" s="1"/>
  <c r="S732" i="1" s="1"/>
  <c r="O724" i="1"/>
  <c r="Q724" i="1" s="1"/>
  <c r="S724" i="1" s="1"/>
  <c r="O716" i="1"/>
  <c r="Q716" i="1" s="1"/>
  <c r="S716" i="1" s="1"/>
  <c r="O708" i="1"/>
  <c r="Q708" i="1" s="1"/>
  <c r="S708" i="1" s="1"/>
  <c r="O700" i="1"/>
  <c r="Q700" i="1" s="1"/>
  <c r="S700" i="1" s="1"/>
  <c r="O692" i="1"/>
  <c r="Q692" i="1" s="1"/>
  <c r="S692" i="1" s="1"/>
  <c r="O684" i="1"/>
  <c r="Q684" i="1" s="1"/>
  <c r="S684" i="1" s="1"/>
  <c r="O675" i="1"/>
  <c r="Q675" i="1" s="1"/>
  <c r="S675" i="1" s="1"/>
  <c r="O667" i="1"/>
  <c r="Q667" i="1" s="1"/>
  <c r="S667" i="1" s="1"/>
  <c r="O659" i="1"/>
  <c r="Q659" i="1" s="1"/>
  <c r="S659" i="1" s="1"/>
  <c r="O651" i="1"/>
  <c r="Q651" i="1" s="1"/>
  <c r="S651" i="1" s="1"/>
  <c r="O643" i="1"/>
  <c r="Q643" i="1" s="1"/>
  <c r="S643" i="1" s="1"/>
  <c r="O635" i="1"/>
  <c r="Q635" i="1" s="1"/>
  <c r="S635" i="1" s="1"/>
  <c r="O627" i="1"/>
  <c r="Q627" i="1" s="1"/>
  <c r="S627" i="1" s="1"/>
  <c r="O619" i="1"/>
  <c r="Q619" i="1" s="1"/>
  <c r="S619" i="1" s="1"/>
  <c r="O611" i="1"/>
  <c r="Q611" i="1" s="1"/>
  <c r="S611" i="1" s="1"/>
  <c r="O602" i="1"/>
  <c r="Q602" i="1" s="1"/>
  <c r="S602" i="1" s="1"/>
  <c r="O594" i="1"/>
  <c r="Q594" i="1" s="1"/>
  <c r="S594" i="1" s="1"/>
  <c r="O586" i="1"/>
  <c r="Q586" i="1" s="1"/>
  <c r="S586" i="1" s="1"/>
  <c r="O578" i="1"/>
  <c r="Q578" i="1" s="1"/>
  <c r="S578" i="1" s="1"/>
  <c r="O570" i="1"/>
  <c r="Q570" i="1" s="1"/>
  <c r="S570" i="1" s="1"/>
  <c r="O562" i="1"/>
  <c r="Q562" i="1" s="1"/>
  <c r="S562" i="1" s="1"/>
  <c r="O553" i="1"/>
  <c r="Q553" i="1" s="1"/>
  <c r="S553" i="1" s="1"/>
  <c r="O545" i="1"/>
  <c r="Q545" i="1" s="1"/>
  <c r="S545" i="1" s="1"/>
  <c r="O537" i="1"/>
  <c r="Q537" i="1" s="1"/>
  <c r="S537" i="1" s="1"/>
  <c r="O529" i="1"/>
  <c r="Q529" i="1" s="1"/>
  <c r="S529" i="1" s="1"/>
  <c r="O521" i="1"/>
  <c r="Q521" i="1" s="1"/>
  <c r="S521" i="1" s="1"/>
  <c r="O513" i="1"/>
  <c r="Q513" i="1" s="1"/>
  <c r="S513" i="1" s="1"/>
  <c r="O505" i="1"/>
  <c r="Q505" i="1" s="1"/>
  <c r="S505" i="1" s="1"/>
  <c r="O497" i="1"/>
  <c r="Q497" i="1" s="1"/>
  <c r="S497" i="1" s="1"/>
  <c r="O487" i="1"/>
  <c r="Q487" i="1" s="1"/>
  <c r="S487" i="1" s="1"/>
  <c r="O479" i="1"/>
  <c r="Q479" i="1" s="1"/>
  <c r="S479" i="1" s="1"/>
  <c r="O471" i="1"/>
  <c r="Q471" i="1" s="1"/>
  <c r="S471" i="1" s="1"/>
  <c r="O463" i="1"/>
  <c r="Q463" i="1" s="1"/>
  <c r="S463" i="1" s="1"/>
  <c r="O455" i="1"/>
  <c r="Q455" i="1" s="1"/>
  <c r="S455" i="1" s="1"/>
  <c r="O447" i="1"/>
  <c r="Q447" i="1" s="1"/>
  <c r="S447" i="1" s="1"/>
  <c r="O438" i="1"/>
  <c r="Q438" i="1" s="1"/>
  <c r="S438" i="1" s="1"/>
  <c r="O430" i="1"/>
  <c r="Q430" i="1" s="1"/>
  <c r="S430" i="1" s="1"/>
  <c r="O422" i="1"/>
  <c r="Q422" i="1" s="1"/>
  <c r="S422" i="1" s="1"/>
  <c r="O414" i="1"/>
  <c r="Q414" i="1" s="1"/>
  <c r="S414" i="1" s="1"/>
  <c r="O405" i="1"/>
  <c r="Q405" i="1" s="1"/>
  <c r="S405" i="1" s="1"/>
  <c r="O397" i="1"/>
  <c r="Q397" i="1" s="1"/>
  <c r="S397" i="1" s="1"/>
  <c r="O389" i="1"/>
  <c r="Q389" i="1" s="1"/>
  <c r="S389" i="1" s="1"/>
  <c r="O381" i="1"/>
  <c r="Q381" i="1" s="1"/>
  <c r="S381" i="1" s="1"/>
  <c r="O373" i="1"/>
  <c r="Q373" i="1" s="1"/>
  <c r="S373" i="1" s="1"/>
  <c r="O364" i="1"/>
  <c r="Q364" i="1" s="1"/>
  <c r="S364" i="1" s="1"/>
  <c r="O356" i="1"/>
  <c r="Q356" i="1" s="1"/>
  <c r="S356" i="1" s="1"/>
  <c r="O348" i="1"/>
  <c r="Q348" i="1" s="1"/>
  <c r="S348" i="1" s="1"/>
  <c r="O339" i="1"/>
  <c r="Q339" i="1" s="1"/>
  <c r="S339" i="1" s="1"/>
  <c r="O331" i="1"/>
  <c r="Q331" i="1" s="1"/>
  <c r="S331" i="1" s="1"/>
  <c r="O323" i="1"/>
  <c r="Q323" i="1" s="1"/>
  <c r="S323" i="1" s="1"/>
  <c r="O314" i="1"/>
  <c r="Q314" i="1" s="1"/>
  <c r="S314" i="1" s="1"/>
  <c r="O304" i="1"/>
  <c r="Q304" i="1" s="1"/>
  <c r="S304" i="1" s="1"/>
  <c r="O295" i="1"/>
  <c r="Q295" i="1" s="1"/>
  <c r="S295" i="1" s="1"/>
  <c r="O287" i="1"/>
  <c r="Q287" i="1" s="1"/>
  <c r="S287" i="1" s="1"/>
  <c r="O279" i="1"/>
  <c r="Q279" i="1" s="1"/>
  <c r="S279" i="1" s="1"/>
  <c r="O271" i="1"/>
  <c r="Q271" i="1" s="1"/>
  <c r="S271" i="1" s="1"/>
  <c r="O263" i="1"/>
  <c r="Q263" i="1" s="1"/>
  <c r="S263" i="1" s="1"/>
  <c r="O255" i="1"/>
  <c r="Q255" i="1" s="1"/>
  <c r="S255" i="1" s="1"/>
  <c r="O247" i="1"/>
  <c r="Q247" i="1" s="1"/>
  <c r="S247" i="1" s="1"/>
  <c r="O239" i="1"/>
  <c r="Q239" i="1" s="1"/>
  <c r="S239" i="1" s="1"/>
  <c r="O231" i="1"/>
  <c r="Q231" i="1" s="1"/>
  <c r="S231" i="1" s="1"/>
  <c r="O223" i="1"/>
  <c r="Q223" i="1" s="1"/>
  <c r="S223" i="1" s="1"/>
  <c r="O215" i="1"/>
  <c r="Q215" i="1" s="1"/>
  <c r="S215" i="1" s="1"/>
  <c r="O207" i="1"/>
  <c r="Q207" i="1" s="1"/>
  <c r="S207" i="1" s="1"/>
  <c r="O199" i="1"/>
  <c r="Q199" i="1" s="1"/>
  <c r="S199" i="1" s="1"/>
  <c r="O190" i="1"/>
  <c r="Q190" i="1" s="1"/>
  <c r="S190" i="1" s="1"/>
  <c r="O182" i="1"/>
  <c r="Q182" i="1" s="1"/>
  <c r="S182" i="1" s="1"/>
  <c r="O174" i="1"/>
  <c r="Q174" i="1" s="1"/>
  <c r="S174" i="1" s="1"/>
  <c r="O165" i="1"/>
  <c r="Q165" i="1" s="1"/>
  <c r="S165" i="1" s="1"/>
  <c r="O156" i="1"/>
  <c r="Q156" i="1" s="1"/>
  <c r="S156" i="1" s="1"/>
  <c r="O148" i="1"/>
  <c r="Q148" i="1" s="1"/>
  <c r="S148" i="1" s="1"/>
  <c r="O140" i="1"/>
  <c r="Q140" i="1" s="1"/>
  <c r="S140" i="1" s="1"/>
  <c r="O132" i="1"/>
  <c r="Q132" i="1" s="1"/>
  <c r="S132" i="1" s="1"/>
  <c r="O124" i="1"/>
  <c r="Q124" i="1" s="1"/>
  <c r="S124" i="1" s="1"/>
  <c r="O116" i="1"/>
  <c r="Q116" i="1" s="1"/>
  <c r="S116" i="1" s="1"/>
  <c r="O108" i="1"/>
  <c r="Q108" i="1" s="1"/>
  <c r="S108" i="1" s="1"/>
  <c r="O100" i="1"/>
  <c r="Q100" i="1" s="1"/>
  <c r="S100" i="1" s="1"/>
  <c r="O92" i="1"/>
  <c r="Q92" i="1" s="1"/>
  <c r="S92" i="1" s="1"/>
  <c r="O84" i="1"/>
  <c r="Q84" i="1" s="1"/>
  <c r="S84" i="1" s="1"/>
  <c r="O76" i="1"/>
  <c r="Q76" i="1" s="1"/>
  <c r="S76" i="1" s="1"/>
  <c r="O68" i="1"/>
  <c r="Q68" i="1" s="1"/>
  <c r="S68" i="1" s="1"/>
  <c r="O60" i="1"/>
  <c r="Q60" i="1" s="1"/>
  <c r="S60" i="1" s="1"/>
  <c r="O52" i="1"/>
  <c r="Q52" i="1" s="1"/>
  <c r="S52" i="1" s="1"/>
  <c r="O44" i="1"/>
  <c r="Q44" i="1" s="1"/>
  <c r="S44" i="1" s="1"/>
  <c r="O36" i="1"/>
  <c r="Q36" i="1" s="1"/>
  <c r="S36" i="1" s="1"/>
  <c r="O28" i="1"/>
  <c r="Q28" i="1" s="1"/>
  <c r="S28" i="1" s="1"/>
  <c r="O1191" i="1"/>
  <c r="Q1191" i="1" s="1"/>
  <c r="S1191" i="1" s="1"/>
  <c r="O1127" i="1"/>
  <c r="Q1127" i="1" s="1"/>
  <c r="S1127" i="1" s="1"/>
  <c r="O1085" i="1"/>
  <c r="Q1085" i="1" s="1"/>
  <c r="S1085" i="1" s="1"/>
  <c r="O1061" i="1"/>
  <c r="Q1061" i="1" s="1"/>
  <c r="S1061" i="1" s="1"/>
  <c r="O1034" i="1"/>
  <c r="Q1034" i="1" s="1"/>
  <c r="S1034" i="1" s="1"/>
  <c r="O1005" i="1"/>
  <c r="Q1005" i="1" s="1"/>
  <c r="S1005" i="1" s="1"/>
  <c r="O948" i="1"/>
  <c r="Q948" i="1" s="1"/>
  <c r="S948" i="1" s="1"/>
  <c r="O920" i="1"/>
  <c r="Q920" i="1" s="1"/>
  <c r="S920" i="1" s="1"/>
  <c r="O891" i="1"/>
  <c r="Q891" i="1" s="1"/>
  <c r="S891" i="1" s="1"/>
  <c r="O862" i="1"/>
  <c r="Q862" i="1" s="1"/>
  <c r="S862" i="1" s="1"/>
  <c r="O835" i="1"/>
  <c r="Q835" i="1" s="1"/>
  <c r="S835" i="1" s="1"/>
  <c r="O213" i="1"/>
  <c r="Q213" i="1" s="1"/>
  <c r="S213" i="1" s="1"/>
  <c r="O205" i="1"/>
  <c r="Q205" i="1" s="1"/>
  <c r="S205" i="1" s="1"/>
  <c r="O197" i="1"/>
  <c r="Q197" i="1" s="1"/>
  <c r="S197" i="1" s="1"/>
  <c r="O188" i="1"/>
  <c r="Q188" i="1" s="1"/>
  <c r="S188" i="1" s="1"/>
  <c r="O180" i="1"/>
  <c r="Q180" i="1" s="1"/>
  <c r="S180" i="1" s="1"/>
  <c r="O171" i="1"/>
  <c r="Q171" i="1" s="1"/>
  <c r="S171" i="1" s="1"/>
  <c r="O163" i="1"/>
  <c r="Q163" i="1" s="1"/>
  <c r="S163" i="1" s="1"/>
  <c r="O154" i="1"/>
  <c r="Q154" i="1" s="1"/>
  <c r="S154" i="1" s="1"/>
  <c r="O138" i="1"/>
  <c r="Q138" i="1" s="1"/>
  <c r="S138" i="1" s="1"/>
  <c r="O130" i="1"/>
  <c r="Q130" i="1" s="1"/>
  <c r="S130" i="1" s="1"/>
  <c r="O122" i="1"/>
  <c r="Q122" i="1" s="1"/>
  <c r="S122" i="1" s="1"/>
  <c r="O114" i="1"/>
  <c r="Q114" i="1" s="1"/>
  <c r="S114" i="1" s="1"/>
  <c r="O106" i="1"/>
  <c r="Q106" i="1" s="1"/>
  <c r="S106" i="1" s="1"/>
  <c r="O98" i="1"/>
  <c r="Q98" i="1" s="1"/>
  <c r="S98" i="1" s="1"/>
  <c r="O90" i="1"/>
  <c r="Q90" i="1" s="1"/>
  <c r="S90" i="1" s="1"/>
  <c r="O82" i="1"/>
  <c r="Q82" i="1" s="1"/>
  <c r="S82" i="1" s="1"/>
  <c r="O74" i="1"/>
  <c r="Q74" i="1" s="1"/>
  <c r="S74" i="1" s="1"/>
  <c r="O66" i="1"/>
  <c r="Q66" i="1" s="1"/>
  <c r="S66" i="1" s="1"/>
  <c r="O58" i="1"/>
  <c r="Q58" i="1" s="1"/>
  <c r="S58" i="1" s="1"/>
  <c r="O50" i="1"/>
  <c r="Q50" i="1" s="1"/>
  <c r="S50" i="1" s="1"/>
  <c r="O42" i="1"/>
  <c r="Q42" i="1" s="1"/>
  <c r="S42" i="1" s="1"/>
  <c r="O34" i="1"/>
  <c r="Q34" i="1" s="1"/>
  <c r="S34" i="1" s="1"/>
  <c r="O26" i="1"/>
  <c r="Q26" i="1" s="1"/>
  <c r="S26" i="1" s="1"/>
  <c r="O151" i="1"/>
  <c r="Q151" i="1" s="1"/>
  <c r="S151" i="1" s="1"/>
  <c r="O202" i="1"/>
  <c r="Q202" i="1" s="1"/>
  <c r="S202" i="1" s="1"/>
  <c r="O194" i="1"/>
  <c r="Q194" i="1" s="1"/>
  <c r="S194" i="1" s="1"/>
  <c r="O185" i="1"/>
  <c r="Q185" i="1" s="1"/>
  <c r="S185" i="1" s="1"/>
  <c r="O177" i="1"/>
  <c r="Q177" i="1" s="1"/>
  <c r="S177" i="1" s="1"/>
  <c r="O168" i="1"/>
  <c r="Q168" i="1" s="1"/>
  <c r="S168" i="1" s="1"/>
  <c r="O159" i="1"/>
  <c r="Q159" i="1" s="1"/>
  <c r="S159" i="1" s="1"/>
  <c r="O135" i="1"/>
  <c r="Q135" i="1" s="1"/>
  <c r="S135" i="1" s="1"/>
  <c r="O127" i="1"/>
  <c r="Q127" i="1" s="1"/>
  <c r="S127" i="1" s="1"/>
  <c r="O119" i="1"/>
  <c r="Q119" i="1" s="1"/>
  <c r="S119" i="1" s="1"/>
  <c r="O111" i="1"/>
  <c r="Q111" i="1" s="1"/>
  <c r="S111" i="1" s="1"/>
  <c r="O103" i="1"/>
  <c r="Q103" i="1" s="1"/>
  <c r="S103" i="1" s="1"/>
  <c r="O95" i="1"/>
  <c r="Q95" i="1" s="1"/>
  <c r="S95" i="1" s="1"/>
  <c r="O87" i="1"/>
  <c r="Q87" i="1" s="1"/>
  <c r="S87" i="1" s="1"/>
  <c r="O79" i="1"/>
  <c r="Q79" i="1" s="1"/>
  <c r="S79" i="1" s="1"/>
  <c r="O71" i="1"/>
  <c r="Q71" i="1" s="1"/>
  <c r="S71" i="1" s="1"/>
  <c r="O63" i="1"/>
  <c r="Q63" i="1" s="1"/>
  <c r="S63" i="1" s="1"/>
  <c r="O55" i="1"/>
  <c r="Q55" i="1" s="1"/>
  <c r="S55" i="1" s="1"/>
  <c r="O47" i="1"/>
  <c r="Q47" i="1" s="1"/>
  <c r="S47" i="1" s="1"/>
  <c r="O39" i="1"/>
  <c r="Q39" i="1" s="1"/>
  <c r="S39" i="1" s="1"/>
  <c r="O31" i="1"/>
  <c r="Q31" i="1" s="1"/>
  <c r="S31" i="1" s="1"/>
  <c r="O23" i="1"/>
  <c r="Q23" i="1" s="1"/>
  <c r="S23" i="1" s="1"/>
  <c r="O160" i="1"/>
  <c r="Q160" i="1" s="1"/>
  <c r="S160" i="1" s="1"/>
  <c r="O145" i="1"/>
  <c r="Q145" i="1" s="1"/>
  <c r="S145" i="1" s="1"/>
  <c r="O143" i="1"/>
  <c r="Q143" i="1" s="1"/>
  <c r="S143" i="1" s="1"/>
  <c r="O2" i="1"/>
  <c r="Q2" i="1" s="1"/>
  <c r="S2" i="1" s="1"/>
  <c r="O1079" i="1" l="1"/>
  <c r="Q1079" i="1" s="1"/>
  <c r="S1079" i="1" s="1"/>
  <c r="N1079" i="1"/>
  <c r="O192" i="1"/>
  <c r="Q192" i="1" s="1"/>
  <c r="S192" i="1" s="1"/>
  <c r="N192" i="1"/>
  <c r="O783" i="1"/>
  <c r="Q783" i="1" s="1"/>
  <c r="S783" i="1" s="1"/>
  <c r="N783" i="1"/>
  <c r="O409" i="1"/>
  <c r="Q409" i="1" s="1"/>
  <c r="S409" i="1" s="1"/>
  <c r="N409" i="1"/>
  <c r="O17" i="1"/>
  <c r="Q17" i="1" s="1"/>
  <c r="S17" i="1" s="1"/>
  <c r="N17" i="1"/>
  <c r="O892" i="1"/>
  <c r="Q892" i="1" s="1"/>
  <c r="S892" i="1" s="1"/>
  <c r="O868" i="1"/>
  <c r="Q868" i="1" s="1"/>
  <c r="S868" i="1" s="1"/>
  <c r="O925" i="1"/>
  <c r="Q925" i="1" s="1"/>
  <c r="S925" i="1" s="1"/>
  <c r="O301" i="1"/>
  <c r="Q301" i="1" s="1"/>
  <c r="S301" i="1" s="1"/>
  <c r="O1340" i="1"/>
  <c r="Q1340" i="1" s="1"/>
  <c r="S1340" i="1" s="1"/>
  <c r="O782" i="1"/>
  <c r="Q782" i="1" s="1"/>
  <c r="S782" i="1" s="1"/>
  <c r="O910" i="1"/>
  <c r="Q910" i="1" s="1"/>
  <c r="S910" i="1" s="1"/>
  <c r="O1303" i="1"/>
  <c r="Q1303" i="1" s="1"/>
  <c r="S1303" i="1" s="1"/>
</calcChain>
</file>

<file path=xl/sharedStrings.xml><?xml version="1.0" encoding="utf-8"?>
<sst xmlns="http://schemas.openxmlformats.org/spreadsheetml/2006/main" count="6991" uniqueCount="480">
  <si>
    <t>ID_DEMANDA</t>
  </si>
  <si>
    <t>SISTEMA</t>
  </si>
  <si>
    <t>NOME_EQUIPE</t>
  </si>
  <si>
    <t>TIPO_DEMANDA</t>
  </si>
  <si>
    <t>NUM_DEMANDA</t>
  </si>
  <si>
    <t>ANO_DEMANDA</t>
  </si>
  <si>
    <t>SITUACAO_DEMANDA</t>
  </si>
  <si>
    <t>DAT_INICIAL_CLASSIFICACAO</t>
  </si>
  <si>
    <t>CSA</t>
  </si>
  <si>
    <t>Corporativo</t>
  </si>
  <si>
    <t>ORIENTAÇÃO</t>
  </si>
  <si>
    <t>FINALIZADA</t>
  </si>
  <si>
    <t xml:space="preserve">DPP </t>
  </si>
  <si>
    <t>Downstream</t>
  </si>
  <si>
    <t>BUG IMPEDITIVO</t>
  </si>
  <si>
    <t>I-SIMP (DPP)</t>
  </si>
  <si>
    <t>BUG NÃO IMPEDITIVO</t>
  </si>
  <si>
    <t>SIGAF</t>
  </si>
  <si>
    <t>MELHORIA PEQUENA</t>
  </si>
  <si>
    <t>DFe - Documento de Fiscalização Eletrônico</t>
  </si>
  <si>
    <t>SIMP</t>
  </si>
  <si>
    <t>MELHORIA MÉDIA</t>
  </si>
  <si>
    <t>SRD - GLP</t>
  </si>
  <si>
    <t>RENOVACALC</t>
  </si>
  <si>
    <t>SRD - PR</t>
  </si>
  <si>
    <t>07/04/2023</t>
  </si>
  <si>
    <t>08/04/2023</t>
  </si>
  <si>
    <t>09/04/2023</t>
  </si>
  <si>
    <t>15/04/2023</t>
  </si>
  <si>
    <t>16/04/2023</t>
  </si>
  <si>
    <t>21/04/2023</t>
  </si>
  <si>
    <t>22/04/2023</t>
  </si>
  <si>
    <t>23/04/2023</t>
  </si>
  <si>
    <t>29/04/2023</t>
  </si>
  <si>
    <t>30/04/2023</t>
  </si>
  <si>
    <t>01/05/2023</t>
  </si>
  <si>
    <t>06/05/2023</t>
  </si>
  <si>
    <t>07/05/2023</t>
  </si>
  <si>
    <t>13/05/2023</t>
  </si>
  <si>
    <t>14/05/2023</t>
  </si>
  <si>
    <t>20/05/2023</t>
  </si>
  <si>
    <t>21/05/2023</t>
  </si>
  <si>
    <t>27/05/2023</t>
  </si>
  <si>
    <t>28/05/2023</t>
  </si>
  <si>
    <t>03/06/2023</t>
  </si>
  <si>
    <t>04/06/2023</t>
  </si>
  <si>
    <t>08/06/2023</t>
  </si>
  <si>
    <t>10/06/2023</t>
  </si>
  <si>
    <t>11/06/2023</t>
  </si>
  <si>
    <t>17/06/2023</t>
  </si>
  <si>
    <t>18/06/2023</t>
  </si>
  <si>
    <t>24/06/2023</t>
  </si>
  <si>
    <t>25/06/2023</t>
  </si>
  <si>
    <t>01/07/2023</t>
  </si>
  <si>
    <t>02/07/2023</t>
  </si>
  <si>
    <t>08/07/2023</t>
  </si>
  <si>
    <t>09/07/2023</t>
  </si>
  <si>
    <t>15/07/2023</t>
  </si>
  <si>
    <t>16/07/2023</t>
  </si>
  <si>
    <t>22/07/2023</t>
  </si>
  <si>
    <t>23/07/2023</t>
  </si>
  <si>
    <t>29/07/2023</t>
  </si>
  <si>
    <t>30/07/2023</t>
  </si>
  <si>
    <t>05/08/2023</t>
  </si>
  <si>
    <t>06/08/2023</t>
  </si>
  <si>
    <t>12/08/2023</t>
  </si>
  <si>
    <t>13/08/2023</t>
  </si>
  <si>
    <t>19/08/2023</t>
  </si>
  <si>
    <t>20/08/2023</t>
  </si>
  <si>
    <t>26/08/2023</t>
  </si>
  <si>
    <t>27/08/2023</t>
  </si>
  <si>
    <t>02/09/2023</t>
  </si>
  <si>
    <t>03/09/2023</t>
  </si>
  <si>
    <t>07/09/2023</t>
  </si>
  <si>
    <t>09/09/2023</t>
  </si>
  <si>
    <t>10/09/2023</t>
  </si>
  <si>
    <t>16/09/2023</t>
  </si>
  <si>
    <t>17/09/2023</t>
  </si>
  <si>
    <t>23/09/2023</t>
  </si>
  <si>
    <t>24/09/2023</t>
  </si>
  <si>
    <t>30/09/2023</t>
  </si>
  <si>
    <t>01/10/2023</t>
  </si>
  <si>
    <t>07/10/2023</t>
  </si>
  <si>
    <t>08/10/2023</t>
  </si>
  <si>
    <t>12/10/2023</t>
  </si>
  <si>
    <t>14/10/2023</t>
  </si>
  <si>
    <t>15/10/2023</t>
  </si>
  <si>
    <t>21/10/2023</t>
  </si>
  <si>
    <t>22/10/2023</t>
  </si>
  <si>
    <t>28/10/2023</t>
  </si>
  <si>
    <t>29/10/2023</t>
  </si>
  <si>
    <t>02/11/2023</t>
  </si>
  <si>
    <t>04/11/2023</t>
  </si>
  <si>
    <t>05/11/2023</t>
  </si>
  <si>
    <t>11/11/2023</t>
  </si>
  <si>
    <t>12/11/2023</t>
  </si>
  <si>
    <t>15/11/2023</t>
  </si>
  <si>
    <t>18/11/2023</t>
  </si>
  <si>
    <t>19/11/2023</t>
  </si>
  <si>
    <t>20/11/2023</t>
  </si>
  <si>
    <t>25/11/2023</t>
  </si>
  <si>
    <t>26/11/2023</t>
  </si>
  <si>
    <t>02/12/2023</t>
  </si>
  <si>
    <t>03/12/2023</t>
  </si>
  <si>
    <t>08/12/2023</t>
  </si>
  <si>
    <t>09/12/2023</t>
  </si>
  <si>
    <t>10/12/2023</t>
  </si>
  <si>
    <t>16/12/2023</t>
  </si>
  <si>
    <t>17/12/2023</t>
  </si>
  <si>
    <t>23/12/2023</t>
  </si>
  <si>
    <t>24/12/2023</t>
  </si>
  <si>
    <t>25/12/2023</t>
  </si>
  <si>
    <t>30/12/2023</t>
  </si>
  <si>
    <t>31/12/2023</t>
  </si>
  <si>
    <t>01/01/2024</t>
  </si>
  <si>
    <t>06/01/2024</t>
  </si>
  <si>
    <t>07/01/2024</t>
  </si>
  <si>
    <t>13/01/2024</t>
  </si>
  <si>
    <t>14/01/2024</t>
  </si>
  <si>
    <t>20/01/2024</t>
  </si>
  <si>
    <t>21/01/2024</t>
  </si>
  <si>
    <t>27/01/2024</t>
  </si>
  <si>
    <t>28/01/2024</t>
  </si>
  <si>
    <t>03/02/2024</t>
  </si>
  <si>
    <t>04/02/2024</t>
  </si>
  <si>
    <t>10/02/2024</t>
  </si>
  <si>
    <t>11/02/2024</t>
  </si>
  <si>
    <t>12/02/2024</t>
  </si>
  <si>
    <t>13/02/2024</t>
  </si>
  <si>
    <t>14/02/2024</t>
  </si>
  <si>
    <t>17/02/2024</t>
  </si>
  <si>
    <t>18/02/2024</t>
  </si>
  <si>
    <t>24/02/2024</t>
  </si>
  <si>
    <t>25/02/2024</t>
  </si>
  <si>
    <t>02/03/2024</t>
  </si>
  <si>
    <t>03/03/2024</t>
  </si>
  <si>
    <t>09/03/2024</t>
  </si>
  <si>
    <t>10/03/2024</t>
  </si>
  <si>
    <t>16/03/2024</t>
  </si>
  <si>
    <t>17/03/2024</t>
  </si>
  <si>
    <t>23/03/2024</t>
  </si>
  <si>
    <t>24/03/2024</t>
  </si>
  <si>
    <t>29/03/2024</t>
  </si>
  <si>
    <t>30/03/2024</t>
  </si>
  <si>
    <t>31/03/2024</t>
  </si>
  <si>
    <t>06/04/2024</t>
  </si>
  <si>
    <t>07/04/2024</t>
  </si>
  <si>
    <t>13/04/2024</t>
  </si>
  <si>
    <t>14/04/2024</t>
  </si>
  <si>
    <t>20/04/2024</t>
  </si>
  <si>
    <t>21/04/2024</t>
  </si>
  <si>
    <t>23/04/2024</t>
  </si>
  <si>
    <t>27/04/2024</t>
  </si>
  <si>
    <t>28/04/2024</t>
  </si>
  <si>
    <t>01/05/2024</t>
  </si>
  <si>
    <t>04/05/2024</t>
  </si>
  <si>
    <t>05/05/2024</t>
  </si>
  <si>
    <t>11/05/2024</t>
  </si>
  <si>
    <t>12/05/2024</t>
  </si>
  <si>
    <t>18/05/2024</t>
  </si>
  <si>
    <t>19/05/2024</t>
  </si>
  <si>
    <t>25/05/2024</t>
  </si>
  <si>
    <t>26/05/2024</t>
  </si>
  <si>
    <t>30/05/2024</t>
  </si>
  <si>
    <t>01/06/2024</t>
  </si>
  <si>
    <t>02/06/2024</t>
  </si>
  <si>
    <t>08/06/2024</t>
  </si>
  <si>
    <t>09/06/2024</t>
  </si>
  <si>
    <t>15/06/2024</t>
  </si>
  <si>
    <t>16/06/2024</t>
  </si>
  <si>
    <t>22/06/2024</t>
  </si>
  <si>
    <t>23/06/2024</t>
  </si>
  <si>
    <t>29/06/2024</t>
  </si>
  <si>
    <t>30/06/2024</t>
  </si>
  <si>
    <t>06/07/2024</t>
  </si>
  <si>
    <t>07/07/2024</t>
  </si>
  <si>
    <t>13/07/2024</t>
  </si>
  <si>
    <t>14/07/2024</t>
  </si>
  <si>
    <t>20/07/2024</t>
  </si>
  <si>
    <t>21/07/2024</t>
  </si>
  <si>
    <t>27/07/2024</t>
  </si>
  <si>
    <t>28/07/2024</t>
  </si>
  <si>
    <t>03/08/2024</t>
  </si>
  <si>
    <t>04/08/2024</t>
  </si>
  <si>
    <t>10/08/2024</t>
  </si>
  <si>
    <t>11/08/2024</t>
  </si>
  <si>
    <t>17/08/2024</t>
  </si>
  <si>
    <t>18/08/2024</t>
  </si>
  <si>
    <t>24/08/2024</t>
  </si>
  <si>
    <t>25/08/2024</t>
  </si>
  <si>
    <t>31/08/2024</t>
  </si>
  <si>
    <t>01/09/2024</t>
  </si>
  <si>
    <t>07/09/2024</t>
  </si>
  <si>
    <t>08/09/2024</t>
  </si>
  <si>
    <t>14/09/2024</t>
  </si>
  <si>
    <t>15/09/2024</t>
  </si>
  <si>
    <t>21/09/2024</t>
  </si>
  <si>
    <t>22/09/2024</t>
  </si>
  <si>
    <t>28/09/2024</t>
  </si>
  <si>
    <t>29/09/2024</t>
  </si>
  <si>
    <t>05/10/2024</t>
  </si>
  <si>
    <t>06/10/2024</t>
  </si>
  <si>
    <t>12/10/2024</t>
  </si>
  <si>
    <t>13/10/2024</t>
  </si>
  <si>
    <t>19/10/2024</t>
  </si>
  <si>
    <t>20/10/2024</t>
  </si>
  <si>
    <t>26/10/2024</t>
  </si>
  <si>
    <t>27/10/2024</t>
  </si>
  <si>
    <t>02/11/2024</t>
  </si>
  <si>
    <t>03/11/2024</t>
  </si>
  <si>
    <t>09/11/2024</t>
  </si>
  <si>
    <t>10/11/2024</t>
  </si>
  <si>
    <t>15/11/2024</t>
  </si>
  <si>
    <t>16/11/2024</t>
  </si>
  <si>
    <t>17/11/2024</t>
  </si>
  <si>
    <t>20/11/2024</t>
  </si>
  <si>
    <t>23/11/2024</t>
  </si>
  <si>
    <t>24/11/2024</t>
  </si>
  <si>
    <t>30/11/2024</t>
  </si>
  <si>
    <t>01/12/2024</t>
  </si>
  <si>
    <t>07/12/2024</t>
  </si>
  <si>
    <t>08/12/2024</t>
  </si>
  <si>
    <t>14/12/2024</t>
  </si>
  <si>
    <t>15/12/2024</t>
  </si>
  <si>
    <t>21/12/2024</t>
  </si>
  <si>
    <t>22/12/2024</t>
  </si>
  <si>
    <t>25/12/2024</t>
  </si>
  <si>
    <t>28/12/2024</t>
  </si>
  <si>
    <t>29/12/2024</t>
  </si>
  <si>
    <t>01/01/2025</t>
  </si>
  <si>
    <t>04/01/2025</t>
  </si>
  <si>
    <t>05/01/2025</t>
  </si>
  <si>
    <t>11/01/2025</t>
  </si>
  <si>
    <t>12/01/2025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</si>
  <si>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</si>
  <si>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</si>
  <si>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</si>
  <si>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</si>
  <si>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</si>
  <si>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</si>
  <si>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</si>
  <si>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08/02/2025</t>
  </si>
  <si>
    <t>09/02/2025</t>
  </si>
  <si>
    <t>15/02/2025</t>
  </si>
  <si>
    <t>16/02/2025</t>
  </si>
  <si>
    <t>22/02/2025</t>
  </si>
  <si>
    <t>23/02/2025</t>
  </si>
  <si>
    <t>01/03/2025</t>
  </si>
  <si>
    <t>02/03/2025</t>
  </si>
  <si>
    <t>03/03/2025</t>
  </si>
  <si>
    <t>04/03/2025</t>
  </si>
  <si>
    <t>05/03/2025</t>
  </si>
  <si>
    <t>08/03/2025</t>
  </si>
  <si>
    <t>09/03/2025</t>
  </si>
  <si>
    <t>15/03/2025</t>
  </si>
  <si>
    <t>16/03/2025</t>
  </si>
  <si>
    <t>22/03/2025</t>
  </si>
  <si>
    <t>23/03/2025</t>
  </si>
  <si>
    <t>29/03/2025</t>
  </si>
  <si>
    <t>30/03/2025</t>
  </si>
  <si>
    <t>05/04/2025</t>
  </si>
  <si>
    <t>06/04/2025</t>
  </si>
  <si>
    <t>12/04/2025</t>
  </si>
  <si>
    <t>13/04/2025</t>
  </si>
  <si>
    <t>18/04/2025</t>
  </si>
  <si>
    <t>19/04/2025</t>
  </si>
  <si>
    <t>20/04/2025</t>
  </si>
  <si>
    <t>21/04/2025</t>
  </si>
  <si>
    <t>23/04/2025</t>
  </si>
  <si>
    <t>26/04/2025</t>
  </si>
  <si>
    <t>27/04/2025</t>
  </si>
  <si>
    <t>01/05/2025</t>
  </si>
  <si>
    <t>03/05/2025</t>
  </si>
  <si>
    <t>04/05/2025</t>
  </si>
  <si>
    <t>10/05/2025</t>
  </si>
  <si>
    <t>11/05/2025</t>
  </si>
  <si>
    <t>17/05/2025</t>
  </si>
  <si>
    <t>18/05/2025</t>
  </si>
  <si>
    <t>24/05/2025</t>
  </si>
  <si>
    <t>25/05/2025</t>
  </si>
  <si>
    <t>31/05/2025</t>
  </si>
  <si>
    <t>01/06/2025</t>
  </si>
  <si>
    <t>07/06/2025</t>
  </si>
  <si>
    <t>08/06/2025</t>
  </si>
  <si>
    <t>14/06/2025</t>
  </si>
  <si>
    <t>15/06/2025</t>
  </si>
  <si>
    <t>19/06/2025</t>
  </si>
  <si>
    <t>21/06/2025</t>
  </si>
  <si>
    <t>22/06/2025</t>
  </si>
  <si>
    <t>28/06/2025</t>
  </si>
  <si>
    <t>29/06/2025</t>
  </si>
  <si>
    <t>05/07/2025</t>
  </si>
  <si>
    <t>06/07/2025</t>
  </si>
  <si>
    <t>12/07/2025</t>
  </si>
  <si>
    <t>13/07/2025</t>
  </si>
  <si>
    <t>19/07/2025</t>
  </si>
  <si>
    <t>20/07/2025</t>
  </si>
  <si>
    <t>26/07/2025</t>
  </si>
  <si>
    <t>27/07/2025</t>
  </si>
  <si>
    <t>02/08/2025</t>
  </si>
  <si>
    <t>03/08/2025</t>
  </si>
  <si>
    <t>09/08/2025</t>
  </si>
  <si>
    <t>10/08/2025</t>
  </si>
  <si>
    <t>16/08/2025</t>
  </si>
  <si>
    <t>17/08/2025</t>
  </si>
  <si>
    <t>23/08/2025</t>
  </si>
  <si>
    <t>24/08/2025</t>
  </si>
  <si>
    <t>30/08/2025</t>
  </si>
  <si>
    <t>31/08/2025</t>
  </si>
  <si>
    <t>06/09/2025</t>
  </si>
  <si>
    <t>07/09/2025</t>
  </si>
  <si>
    <t>13/09/2025</t>
  </si>
  <si>
    <t>14/09/2025</t>
  </si>
  <si>
    <t>20/09/2025</t>
  </si>
  <si>
    <t>21/09/2025</t>
  </si>
  <si>
    <t>27/09/2025</t>
  </si>
  <si>
    <t>28/09/2025</t>
  </si>
  <si>
    <t>04/10/2025</t>
  </si>
  <si>
    <t>05/10/2025</t>
  </si>
  <si>
    <t>11/10/2025</t>
  </si>
  <si>
    <t>12/10/2025</t>
  </si>
  <si>
    <t>18/10/2025</t>
  </si>
  <si>
    <t>19/10/2025</t>
  </si>
  <si>
    <t>25/10/2025</t>
  </si>
  <si>
    <t>26/10/2025</t>
  </si>
  <si>
    <t>01/11/2025</t>
  </si>
  <si>
    <t>02/11/2025</t>
  </si>
  <si>
    <t>08/11/2025</t>
  </si>
  <si>
    <t>09/11/2025</t>
  </si>
  <si>
    <t>15/11/2025</t>
  </si>
  <si>
    <t>16/11/2025</t>
  </si>
  <si>
    <t>20/11/2025</t>
  </si>
  <si>
    <t>22/11/2025</t>
  </si>
  <si>
    <t>23/11/2025</t>
  </si>
  <si>
    <t>29/11/2025</t>
  </si>
  <si>
    <t>30/11/2025</t>
  </si>
  <si>
    <t>06/12/2025</t>
  </si>
  <si>
    <t>07/12/2025</t>
  </si>
  <si>
    <t>08/12/2025</t>
  </si>
  <si>
    <t>13/12/2025</t>
  </si>
  <si>
    <t>14/12/2025</t>
  </si>
  <si>
    <t>20/12/2025</t>
  </si>
  <si>
    <t>21/12/2025</t>
  </si>
  <si>
    <t>25/12/2025</t>
  </si>
  <si>
    <t>27/12/2025</t>
  </si>
  <si>
    <t>28/12/2025</t>
  </si>
  <si>
    <t>01/01/2026</t>
  </si>
  <si>
    <t>03/01/2026</t>
  </si>
  <si>
    <t>04/01/2026</t>
  </si>
  <si>
    <t>10/01/2026</t>
  </si>
  <si>
    <t>11/01/2026</t>
  </si>
  <si>
    <t>17/01/2026</t>
  </si>
  <si>
    <t>18/01/2026</t>
  </si>
  <si>
    <t>20/01/2026</t>
  </si>
  <si>
    <t>24/01/2026</t>
  </si>
  <si>
    <t>25/01/2026</t>
  </si>
  <si>
    <t>31/01/2026</t>
  </si>
  <si>
    <t>01/02/2026</t>
  </si>
  <si>
    <t>07/02/2026</t>
  </si>
  <si>
    <t>08/02/2026</t>
  </si>
  <si>
    <t>14/02/2026</t>
  </si>
  <si>
    <t>15/02/2026</t>
  </si>
  <si>
    <t>16/02/2026</t>
  </si>
  <si>
    <t>17/02/2026</t>
  </si>
  <si>
    <t>18/02/2026</t>
  </si>
  <si>
    <t>21/02/2026</t>
  </si>
  <si>
    <t>22/02/2026</t>
  </si>
  <si>
    <t>28/02/2026</t>
  </si>
  <si>
    <t>01/03/2026</t>
  </si>
  <si>
    <t>07/03/2026</t>
  </si>
  <si>
    <t>08/03/2026</t>
  </si>
  <si>
    <t>14/03/2026</t>
  </si>
  <si>
    <t>15/03/2026</t>
  </si>
  <si>
    <t>21/03/2026</t>
  </si>
  <si>
    <t>22/03/2026</t>
  </si>
  <si>
    <t>28/03/2026</t>
  </si>
  <si>
    <t>29/03/2026</t>
  </si>
  <si>
    <t>03/04/2026</t>
  </si>
  <si>
    <t>04/04/2026</t>
  </si>
  <si>
    <t>05/04/2026</t>
  </si>
  <si>
    <t>11/04/2026</t>
  </si>
  <si>
    <t>12/04/2026</t>
  </si>
  <si>
    <t>18/04/2026</t>
  </si>
  <si>
    <t>19/04/2026</t>
  </si>
  <si>
    <t>21/04/2026</t>
  </si>
  <si>
    <t>23/04/2026</t>
  </si>
  <si>
    <t>25/04/2026</t>
  </si>
  <si>
    <t>26/04/2026</t>
  </si>
  <si>
    <t>01/05/2026</t>
  </si>
  <si>
    <t>02/05/2026</t>
  </si>
  <si>
    <t>03/05/2026</t>
  </si>
  <si>
    <t>09/05/2026</t>
  </si>
  <si>
    <t>10/05/2026</t>
  </si>
  <si>
    <t>16/05/2026</t>
  </si>
  <si>
    <t>17/05/2026</t>
  </si>
  <si>
    <t>23/05/2026</t>
  </si>
  <si>
    <t>24/05/2026</t>
  </si>
  <si>
    <t>30/05/2026</t>
  </si>
  <si>
    <t>31/05/2026</t>
  </si>
  <si>
    <t>04/06/2026</t>
  </si>
  <si>
    <t>06/06/2026</t>
  </si>
  <si>
    <t>07/06/2026</t>
  </si>
  <si>
    <t>13/06/2026</t>
  </si>
  <si>
    <t>14/06/2026</t>
  </si>
  <si>
    <t>20/06/2026</t>
  </si>
  <si>
    <t>21/06/2026</t>
  </si>
  <si>
    <t>27/06/2026</t>
  </si>
  <si>
    <t>28/06/2026</t>
  </si>
  <si>
    <t>04/07/2026</t>
  </si>
  <si>
    <t>05/07/2026</t>
  </si>
  <si>
    <t>11/07/2026</t>
  </si>
  <si>
    <t>12/07/2026</t>
  </si>
  <si>
    <t>18/07/2026</t>
  </si>
  <si>
    <t>19/07/2026</t>
  </si>
  <si>
    <t>25/07/2026</t>
  </si>
  <si>
    <t>26/07/2026</t>
  </si>
  <si>
    <t>01/08/2026</t>
  </si>
  <si>
    <t>02/08/2026</t>
  </si>
  <si>
    <t>08/08/2026</t>
  </si>
  <si>
    <t>09/08/2026</t>
  </si>
  <si>
    <t>15/08/2026</t>
  </si>
  <si>
    <t>16/08/2026</t>
  </si>
  <si>
    <t>22/08/2026</t>
  </si>
  <si>
    <t>23/08/2026</t>
  </si>
  <si>
    <t>29/08/2026</t>
  </si>
  <si>
    <t>30/08/2026</t>
  </si>
  <si>
    <t>05/09/2026</t>
  </si>
  <si>
    <t>06/09/2026</t>
  </si>
  <si>
    <t>07/09/2026</t>
  </si>
  <si>
    <t>12/09/2026</t>
  </si>
  <si>
    <t>13/09/2026</t>
  </si>
  <si>
    <t>19/09/2026</t>
  </si>
  <si>
    <t>20/09/2026</t>
  </si>
  <si>
    <t>26/09/2026</t>
  </si>
  <si>
    <t>27/09/2026</t>
  </si>
  <si>
    <t>03/10/2026</t>
  </si>
  <si>
    <t>04/10/2026</t>
  </si>
  <si>
    <t>10/10/2026</t>
  </si>
  <si>
    <t>11/10/2026</t>
  </si>
  <si>
    <t>12/10/2026</t>
  </si>
  <si>
    <t>17/10/2026</t>
  </si>
  <si>
    <t>18/10/2026</t>
  </si>
  <si>
    <t>24/10/2026</t>
  </si>
  <si>
    <t>25/10/2026</t>
  </si>
  <si>
    <t>31/10/2026</t>
  </si>
  <si>
    <t>01/11/2026</t>
  </si>
  <si>
    <t>02/11/2026</t>
  </si>
  <si>
    <t>07/11/2026</t>
  </si>
  <si>
    <t>08/11/2026</t>
  </si>
  <si>
    <t>14/11/2026</t>
  </si>
  <si>
    <t>15/11/2026</t>
  </si>
  <si>
    <t>20/11/2026</t>
  </si>
  <si>
    <t>21/11/2026</t>
  </si>
  <si>
    <t>22/11/2026</t>
  </si>
  <si>
    <t>28/11/2026</t>
  </si>
  <si>
    <t>29/11/2026</t>
  </si>
  <si>
    <t>05/12/2026</t>
  </si>
  <si>
    <t>06/12/2026</t>
  </si>
  <si>
    <t>08/12/2026</t>
  </si>
  <si>
    <t>12/12/2026</t>
  </si>
  <si>
    <t>13/12/2026</t>
  </si>
  <si>
    <t>19/12/2026</t>
  </si>
  <si>
    <t>20/12/2026</t>
  </si>
  <si>
    <t>25/12/2026</t>
  </si>
  <si>
    <t>26/12/2026</t>
  </si>
  <si>
    <t>27/12/2026</t>
  </si>
  <si>
    <t>DAT_PREVISTA_INI_DEMANDA</t>
  </si>
  <si>
    <t>DAT_PREVISTA_INI_REQUISITOS</t>
  </si>
  <si>
    <t>DAT_PREVISTA_FIM_REQUISITOS</t>
  </si>
  <si>
    <t>DIAS_ATRASO_REQUISITOS</t>
  </si>
  <si>
    <t>DAT_PREVISTA_INI_DESENV</t>
  </si>
  <si>
    <t>DAT_REAL_INI_DESENV</t>
  </si>
  <si>
    <t>DAT_REAL_FIM_DESENV</t>
  </si>
  <si>
    <t>DAT_REAL_INI_REQ</t>
  </si>
  <si>
    <t>DAT_REAL_FIM_REQ</t>
  </si>
  <si>
    <t>DAT_PREVISTA_FIM_DESENV</t>
  </si>
  <si>
    <t>DIAS_ATRASO_DESENVOLVIMENTO</t>
  </si>
  <si>
    <t>DAT_PREVISTA_FIM_DEMANDA</t>
  </si>
  <si>
    <t>CLASSIFICACAO</t>
  </si>
  <si>
    <t>DIAS_NAO_UTEIS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</si>
</sst>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Dialog"/>
    </font>
    <font>
      <sz val="10"/>
      <name val="Arial"/>
    </font>
    <font>
      <b/>
      <sz val="11"/>
      <color rgb="FFFFFFFF"/>
      <name val="Arial"/>
      <family val="2"/>
    </font>
    <font>
      <sz val="9"/>
      <color rgb="FF141413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DDEEFF"/>
      </patternFill>
    </fill>
    <fill>
      <patternFill patternType="solid">
        <fgColor rgb="FFFFD54F"/>
      </patternFill>
    </fill>
    <fill>
      <patternFill patternType="solid">
        <fgColor rgb="FFFFEECC"/>
      </patternFill>
    </fill>
    <fill>
      <patternFill patternType="solid">
        <fgColor rgb="FFCC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14" fontId="0" fillId="0" borderId="0" xfId="0" applyNumberFormat="1"/>
    <xf numFmtId="14" fontId="4" fillId="2" borderId="1" xfId="1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4" fontId="3" fillId="6" borderId="1" xfId="1" applyNumberFormat="1" applyFont="1" applyFill="1" applyBorder="1" applyAlignment="1">
      <alignment horizontal="center" vertical="center"/>
    </xf>
    <xf numFmtId="14" fontId="3" fillId="7" borderId="1" xfId="1" applyNumberFormat="1" applyFont="1" applyFill="1" applyBorder="1" applyAlignment="1">
      <alignment horizontal="center" vertical="center"/>
    </xf>
    <xf numFmtId="14" fontId="5" fillId="0" borderId="0" xfId="0" quotePrefix="1" applyNumberFormat="1" applyFont="1"/>
    <xf numFmtId="1" fontId="0" fillId="0" borderId="0" xfId="0" applyNumberFormat="1"/>
    <xf numFmtId="0" fontId="2" fillId="8" borderId="0" xfId="0" applyFont="1" applyFill="1" applyAlignment="1">
      <alignment horizontal="right"/>
    </xf>
    <xf numFmtId="0" fontId="0" fillId="8" borderId="0" xfId="0" applyFill="1"/>
    <xf numFmtId="14" fontId="0" fillId="8" borderId="0" xfId="0" applyNumberFormat="1" applyFill="1"/>
    <xf numFmtId="14" fontId="5" fillId="8" borderId="0" xfId="0" quotePrefix="1" applyNumberFormat="1" applyFont="1" applyFill="1"/>
    <xf numFmtId="1" fontId="0" fillId="8" borderId="0" xfId="0" applyNumberFormat="1" applyFill="1"/>
    <xf numFmtId="14" fontId="3" fillId="8" borderId="1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/>
    </xf>
    <xf numFmtId="0" fontId="0" fillId="0" borderId="0" xfId="0" applyFill="1"/>
    <xf numFmtId="14" fontId="0" fillId="0" borderId="0" xfId="0" applyNumberFormat="1" applyFill="1"/>
    <xf numFmtId="14" fontId="5" fillId="0" borderId="0" xfId="0" quotePrefix="1" applyNumberFormat="1" applyFont="1" applyFill="1"/>
    <xf numFmtId="1" fontId="0" fillId="0" borderId="0" xfId="0" applyNumberFormat="1" applyFill="1"/>
    <xf numFmtId="14" fontId="3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637A6EF8-FCB1-4CFB-B264-6B994D44A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1633"/>
  <sheetViews>
    <sheetView tabSelected="1" topLeftCell="N1" workbookViewId="0">
      <pane ySplit="1" topLeftCell="A587" activePane="bottomLeft" state="frozen"/>
      <selection pane="bottomLeft" activeCell="A320" sqref="A320:XFD320"/>
    </sheetView>
  </sheetViews>
  <sheetFormatPr defaultRowHeight="15"/>
  <cols>
    <col min="1" max="1" width="12.5703125" bestFit="1" customWidth="1"/>
    <col min="2" max="2" width="40.42578125" bestFit="1" customWidth="1"/>
    <col min="3" max="3" width="13.85546875" bestFit="1" customWidth="1"/>
    <col min="4" max="4" width="20.140625" bestFit="1" customWidth="1"/>
    <col min="5" max="5" width="15.140625" bestFit="1" customWidth="1"/>
    <col min="6" max="6" width="14.85546875" bestFit="1" customWidth="1"/>
    <col min="7" max="7" width="19.7109375" bestFit="1" customWidth="1"/>
    <col min="8" max="8" width="26.28515625" style="2" bestFit="1" customWidth="1"/>
    <col min="9" max="9" width="26.28515625" customWidth="1"/>
    <col min="10" max="10" width="28.7109375" style="2" bestFit="1" customWidth="1"/>
    <col min="11" max="11" width="18.85546875" style="2" bestFit="1" customWidth="1"/>
    <col min="12" max="12" width="29.28515625" style="2" bestFit="1" customWidth="1"/>
    <col min="13" max="13" width="18.85546875" style="2" bestFit="1" customWidth="1"/>
    <col min="14" max="14" width="24.42578125" style="10" bestFit="1" customWidth="1"/>
    <col min="15" max="15" width="25" style="2" bestFit="1" customWidth="1"/>
    <col min="16" max="16" width="20.85546875" style="2" bestFit="1" customWidth="1"/>
    <col min="17" max="17" width="29.85546875" style="2" customWidth="1"/>
    <col min="18" max="18" width="31.5703125" style="2" customWidth="1"/>
    <col min="19" max="19" width="31.5703125" bestFit="1" customWidth="1"/>
    <col min="20" max="20" width="27.7109375" style="2" bestFit="1" customWidth="1"/>
    <col min="21" max="21" width="16.7109375" bestFit="1" customWidth="1"/>
    <col min="26" max="26" width="18" style="2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466</v>
      </c>
      <c r="J1" s="2" t="s">
        <v>467</v>
      </c>
      <c r="K1" s="2" t="s">
        <v>473</v>
      </c>
      <c r="L1" s="2" t="s">
        <v>468</v>
      </c>
      <c r="M1" s="2" t="s">
        <v>474</v>
      </c>
      <c r="N1" s="10" t="s">
        <v>469</v>
      </c>
      <c r="O1" s="2" t="s">
        <v>470</v>
      </c>
      <c r="P1" s="2" t="s">
        <v>471</v>
      </c>
      <c r="Q1" s="2" t="s">
        <v>475</v>
      </c>
      <c r="R1" s="2" t="s">
        <v>472</v>
      </c>
      <c r="S1" t="s">
        <v>476</v>
      </c>
      <c r="T1" s="2" t="s">
        <v>477</v>
      </c>
      <c r="U1" t="s">
        <v>478</v>
      </c>
      <c r="Z1" s="3" t="s">
        <v>479</v>
      </c>
    </row>
    <row r="2" spans="1:26" hidden="1">
      <c r="A2" s="1">
        <v>22391</v>
      </c>
      <c r="B2" t="s">
        <v>8</v>
      </c>
      <c r="C2" t="s">
        <v>9</v>
      </c>
      <c r="D2" t="s">
        <v>10</v>
      </c>
      <c r="E2" s="1">
        <v>797</v>
      </c>
      <c r="F2" s="1">
        <v>2026</v>
      </c>
      <c r="G2" t="s">
        <v>11</v>
      </c>
      <c r="H2" s="2">
        <v>46156.667245370372</v>
      </c>
      <c r="I2" s="9">
        <f t="shared" ref="I2:I33" si="0">IF(OR(D2="ORIENTAÇÃO",D2="BUG IMPEDITIVO",D2="BUG NÃO IMPEDITIVO"),WORKDAY(H2,1,Z$2:Z$500),IF(OR(D2="MELHORIA PEQUENA",D2="MELHORIA MÉDIA"),WORKDAY(H2,3,Z$2:Z$500),""))</f>
        <v>46157</v>
      </c>
      <c r="J2" s="2" t="str">
        <f>IF(K2&lt;&gt;"",I2,"")</f>
        <v/>
      </c>
      <c r="L2" s="2" t="str">
        <f>IF(J2="","",WORKDAY(J2,14,Z$2:Z$500))</f>
        <v/>
      </c>
      <c r="N2" s="10" t="str">
        <f>IF(M2="","",MAX(0,INT(M2)-INT(L2)))</f>
        <v/>
      </c>
      <c r="O2" s="2">
        <f>IF(L2="",I2,WORKDAY(L2,1,Z$2:Z$500))</f>
        <v>46157</v>
      </c>
      <c r="P2" s="2">
        <v>46157.464548611111</v>
      </c>
      <c r="Q2" s="2">
        <f>IF(OR(D2="ORIENTAÇÃO",D2="BUG IMPEDITIVO"),WORKDAY(O2,1,Z$2:Z$500),IF(OR(D2="MELHORIA PEQUENA",D2="BUG NÃO IMPEDITIVO"),WORKDAY(O2,4,Z$2:Z$500),IF(D2="MELHORIA MÉDIA",WORKDAY(O2,19,Z$2:Z$500),"")))</f>
        <v>46160</v>
      </c>
      <c r="R2" s="2">
        <v>46157.501712962963</v>
      </c>
      <c r="S2">
        <f>MAX(0,INT(R2)-INT(Q2))</f>
        <v>0</v>
      </c>
      <c r="T2" s="2">
        <f>IF(D2="MELHORIA MÉDIA",IF(K2&lt;&gt;"",WORKDAY(I2,34,$Z$2:$Z$1000),WORKDAY(I2,19,$Z$2:$Z$1000)),IF(OR(D2="MELHORIA PEQUENA",D2="BUG NÃO IMPEDITIVO"),WORKDAY(I2,4,$Z$2:$Z$1000),IF(OR(D2="ORIENTAÇÃO",D2="BUG IMPEDITIVO"),WORKDAY(I2,1,$Z$2:$Z$1000),"")))</f>
        <v>46160</v>
      </c>
      <c r="U2" t="str">
        <f>IF(INT(R2)&lt;=INT(T2),"NO PRAZO","ATRASO")</f>
        <v>NO PRAZO</v>
      </c>
      <c r="Z2" s="4" t="s">
        <v>25</v>
      </c>
    </row>
    <row r="3" spans="1:26" hidden="1">
      <c r="A3" s="1">
        <v>22381</v>
      </c>
      <c r="B3" t="s">
        <v>12</v>
      </c>
      <c r="C3" t="s">
        <v>13</v>
      </c>
      <c r="D3" t="s">
        <v>14</v>
      </c>
      <c r="E3" s="1">
        <v>787</v>
      </c>
      <c r="F3" s="1">
        <v>2026</v>
      </c>
      <c r="G3" t="s">
        <v>11</v>
      </c>
      <c r="H3" s="2">
        <v>46155.792164351849</v>
      </c>
      <c r="I3" s="9">
        <f t="shared" si="0"/>
        <v>46156</v>
      </c>
      <c r="J3" s="2" t="str">
        <f t="shared" ref="J3:J66" si="1">IF(K3&lt;&gt;"",I3,"")</f>
        <v/>
      </c>
      <c r="L3" s="2" t="str">
        <f t="shared" ref="L3:L66" si="2">IF(J3="","",WORKDAY(J3,14,Z$2:Z$500))</f>
        <v/>
      </c>
      <c r="N3" s="10" t="str">
        <f t="shared" ref="N3:N66" si="3">IF(M3="","",MAX(0,INT(M3)-INT(L3)))</f>
        <v/>
      </c>
      <c r="O3" s="2">
        <f t="shared" ref="O3:O66" si="4">IF(L3="",I3,WORKDAY(L3,1,Z$2:Z$500))</f>
        <v>46156</v>
      </c>
      <c r="P3" s="2">
        <v>46157.690810185188</v>
      </c>
      <c r="Q3" s="2">
        <f t="shared" ref="Q3:Q66" si="5">IF(OR(D3="ORIENTAÇÃO",D3="BUG IMPEDITIVO"),WORKDAY(O3,1,Z$2:Z$500),IF(OR(D3="MELHORIA PEQUENA",D3="BUG NÃO IMPEDITIVO"),WORKDAY(O3,4,Z$2:Z$500),IF(D3="MELHORIA MÉDIA",WORKDAY(O3,19,Z$2:Z$500),"")))</f>
        <v>46157</v>
      </c>
      <c r="R3" s="2">
        <v>46157.767175925925</v>
      </c>
      <c r="S3">
        <f t="shared" ref="S3:S66" si="6">MAX(0,INT(R3)-INT(Q3))</f>
        <v>0</v>
      </c>
      <c r="T3" s="2">
        <f t="shared" ref="T3:T66" si="7">IF(D3="MELHORIA MÉDIA",IF(K3&lt;&gt;"",WORKDAY(I3,34,$Z$2:$Z$1000),WORKDAY(I3,19,$Z$2:$Z$1000)),IF(OR(D3="MELHORIA PEQUENA",D3="BUG NÃO IMPEDITIVO"),WORKDAY(I3,4,$Z$2:$Z$1000),IF(OR(D3="ORIENTAÇÃO",D3="BUG IMPEDITIVO"),WORKDAY(I3,1,$Z$2:$Z$1000),"")))</f>
        <v>46157</v>
      </c>
      <c r="U3" t="str">
        <f t="shared" ref="U3:U66" si="8">IF(INT(R3)&lt;=INT(T3),"NO PRAZO","ATRASO")</f>
        <v>NO PRAZO</v>
      </c>
      <c r="Z3" s="5" t="s">
        <v>26</v>
      </c>
    </row>
    <row r="4" spans="1:26" hidden="1">
      <c r="A4" s="1">
        <v>22366</v>
      </c>
      <c r="B4" t="s">
        <v>15</v>
      </c>
      <c r="C4" t="s">
        <v>13</v>
      </c>
      <c r="D4" t="s">
        <v>16</v>
      </c>
      <c r="E4" s="1">
        <v>772</v>
      </c>
      <c r="F4" s="1">
        <v>2026</v>
      </c>
      <c r="G4" t="s">
        <v>11</v>
      </c>
      <c r="H4" s="2">
        <v>46153.500405092593</v>
      </c>
      <c r="I4" s="9">
        <f t="shared" si="0"/>
        <v>46154</v>
      </c>
      <c r="J4" s="2" t="str">
        <f t="shared" si="1"/>
        <v/>
      </c>
      <c r="L4" s="2" t="str">
        <f t="shared" si="2"/>
        <v/>
      </c>
      <c r="N4" s="10" t="str">
        <f t="shared" si="3"/>
        <v/>
      </c>
      <c r="O4" s="2">
        <f t="shared" si="4"/>
        <v>46154</v>
      </c>
      <c r="P4" s="2">
        <v>46154.595601851855</v>
      </c>
      <c r="Q4" s="2">
        <f t="shared" si="5"/>
        <v>46160</v>
      </c>
      <c r="R4" s="2">
        <v>46155.426064814812</v>
      </c>
      <c r="S4">
        <f t="shared" si="6"/>
        <v>0</v>
      </c>
      <c r="T4" s="2">
        <f t="shared" si="7"/>
        <v>46160</v>
      </c>
      <c r="U4" t="str">
        <f t="shared" si="8"/>
        <v>NO PRAZO</v>
      </c>
      <c r="Z4" s="6" t="s">
        <v>27</v>
      </c>
    </row>
    <row r="5" spans="1:26" hidden="1">
      <c r="A5" s="1">
        <v>22360</v>
      </c>
      <c r="B5" t="s">
        <v>12</v>
      </c>
      <c r="C5" t="s">
        <v>13</v>
      </c>
      <c r="D5" t="s">
        <v>16</v>
      </c>
      <c r="E5" s="1">
        <v>766</v>
      </c>
      <c r="F5" s="1">
        <v>2026</v>
      </c>
      <c r="G5" t="s">
        <v>11</v>
      </c>
      <c r="H5" s="2">
        <v>46150.583645833336</v>
      </c>
      <c r="I5" s="9">
        <f t="shared" si="0"/>
        <v>46153</v>
      </c>
      <c r="J5" s="2" t="str">
        <f t="shared" si="1"/>
        <v/>
      </c>
      <c r="L5" s="2" t="str">
        <f t="shared" si="2"/>
        <v/>
      </c>
      <c r="N5" s="10" t="str">
        <f t="shared" si="3"/>
        <v/>
      </c>
      <c r="O5" s="2">
        <f t="shared" si="4"/>
        <v>46153</v>
      </c>
      <c r="P5" s="2">
        <v>46153.413657407407</v>
      </c>
      <c r="Q5" s="2">
        <f t="shared" si="5"/>
        <v>46157</v>
      </c>
      <c r="R5" s="2">
        <v>46157.513761574075</v>
      </c>
      <c r="S5">
        <f t="shared" si="6"/>
        <v>0</v>
      </c>
      <c r="T5" s="2">
        <f t="shared" si="7"/>
        <v>46157</v>
      </c>
      <c r="U5" t="str">
        <f t="shared" si="8"/>
        <v>NO PRAZO</v>
      </c>
      <c r="Z5" s="5" t="s">
        <v>28</v>
      </c>
    </row>
    <row r="6" spans="1:26" hidden="1">
      <c r="A6" s="1">
        <v>22327</v>
      </c>
      <c r="B6" t="s">
        <v>17</v>
      </c>
      <c r="C6" t="s">
        <v>13</v>
      </c>
      <c r="D6" t="s">
        <v>18</v>
      </c>
      <c r="E6" s="1">
        <v>733</v>
      </c>
      <c r="F6" s="1">
        <v>2026</v>
      </c>
      <c r="G6" t="s">
        <v>11</v>
      </c>
      <c r="H6" s="2">
        <v>46147.625879629632</v>
      </c>
      <c r="I6" s="9">
        <f t="shared" si="0"/>
        <v>46150</v>
      </c>
      <c r="J6" s="2" t="str">
        <f t="shared" si="1"/>
        <v/>
      </c>
      <c r="L6" s="2" t="str">
        <f t="shared" si="2"/>
        <v/>
      </c>
      <c r="N6" s="10" t="str">
        <f t="shared" si="3"/>
        <v/>
      </c>
      <c r="O6" s="2">
        <f t="shared" si="4"/>
        <v>46150</v>
      </c>
      <c r="P6" s="2">
        <v>46153.659247685187</v>
      </c>
      <c r="Q6" s="2">
        <f t="shared" si="5"/>
        <v>46156</v>
      </c>
      <c r="R6" s="2">
        <v>46153.685613425929</v>
      </c>
      <c r="S6">
        <f t="shared" si="6"/>
        <v>0</v>
      </c>
      <c r="T6" s="2">
        <f t="shared" si="7"/>
        <v>46156</v>
      </c>
      <c r="U6" t="str">
        <f t="shared" si="8"/>
        <v>NO PRAZO</v>
      </c>
      <c r="Z6" s="5" t="s">
        <v>29</v>
      </c>
    </row>
    <row r="7" spans="1:26" hidden="1">
      <c r="A7" s="1">
        <v>22320</v>
      </c>
      <c r="B7" t="s">
        <v>15</v>
      </c>
      <c r="C7" t="s">
        <v>13</v>
      </c>
      <c r="D7" t="s">
        <v>18</v>
      </c>
      <c r="E7" s="1">
        <v>726</v>
      </c>
      <c r="F7" s="1">
        <v>2026</v>
      </c>
      <c r="G7" t="s">
        <v>11</v>
      </c>
      <c r="H7" s="2">
        <v>46146.591261574074</v>
      </c>
      <c r="I7" s="9">
        <f t="shared" si="0"/>
        <v>46149</v>
      </c>
      <c r="J7" s="2" t="str">
        <f t="shared" si="1"/>
        <v/>
      </c>
      <c r="L7" s="2" t="str">
        <f t="shared" si="2"/>
        <v/>
      </c>
      <c r="N7" s="10" t="str">
        <f t="shared" si="3"/>
        <v/>
      </c>
      <c r="O7" s="2">
        <f t="shared" si="4"/>
        <v>46149</v>
      </c>
      <c r="P7" s="2">
        <v>46146.592557870368</v>
      </c>
      <c r="Q7" s="2">
        <f t="shared" si="5"/>
        <v>46155</v>
      </c>
      <c r="R7" s="2">
        <v>46146.612812500003</v>
      </c>
      <c r="S7">
        <f t="shared" si="6"/>
        <v>0</v>
      </c>
      <c r="T7" s="2">
        <f t="shared" si="7"/>
        <v>46155</v>
      </c>
      <c r="U7" t="str">
        <f t="shared" si="8"/>
        <v>NO PRAZO</v>
      </c>
      <c r="Z7" s="4" t="s">
        <v>30</v>
      </c>
    </row>
    <row r="8" spans="1:26" hidden="1">
      <c r="A8" s="1">
        <v>22312</v>
      </c>
      <c r="B8" t="s">
        <v>19</v>
      </c>
      <c r="C8" t="s">
        <v>13</v>
      </c>
      <c r="D8" t="s">
        <v>14</v>
      </c>
      <c r="E8" s="1">
        <v>718</v>
      </c>
      <c r="F8" s="1">
        <v>2026</v>
      </c>
      <c r="G8" t="s">
        <v>11</v>
      </c>
      <c r="H8" s="2">
        <v>46142.500694444447</v>
      </c>
      <c r="I8" s="9">
        <f t="shared" si="0"/>
        <v>46146</v>
      </c>
      <c r="J8" s="2" t="str">
        <f t="shared" si="1"/>
        <v/>
      </c>
      <c r="L8" s="2" t="str">
        <f t="shared" si="2"/>
        <v/>
      </c>
      <c r="N8" s="10" t="str">
        <f t="shared" si="3"/>
        <v/>
      </c>
      <c r="O8" s="2">
        <f t="shared" si="4"/>
        <v>46146</v>
      </c>
      <c r="P8" s="2">
        <v>46147.432800925926</v>
      </c>
      <c r="Q8" s="2">
        <f t="shared" si="5"/>
        <v>46147</v>
      </c>
      <c r="R8" s="2">
        <v>46147.680925925924</v>
      </c>
      <c r="S8">
        <f t="shared" si="6"/>
        <v>0</v>
      </c>
      <c r="T8" s="2">
        <f t="shared" si="7"/>
        <v>46147</v>
      </c>
      <c r="U8" t="str">
        <f t="shared" si="8"/>
        <v>NO PRAZO</v>
      </c>
      <c r="Z8" s="5" t="s">
        <v>31</v>
      </c>
    </row>
    <row r="9" spans="1:26" hidden="1">
      <c r="A9" s="1">
        <v>22307</v>
      </c>
      <c r="B9" t="s">
        <v>12</v>
      </c>
      <c r="C9" t="s">
        <v>13</v>
      </c>
      <c r="D9" t="s">
        <v>10</v>
      </c>
      <c r="E9" s="1">
        <v>713</v>
      </c>
      <c r="F9" s="1">
        <v>2026</v>
      </c>
      <c r="G9" t="s">
        <v>11</v>
      </c>
      <c r="H9" s="2">
        <v>46141.833472222221</v>
      </c>
      <c r="I9" s="9">
        <f t="shared" si="0"/>
        <v>46142</v>
      </c>
      <c r="J9" s="2" t="str">
        <f t="shared" si="1"/>
        <v/>
      </c>
      <c r="L9" s="2" t="str">
        <f t="shared" si="2"/>
        <v/>
      </c>
      <c r="N9" s="10" t="str">
        <f t="shared" si="3"/>
        <v/>
      </c>
      <c r="O9" s="2">
        <f t="shared" si="4"/>
        <v>46142</v>
      </c>
      <c r="P9" s="2">
        <v>46142.794641203705</v>
      </c>
      <c r="Q9" s="2">
        <f t="shared" si="5"/>
        <v>46146</v>
      </c>
      <c r="R9" s="2">
        <v>46142.795960648145</v>
      </c>
      <c r="S9">
        <f t="shared" si="6"/>
        <v>0</v>
      </c>
      <c r="T9" s="2">
        <f t="shared" si="7"/>
        <v>46146</v>
      </c>
      <c r="U9" t="str">
        <f t="shared" si="8"/>
        <v>NO PRAZO</v>
      </c>
      <c r="Z9" s="6" t="s">
        <v>32</v>
      </c>
    </row>
    <row r="10" spans="1:26" hidden="1">
      <c r="A10" s="1">
        <v>22302</v>
      </c>
      <c r="B10" t="s">
        <v>8</v>
      </c>
      <c r="C10" t="s">
        <v>9</v>
      </c>
      <c r="D10" t="s">
        <v>16</v>
      </c>
      <c r="E10" s="1">
        <v>708</v>
      </c>
      <c r="F10" s="1">
        <v>2026</v>
      </c>
      <c r="G10" t="s">
        <v>11</v>
      </c>
      <c r="H10" s="2">
        <v>46141.625659722224</v>
      </c>
      <c r="I10" s="9">
        <f t="shared" si="0"/>
        <v>46142</v>
      </c>
      <c r="J10" s="2" t="str">
        <f t="shared" si="1"/>
        <v/>
      </c>
      <c r="L10" s="2" t="str">
        <f t="shared" si="2"/>
        <v/>
      </c>
      <c r="N10" s="10" t="str">
        <f t="shared" si="3"/>
        <v/>
      </c>
      <c r="O10" s="2">
        <f t="shared" si="4"/>
        <v>46142</v>
      </c>
      <c r="P10" s="2">
        <v>46146.649571759262</v>
      </c>
      <c r="Q10" s="2">
        <f t="shared" si="5"/>
        <v>46149</v>
      </c>
      <c r="R10" s="2">
        <v>46147.681446759256</v>
      </c>
      <c r="S10">
        <f t="shared" si="6"/>
        <v>0</v>
      </c>
      <c r="T10" s="2">
        <f t="shared" si="7"/>
        <v>46149</v>
      </c>
      <c r="U10" t="str">
        <f t="shared" si="8"/>
        <v>NO PRAZO</v>
      </c>
      <c r="Z10" s="5" t="s">
        <v>33</v>
      </c>
    </row>
    <row r="11" spans="1:26" hidden="1">
      <c r="A11" s="1">
        <v>22298</v>
      </c>
      <c r="B11" t="s">
        <v>8</v>
      </c>
      <c r="C11" t="s">
        <v>9</v>
      </c>
      <c r="D11" t="s">
        <v>16</v>
      </c>
      <c r="E11" s="1">
        <v>704</v>
      </c>
      <c r="F11" s="1">
        <v>2026</v>
      </c>
      <c r="G11" t="s">
        <v>11</v>
      </c>
      <c r="H11" s="2">
        <v>46141.500659722224</v>
      </c>
      <c r="I11" s="9">
        <f t="shared" si="0"/>
        <v>46142</v>
      </c>
      <c r="J11" s="2" t="str">
        <f t="shared" si="1"/>
        <v/>
      </c>
      <c r="L11" s="2" t="str">
        <f t="shared" si="2"/>
        <v/>
      </c>
      <c r="N11" s="10" t="str">
        <f t="shared" si="3"/>
        <v/>
      </c>
      <c r="O11" s="2">
        <f t="shared" si="4"/>
        <v>46142</v>
      </c>
      <c r="P11" s="2">
        <v>46142.66</v>
      </c>
      <c r="Q11" s="2">
        <f t="shared" si="5"/>
        <v>46149</v>
      </c>
      <c r="R11" s="2">
        <v>46149.62841435185</v>
      </c>
      <c r="S11">
        <f t="shared" si="6"/>
        <v>0</v>
      </c>
      <c r="T11" s="2">
        <f t="shared" si="7"/>
        <v>46149</v>
      </c>
      <c r="U11" t="str">
        <f t="shared" si="8"/>
        <v>NO PRAZO</v>
      </c>
      <c r="Z11" s="5" t="s">
        <v>34</v>
      </c>
    </row>
    <row r="12" spans="1:26" hidden="1">
      <c r="A12" s="1">
        <v>22297</v>
      </c>
      <c r="B12" t="s">
        <v>8</v>
      </c>
      <c r="C12" t="s">
        <v>9</v>
      </c>
      <c r="D12" t="s">
        <v>10</v>
      </c>
      <c r="E12" s="1">
        <v>703</v>
      </c>
      <c r="F12" s="1">
        <v>2026</v>
      </c>
      <c r="G12" t="s">
        <v>11</v>
      </c>
      <c r="H12" s="2">
        <v>46141.500659722224</v>
      </c>
      <c r="I12" s="9">
        <f t="shared" si="0"/>
        <v>46142</v>
      </c>
      <c r="J12" s="2" t="str">
        <f t="shared" si="1"/>
        <v/>
      </c>
      <c r="L12" s="2" t="str">
        <f t="shared" si="2"/>
        <v/>
      </c>
      <c r="N12" s="10" t="str">
        <f t="shared" si="3"/>
        <v/>
      </c>
      <c r="O12" s="2">
        <f t="shared" si="4"/>
        <v>46142</v>
      </c>
      <c r="P12" s="2">
        <v>46141.698391203703</v>
      </c>
      <c r="Q12" s="2">
        <f t="shared" si="5"/>
        <v>46146</v>
      </c>
      <c r="R12" s="2">
        <v>46141.700150462966</v>
      </c>
      <c r="S12">
        <f t="shared" si="6"/>
        <v>0</v>
      </c>
      <c r="T12" s="2">
        <f t="shared" si="7"/>
        <v>46146</v>
      </c>
      <c r="U12" t="str">
        <f t="shared" si="8"/>
        <v>NO PRAZO</v>
      </c>
      <c r="Z12" s="4" t="s">
        <v>35</v>
      </c>
    </row>
    <row r="13" spans="1:26" hidden="1">
      <c r="A13" s="1">
        <v>22276</v>
      </c>
      <c r="B13" t="s">
        <v>20</v>
      </c>
      <c r="C13" t="s">
        <v>13</v>
      </c>
      <c r="D13" t="s">
        <v>21</v>
      </c>
      <c r="E13" s="1">
        <v>682</v>
      </c>
      <c r="F13" s="1">
        <v>2026</v>
      </c>
      <c r="G13" t="s">
        <v>11</v>
      </c>
      <c r="H13" s="2">
        <v>46140.375613425924</v>
      </c>
      <c r="I13" s="9">
        <f t="shared" si="0"/>
        <v>46146</v>
      </c>
      <c r="J13" s="2" t="str">
        <f t="shared" si="1"/>
        <v/>
      </c>
      <c r="L13" s="2" t="str">
        <f t="shared" si="2"/>
        <v/>
      </c>
      <c r="N13" s="10" t="str">
        <f t="shared" si="3"/>
        <v/>
      </c>
      <c r="O13" s="2">
        <f t="shared" si="4"/>
        <v>46146</v>
      </c>
      <c r="P13" s="2">
        <v>46140.599097222221</v>
      </c>
      <c r="Q13" s="2">
        <f t="shared" si="5"/>
        <v>46171</v>
      </c>
      <c r="R13" s="2">
        <v>46141.629814814813</v>
      </c>
      <c r="S13">
        <f t="shared" si="6"/>
        <v>0</v>
      </c>
      <c r="T13" s="2">
        <f t="shared" si="7"/>
        <v>46171</v>
      </c>
      <c r="U13" t="str">
        <f t="shared" si="8"/>
        <v>NO PRAZO</v>
      </c>
      <c r="Z13" s="5" t="s">
        <v>36</v>
      </c>
    </row>
    <row r="14" spans="1:26" hidden="1">
      <c r="A14" s="1">
        <v>22265</v>
      </c>
      <c r="B14" t="s">
        <v>17</v>
      </c>
      <c r="C14" t="s">
        <v>13</v>
      </c>
      <c r="D14" t="s">
        <v>18</v>
      </c>
      <c r="E14" s="1">
        <v>671</v>
      </c>
      <c r="F14" s="1">
        <v>2026</v>
      </c>
      <c r="G14" t="s">
        <v>11</v>
      </c>
      <c r="H14" s="2">
        <v>46139.583935185183</v>
      </c>
      <c r="I14" s="9">
        <f t="shared" si="0"/>
        <v>46142</v>
      </c>
      <c r="J14" s="2" t="str">
        <f t="shared" si="1"/>
        <v/>
      </c>
      <c r="L14" s="2" t="str">
        <f t="shared" si="2"/>
        <v/>
      </c>
      <c r="N14" s="10" t="str">
        <f t="shared" si="3"/>
        <v/>
      </c>
      <c r="O14" s="2">
        <f t="shared" si="4"/>
        <v>46142</v>
      </c>
      <c r="P14" s="2">
        <v>46140.49863425926</v>
      </c>
      <c r="Q14" s="2">
        <f t="shared" si="5"/>
        <v>46149</v>
      </c>
      <c r="R14" s="2">
        <v>46140.640370370369</v>
      </c>
      <c r="S14">
        <f t="shared" si="6"/>
        <v>0</v>
      </c>
      <c r="T14" s="2">
        <f t="shared" si="7"/>
        <v>46149</v>
      </c>
      <c r="U14" t="str">
        <f t="shared" si="8"/>
        <v>NO PRAZO</v>
      </c>
      <c r="Z14" s="5" t="s">
        <v>37</v>
      </c>
    </row>
    <row r="15" spans="1:26" hidden="1">
      <c r="A15" s="1">
        <v>22261</v>
      </c>
      <c r="B15" t="s">
        <v>8</v>
      </c>
      <c r="C15" t="s">
        <v>9</v>
      </c>
      <c r="D15" t="s">
        <v>21</v>
      </c>
      <c r="E15" s="1">
        <v>667</v>
      </c>
      <c r="F15" s="1">
        <v>2026</v>
      </c>
      <c r="G15" t="s">
        <v>11</v>
      </c>
      <c r="H15" s="2">
        <v>46139.458912037036</v>
      </c>
      <c r="I15" s="9">
        <f t="shared" si="0"/>
        <v>46142</v>
      </c>
      <c r="J15" s="2" t="str">
        <f t="shared" si="1"/>
        <v/>
      </c>
      <c r="L15" s="2" t="str">
        <f t="shared" si="2"/>
        <v/>
      </c>
      <c r="N15" s="10" t="str">
        <f t="shared" si="3"/>
        <v/>
      </c>
      <c r="O15" s="2">
        <f t="shared" si="4"/>
        <v>46142</v>
      </c>
      <c r="P15" s="2">
        <v>46156.480104166665</v>
      </c>
      <c r="Q15" s="2">
        <f t="shared" si="5"/>
        <v>46170</v>
      </c>
      <c r="R15" s="2">
        <v>46156.60864583333</v>
      </c>
      <c r="S15">
        <f t="shared" si="6"/>
        <v>0</v>
      </c>
      <c r="T15" s="2">
        <f t="shared" si="7"/>
        <v>46170</v>
      </c>
      <c r="U15" t="str">
        <f t="shared" si="8"/>
        <v>NO PRAZO</v>
      </c>
      <c r="Z15" s="5" t="s">
        <v>38</v>
      </c>
    </row>
    <row r="16" spans="1:26" hidden="1">
      <c r="A16" s="1">
        <v>22260</v>
      </c>
      <c r="B16" t="s">
        <v>20</v>
      </c>
      <c r="C16" t="s">
        <v>13</v>
      </c>
      <c r="D16" t="s">
        <v>18</v>
      </c>
      <c r="E16" s="1">
        <v>666</v>
      </c>
      <c r="F16" s="1">
        <v>2026</v>
      </c>
      <c r="G16" t="s">
        <v>11</v>
      </c>
      <c r="H16" s="2">
        <v>46139.458912037036</v>
      </c>
      <c r="I16" s="9">
        <f t="shared" si="0"/>
        <v>46142</v>
      </c>
      <c r="J16" s="2" t="str">
        <f t="shared" si="1"/>
        <v/>
      </c>
      <c r="L16" s="2" t="str">
        <f t="shared" si="2"/>
        <v/>
      </c>
      <c r="N16" s="10" t="str">
        <f t="shared" si="3"/>
        <v/>
      </c>
      <c r="O16" s="2">
        <f t="shared" si="4"/>
        <v>46142</v>
      </c>
      <c r="P16" s="2">
        <v>46141.713796296295</v>
      </c>
      <c r="Q16" s="2">
        <f t="shared" si="5"/>
        <v>46149</v>
      </c>
      <c r="R16" s="2">
        <v>46142.679895833331</v>
      </c>
      <c r="S16">
        <f t="shared" si="6"/>
        <v>0</v>
      </c>
      <c r="T16" s="2">
        <f t="shared" si="7"/>
        <v>46149</v>
      </c>
      <c r="U16" t="str">
        <f t="shared" si="8"/>
        <v>NO PRAZO</v>
      </c>
      <c r="Z16" s="5" t="s">
        <v>39</v>
      </c>
    </row>
    <row r="17" spans="1:26" s="12" customFormat="1" hidden="1">
      <c r="A17" s="11">
        <v>22243</v>
      </c>
      <c r="B17" s="12" t="s">
        <v>22</v>
      </c>
      <c r="C17" s="12" t="s">
        <v>13</v>
      </c>
      <c r="D17" s="12" t="s">
        <v>21</v>
      </c>
      <c r="E17" s="11">
        <v>649</v>
      </c>
      <c r="F17" s="11">
        <v>2026</v>
      </c>
      <c r="G17" s="12" t="s">
        <v>11</v>
      </c>
      <c r="H17" s="13">
        <v>46136.451261574075</v>
      </c>
      <c r="I17" s="14">
        <f t="shared" si="0"/>
        <v>46141</v>
      </c>
      <c r="J17" s="13">
        <f t="shared" si="1"/>
        <v>46141</v>
      </c>
      <c r="K17" s="13">
        <v>46136.454907407409</v>
      </c>
      <c r="L17" s="13">
        <f t="shared" si="2"/>
        <v>46162</v>
      </c>
      <c r="M17" s="13">
        <v>46136.455231481479</v>
      </c>
      <c r="N17" s="15">
        <f t="shared" si="3"/>
        <v>0</v>
      </c>
      <c r="O17" s="13">
        <f t="shared" si="4"/>
        <v>46163</v>
      </c>
      <c r="P17" s="13">
        <v>46136.454305555555</v>
      </c>
      <c r="Q17" s="13">
        <f t="shared" si="5"/>
        <v>46191</v>
      </c>
      <c r="R17" s="13">
        <v>46136.750833333332</v>
      </c>
      <c r="S17" s="12">
        <f t="shared" si="6"/>
        <v>0</v>
      </c>
      <c r="T17" s="13">
        <f t="shared" si="7"/>
        <v>46191</v>
      </c>
      <c r="U17" s="12" t="str">
        <f t="shared" si="8"/>
        <v>NO PRAZO</v>
      </c>
      <c r="Z17" s="16" t="s">
        <v>40</v>
      </c>
    </row>
    <row r="18" spans="1:26" hidden="1">
      <c r="A18" s="1">
        <v>22240</v>
      </c>
      <c r="B18" t="s">
        <v>17</v>
      </c>
      <c r="C18" t="s">
        <v>13</v>
      </c>
      <c r="D18" t="s">
        <v>16</v>
      </c>
      <c r="E18" s="1">
        <v>646</v>
      </c>
      <c r="F18" s="1">
        <v>2026</v>
      </c>
      <c r="G18" t="s">
        <v>11</v>
      </c>
      <c r="H18" s="2">
        <v>46136.375462962962</v>
      </c>
      <c r="I18" s="9">
        <f t="shared" si="0"/>
        <v>46139</v>
      </c>
      <c r="J18" s="2" t="str">
        <f t="shared" si="1"/>
        <v/>
      </c>
      <c r="L18" s="2" t="str">
        <f t="shared" si="2"/>
        <v/>
      </c>
      <c r="N18" s="10" t="str">
        <f t="shared" si="3"/>
        <v/>
      </c>
      <c r="O18" s="2">
        <f t="shared" si="4"/>
        <v>46139</v>
      </c>
      <c r="P18" s="2">
        <v>46142.38354166667</v>
      </c>
      <c r="Q18" s="2">
        <f t="shared" si="5"/>
        <v>46146</v>
      </c>
      <c r="R18" s="2">
        <v>46142.418946759259</v>
      </c>
      <c r="S18">
        <f t="shared" si="6"/>
        <v>0</v>
      </c>
      <c r="T18" s="2">
        <f t="shared" si="7"/>
        <v>46146</v>
      </c>
      <c r="U18" t="str">
        <f t="shared" si="8"/>
        <v>NO PRAZO</v>
      </c>
      <c r="Z18" s="5" t="s">
        <v>41</v>
      </c>
    </row>
    <row r="19" spans="1:26" hidden="1">
      <c r="A19" s="1">
        <v>22239</v>
      </c>
      <c r="B19" t="s">
        <v>17</v>
      </c>
      <c r="C19" t="s">
        <v>13</v>
      </c>
      <c r="D19" t="s">
        <v>16</v>
      </c>
      <c r="E19" s="1">
        <v>645</v>
      </c>
      <c r="F19" s="1">
        <v>2026</v>
      </c>
      <c r="G19" t="s">
        <v>11</v>
      </c>
      <c r="H19" s="2">
        <v>46136.375462962962</v>
      </c>
      <c r="I19" s="9">
        <f t="shared" si="0"/>
        <v>46139</v>
      </c>
      <c r="J19" s="2" t="str">
        <f t="shared" si="1"/>
        <v/>
      </c>
      <c r="L19" s="2" t="str">
        <f t="shared" si="2"/>
        <v/>
      </c>
      <c r="N19" s="10" t="str">
        <f t="shared" si="3"/>
        <v/>
      </c>
      <c r="O19" s="2">
        <f t="shared" si="4"/>
        <v>46139</v>
      </c>
      <c r="P19" s="2">
        <v>46139.629386574074</v>
      </c>
      <c r="Q19" s="2">
        <f t="shared" si="5"/>
        <v>46146</v>
      </c>
      <c r="R19" s="2">
        <v>46139.635659722226</v>
      </c>
      <c r="S19">
        <f t="shared" si="6"/>
        <v>0</v>
      </c>
      <c r="T19" s="2">
        <f t="shared" si="7"/>
        <v>46146</v>
      </c>
      <c r="U19" t="str">
        <f t="shared" si="8"/>
        <v>NO PRAZO</v>
      </c>
      <c r="Z19" s="5" t="s">
        <v>42</v>
      </c>
    </row>
    <row r="20" spans="1:26" hidden="1">
      <c r="A20" s="1">
        <v>22238</v>
      </c>
      <c r="B20" t="s">
        <v>17</v>
      </c>
      <c r="C20" t="s">
        <v>13</v>
      </c>
      <c r="D20" t="s">
        <v>18</v>
      </c>
      <c r="E20" s="1">
        <v>644</v>
      </c>
      <c r="F20" s="1">
        <v>2026</v>
      </c>
      <c r="G20" t="s">
        <v>11</v>
      </c>
      <c r="H20" s="2">
        <v>46135.625439814816</v>
      </c>
      <c r="I20" s="9">
        <f t="shared" si="0"/>
        <v>46140</v>
      </c>
      <c r="J20" s="2" t="str">
        <f t="shared" si="1"/>
        <v/>
      </c>
      <c r="L20" s="2" t="str">
        <f t="shared" si="2"/>
        <v/>
      </c>
      <c r="N20" s="10" t="str">
        <f t="shared" si="3"/>
        <v/>
      </c>
      <c r="O20" s="2">
        <f t="shared" si="4"/>
        <v>46140</v>
      </c>
      <c r="P20" s="2">
        <v>46142.667349537034</v>
      </c>
      <c r="Q20" s="2">
        <f t="shared" si="5"/>
        <v>46147</v>
      </c>
      <c r="R20" s="2">
        <v>46142.668449074074</v>
      </c>
      <c r="S20">
        <f t="shared" si="6"/>
        <v>0</v>
      </c>
      <c r="T20" s="2">
        <f t="shared" si="7"/>
        <v>46147</v>
      </c>
      <c r="U20" t="str">
        <f t="shared" si="8"/>
        <v>NO PRAZO</v>
      </c>
      <c r="Z20" s="5" t="s">
        <v>43</v>
      </c>
    </row>
    <row r="21" spans="1:26" hidden="1">
      <c r="A21" s="1">
        <v>22237</v>
      </c>
      <c r="B21" t="s">
        <v>17</v>
      </c>
      <c r="C21" t="s">
        <v>13</v>
      </c>
      <c r="D21" t="s">
        <v>18</v>
      </c>
      <c r="E21" s="1">
        <v>643</v>
      </c>
      <c r="F21" s="1">
        <v>2026</v>
      </c>
      <c r="G21" t="s">
        <v>11</v>
      </c>
      <c r="H21" s="2">
        <v>46135.625439814816</v>
      </c>
      <c r="I21" s="9">
        <f t="shared" si="0"/>
        <v>46140</v>
      </c>
      <c r="J21" s="2" t="str">
        <f t="shared" si="1"/>
        <v/>
      </c>
      <c r="L21" s="2" t="str">
        <f t="shared" si="2"/>
        <v/>
      </c>
      <c r="N21" s="10" t="str">
        <f t="shared" si="3"/>
        <v/>
      </c>
      <c r="O21" s="2">
        <f t="shared" si="4"/>
        <v>46140</v>
      </c>
      <c r="P21" s="2">
        <v>46141.463449074072</v>
      </c>
      <c r="Q21" s="2">
        <f t="shared" si="5"/>
        <v>46147</v>
      </c>
      <c r="R21" s="2">
        <v>46142.799398148149</v>
      </c>
      <c r="S21">
        <f t="shared" si="6"/>
        <v>0</v>
      </c>
      <c r="T21" s="2">
        <f t="shared" si="7"/>
        <v>46147</v>
      </c>
      <c r="U21" t="str">
        <f t="shared" si="8"/>
        <v>NO PRAZO</v>
      </c>
      <c r="Z21" s="5" t="s">
        <v>44</v>
      </c>
    </row>
    <row r="22" spans="1:26" hidden="1">
      <c r="A22" s="1">
        <v>22236</v>
      </c>
      <c r="B22" t="s">
        <v>17</v>
      </c>
      <c r="C22" t="s">
        <v>13</v>
      </c>
      <c r="D22" t="s">
        <v>18</v>
      </c>
      <c r="E22" s="1">
        <v>642</v>
      </c>
      <c r="F22" s="1">
        <v>2026</v>
      </c>
      <c r="G22" t="s">
        <v>11</v>
      </c>
      <c r="H22" s="2">
        <v>46135.625439814816</v>
      </c>
      <c r="I22" s="9">
        <f t="shared" si="0"/>
        <v>46140</v>
      </c>
      <c r="J22" s="2" t="str">
        <f t="shared" si="1"/>
        <v/>
      </c>
      <c r="L22" s="2" t="str">
        <f t="shared" si="2"/>
        <v/>
      </c>
      <c r="N22" s="10" t="str">
        <f t="shared" si="3"/>
        <v/>
      </c>
      <c r="O22" s="2">
        <f t="shared" si="4"/>
        <v>46140</v>
      </c>
      <c r="P22" s="2">
        <v>46141.462997685187</v>
      </c>
      <c r="Q22" s="2">
        <f t="shared" si="5"/>
        <v>46147</v>
      </c>
      <c r="R22" s="2">
        <v>46142.799791666665</v>
      </c>
      <c r="S22">
        <f t="shared" si="6"/>
        <v>0</v>
      </c>
      <c r="T22" s="2">
        <f t="shared" si="7"/>
        <v>46147</v>
      </c>
      <c r="U22" t="str">
        <f t="shared" si="8"/>
        <v>NO PRAZO</v>
      </c>
      <c r="Z22" s="5" t="s">
        <v>45</v>
      </c>
    </row>
    <row r="23" spans="1:26" s="12" customFormat="1" hidden="1">
      <c r="A23" s="11">
        <v>22233</v>
      </c>
      <c r="B23" s="12" t="s">
        <v>19</v>
      </c>
      <c r="C23" s="12" t="s">
        <v>9</v>
      </c>
      <c r="D23" s="12" t="s">
        <v>16</v>
      </c>
      <c r="E23" s="11">
        <v>639</v>
      </c>
      <c r="F23" s="11">
        <v>2026</v>
      </c>
      <c r="G23" s="12" t="s">
        <v>11</v>
      </c>
      <c r="H23" s="13">
        <v>46134.625405092593</v>
      </c>
      <c r="I23" s="14">
        <f t="shared" si="0"/>
        <v>46136</v>
      </c>
      <c r="J23" s="13" t="str">
        <f t="shared" si="1"/>
        <v/>
      </c>
      <c r="K23" s="13"/>
      <c r="L23" s="13" t="str">
        <f t="shared" si="2"/>
        <v/>
      </c>
      <c r="M23" s="13"/>
      <c r="N23" s="15" t="str">
        <f t="shared" si="3"/>
        <v/>
      </c>
      <c r="O23" s="13">
        <f t="shared" si="4"/>
        <v>46136</v>
      </c>
      <c r="P23" s="13">
        <v>46140.423043981478</v>
      </c>
      <c r="Q23" s="13">
        <f t="shared" si="5"/>
        <v>46142</v>
      </c>
      <c r="R23" s="13">
        <v>46140.460995370369</v>
      </c>
      <c r="S23" s="12">
        <f t="shared" si="6"/>
        <v>0</v>
      </c>
      <c r="T23" s="13">
        <f t="shared" si="7"/>
        <v>46142</v>
      </c>
      <c r="U23" s="12" t="str">
        <f t="shared" si="8"/>
        <v>NO PRAZO</v>
      </c>
      <c r="Z23" s="16" t="s">
        <v>46</v>
      </c>
    </row>
    <row r="24" spans="1:26" s="12" customFormat="1" hidden="1">
      <c r="A24" s="11">
        <v>22231</v>
      </c>
      <c r="B24" s="12" t="s">
        <v>23</v>
      </c>
      <c r="C24" s="12" t="s">
        <v>13</v>
      </c>
      <c r="D24" s="12" t="s">
        <v>14</v>
      </c>
      <c r="E24" s="11">
        <v>637</v>
      </c>
      <c r="F24" s="11">
        <v>2026</v>
      </c>
      <c r="G24" s="12" t="s">
        <v>11</v>
      </c>
      <c r="H24" s="13">
        <v>46134.625405092593</v>
      </c>
      <c r="I24" s="14">
        <f t="shared" si="0"/>
        <v>46136</v>
      </c>
      <c r="J24" s="13" t="str">
        <f t="shared" si="1"/>
        <v/>
      </c>
      <c r="K24" s="13"/>
      <c r="L24" s="13" t="str">
        <f t="shared" si="2"/>
        <v/>
      </c>
      <c r="M24" s="13"/>
      <c r="N24" s="15" t="str">
        <f t="shared" si="3"/>
        <v/>
      </c>
      <c r="O24" s="13">
        <f t="shared" si="4"/>
        <v>46136</v>
      </c>
      <c r="P24" s="13">
        <v>46139.516736111109</v>
      </c>
      <c r="Q24" s="13">
        <f t="shared" si="5"/>
        <v>46139</v>
      </c>
      <c r="R24" s="13">
        <v>46139.517118055555</v>
      </c>
      <c r="S24" s="12">
        <f t="shared" si="6"/>
        <v>0</v>
      </c>
      <c r="T24" s="13">
        <f t="shared" si="7"/>
        <v>46139</v>
      </c>
      <c r="U24" s="12" t="str">
        <f t="shared" si="8"/>
        <v>NO PRAZO</v>
      </c>
      <c r="Z24" s="16" t="s">
        <v>47</v>
      </c>
    </row>
    <row r="25" spans="1:26" s="12" customFormat="1" hidden="1">
      <c r="A25" s="11">
        <v>22227</v>
      </c>
      <c r="B25" s="12" t="s">
        <v>8</v>
      </c>
      <c r="C25" s="12" t="s">
        <v>9</v>
      </c>
      <c r="D25" s="12" t="s">
        <v>10</v>
      </c>
      <c r="E25" s="11">
        <v>633</v>
      </c>
      <c r="F25" s="11">
        <v>2026</v>
      </c>
      <c r="G25" s="12" t="s">
        <v>11</v>
      </c>
      <c r="H25" s="13">
        <v>46134.500405092593</v>
      </c>
      <c r="I25" s="14">
        <f t="shared" si="0"/>
        <v>46136</v>
      </c>
      <c r="J25" s="13" t="str">
        <f t="shared" si="1"/>
        <v/>
      </c>
      <c r="K25" s="13"/>
      <c r="L25" s="13" t="str">
        <f t="shared" si="2"/>
        <v/>
      </c>
      <c r="M25" s="13"/>
      <c r="N25" s="15" t="str">
        <f t="shared" si="3"/>
        <v/>
      </c>
      <c r="O25" s="13">
        <f t="shared" si="4"/>
        <v>46136</v>
      </c>
      <c r="P25" s="13">
        <v>46139.648888888885</v>
      </c>
      <c r="Q25" s="13">
        <f t="shared" si="5"/>
        <v>46139</v>
      </c>
      <c r="R25" s="13">
        <v>46139.865590277775</v>
      </c>
      <c r="S25" s="12">
        <f t="shared" si="6"/>
        <v>0</v>
      </c>
      <c r="T25" s="13">
        <f t="shared" si="7"/>
        <v>46139</v>
      </c>
      <c r="U25" s="12" t="str">
        <f t="shared" si="8"/>
        <v>NO PRAZO</v>
      </c>
      <c r="Z25" s="16" t="s">
        <v>48</v>
      </c>
    </row>
    <row r="26" spans="1:26" s="12" customFormat="1" hidden="1">
      <c r="A26" s="11">
        <v>22222</v>
      </c>
      <c r="B26" s="12" t="s">
        <v>12</v>
      </c>
      <c r="C26" s="12" t="s">
        <v>13</v>
      </c>
      <c r="D26" s="12" t="s">
        <v>18</v>
      </c>
      <c r="E26" s="11">
        <v>628</v>
      </c>
      <c r="F26" s="11">
        <v>2026</v>
      </c>
      <c r="G26" s="12" t="s">
        <v>11</v>
      </c>
      <c r="H26" s="13">
        <v>46129.667303240742</v>
      </c>
      <c r="I26" s="14">
        <f t="shared" si="0"/>
        <v>46136</v>
      </c>
      <c r="J26" s="13" t="str">
        <f t="shared" si="1"/>
        <v/>
      </c>
      <c r="K26" s="13"/>
      <c r="L26" s="13" t="str">
        <f t="shared" si="2"/>
        <v/>
      </c>
      <c r="M26" s="13"/>
      <c r="N26" s="15" t="str">
        <f t="shared" si="3"/>
        <v/>
      </c>
      <c r="O26" s="13">
        <f t="shared" si="4"/>
        <v>46136</v>
      </c>
      <c r="P26" s="13">
        <v>46141.456921296296</v>
      </c>
      <c r="Q26" s="13">
        <f t="shared" si="5"/>
        <v>46142</v>
      </c>
      <c r="R26" s="13">
        <v>46141.457048611112</v>
      </c>
      <c r="S26" s="12">
        <f t="shared" si="6"/>
        <v>0</v>
      </c>
      <c r="T26" s="13">
        <f t="shared" si="7"/>
        <v>46142</v>
      </c>
      <c r="U26" s="12" t="str">
        <f t="shared" si="8"/>
        <v>NO PRAZO</v>
      </c>
      <c r="Z26" s="16" t="s">
        <v>49</v>
      </c>
    </row>
    <row r="27" spans="1:26" hidden="1">
      <c r="A27" s="1">
        <v>22210</v>
      </c>
      <c r="B27" t="s">
        <v>20</v>
      </c>
      <c r="C27" t="s">
        <v>13</v>
      </c>
      <c r="D27" t="s">
        <v>18</v>
      </c>
      <c r="E27" s="1">
        <v>616</v>
      </c>
      <c r="F27" s="1">
        <v>2026</v>
      </c>
      <c r="G27" t="s">
        <v>11</v>
      </c>
      <c r="H27" s="2">
        <v>46129.481932870367</v>
      </c>
      <c r="I27" s="9">
        <f t="shared" si="0"/>
        <v>46136</v>
      </c>
      <c r="J27" s="2" t="str">
        <f t="shared" si="1"/>
        <v/>
      </c>
      <c r="L27" s="2" t="str">
        <f t="shared" si="2"/>
        <v/>
      </c>
      <c r="N27" s="10" t="str">
        <f t="shared" si="3"/>
        <v/>
      </c>
      <c r="O27" s="2">
        <f t="shared" si="4"/>
        <v>46136</v>
      </c>
      <c r="P27" s="2">
        <v>46129.486666666664</v>
      </c>
      <c r="Q27" s="2">
        <f t="shared" si="5"/>
        <v>46142</v>
      </c>
      <c r="R27" s="2">
        <v>46141.49417824074</v>
      </c>
      <c r="S27">
        <f t="shared" si="6"/>
        <v>0</v>
      </c>
      <c r="T27" s="2">
        <f t="shared" si="7"/>
        <v>46142</v>
      </c>
      <c r="U27" t="str">
        <f t="shared" si="8"/>
        <v>NO PRAZO</v>
      </c>
      <c r="Z27" s="5" t="s">
        <v>50</v>
      </c>
    </row>
    <row r="28" spans="1:26" hidden="1">
      <c r="A28" s="1">
        <v>22204</v>
      </c>
      <c r="B28" t="s">
        <v>17</v>
      </c>
      <c r="C28" t="s">
        <v>13</v>
      </c>
      <c r="D28" t="s">
        <v>18</v>
      </c>
      <c r="E28" s="1">
        <v>610</v>
      </c>
      <c r="F28" s="1">
        <v>2026</v>
      </c>
      <c r="G28" t="s">
        <v>11</v>
      </c>
      <c r="H28" s="2">
        <v>46128.708935185183</v>
      </c>
      <c r="I28" s="9">
        <f t="shared" si="0"/>
        <v>46134</v>
      </c>
      <c r="J28" s="2" t="str">
        <f t="shared" si="1"/>
        <v/>
      </c>
      <c r="L28" s="2" t="str">
        <f t="shared" si="2"/>
        <v/>
      </c>
      <c r="N28" s="10" t="str">
        <f t="shared" si="3"/>
        <v/>
      </c>
      <c r="O28" s="2">
        <f t="shared" si="4"/>
        <v>46134</v>
      </c>
      <c r="P28" s="2">
        <v>46136.62641203704</v>
      </c>
      <c r="Q28" s="2">
        <f t="shared" si="5"/>
        <v>46141</v>
      </c>
      <c r="R28" s="2">
        <v>46140.63658564815</v>
      </c>
      <c r="S28">
        <f t="shared" si="6"/>
        <v>0</v>
      </c>
      <c r="T28" s="2">
        <f t="shared" si="7"/>
        <v>46141</v>
      </c>
      <c r="U28" t="str">
        <f t="shared" si="8"/>
        <v>NO PRAZO</v>
      </c>
      <c r="Z28" s="5" t="s">
        <v>51</v>
      </c>
    </row>
    <row r="29" spans="1:26" hidden="1">
      <c r="A29" s="1">
        <v>22203</v>
      </c>
      <c r="B29" t="s">
        <v>17</v>
      </c>
      <c r="C29" t="s">
        <v>13</v>
      </c>
      <c r="D29" t="s">
        <v>18</v>
      </c>
      <c r="E29" s="1">
        <v>609</v>
      </c>
      <c r="F29" s="1">
        <v>2026</v>
      </c>
      <c r="G29" t="s">
        <v>11</v>
      </c>
      <c r="H29" s="2">
        <v>46128.708935185183</v>
      </c>
      <c r="I29" s="9">
        <f t="shared" si="0"/>
        <v>46134</v>
      </c>
      <c r="J29" s="2" t="str">
        <f t="shared" si="1"/>
        <v/>
      </c>
      <c r="L29" s="2" t="str">
        <f t="shared" si="2"/>
        <v/>
      </c>
      <c r="N29" s="10" t="str">
        <f t="shared" si="3"/>
        <v/>
      </c>
      <c r="O29" s="2">
        <f t="shared" si="4"/>
        <v>46134</v>
      </c>
      <c r="P29" s="2">
        <v>46140.637719907405</v>
      </c>
      <c r="Q29" s="2">
        <f t="shared" si="5"/>
        <v>46141</v>
      </c>
      <c r="R29" s="2">
        <v>46140.638148148151</v>
      </c>
      <c r="S29">
        <f t="shared" si="6"/>
        <v>0</v>
      </c>
      <c r="T29" s="2">
        <f t="shared" si="7"/>
        <v>46141</v>
      </c>
      <c r="U29" t="str">
        <f t="shared" si="8"/>
        <v>NO PRAZO</v>
      </c>
      <c r="Z29" s="5" t="s">
        <v>52</v>
      </c>
    </row>
    <row r="30" spans="1:26" hidden="1">
      <c r="A30" s="1">
        <v>22191</v>
      </c>
      <c r="B30" t="s">
        <v>17</v>
      </c>
      <c r="C30" t="s">
        <v>13</v>
      </c>
      <c r="D30" t="s">
        <v>18</v>
      </c>
      <c r="E30" s="1">
        <v>597</v>
      </c>
      <c r="F30" s="1">
        <v>2026</v>
      </c>
      <c r="G30" t="s">
        <v>11</v>
      </c>
      <c r="H30" s="2">
        <v>46127.417222222219</v>
      </c>
      <c r="I30" s="9">
        <f t="shared" si="0"/>
        <v>46132</v>
      </c>
      <c r="J30" s="2" t="str">
        <f t="shared" si="1"/>
        <v/>
      </c>
      <c r="L30" s="2" t="str">
        <f t="shared" si="2"/>
        <v/>
      </c>
      <c r="N30" s="10" t="str">
        <f t="shared" si="3"/>
        <v/>
      </c>
      <c r="O30" s="2">
        <f t="shared" si="4"/>
        <v>46132</v>
      </c>
      <c r="P30" s="2">
        <v>46134.700694444444</v>
      </c>
      <c r="Q30" s="2">
        <f t="shared" si="5"/>
        <v>46140</v>
      </c>
      <c r="R30" s="2">
        <v>46134.700914351852</v>
      </c>
      <c r="S30">
        <f t="shared" si="6"/>
        <v>0</v>
      </c>
      <c r="T30" s="2">
        <f t="shared" si="7"/>
        <v>46140</v>
      </c>
      <c r="U30" t="str">
        <f t="shared" si="8"/>
        <v>NO PRAZO</v>
      </c>
      <c r="Z30" s="5" t="s">
        <v>53</v>
      </c>
    </row>
    <row r="31" spans="1:26" hidden="1">
      <c r="A31" s="1">
        <v>22180</v>
      </c>
      <c r="B31" t="s">
        <v>17</v>
      </c>
      <c r="C31" t="s">
        <v>13</v>
      </c>
      <c r="D31" t="s">
        <v>18</v>
      </c>
      <c r="E31" s="1">
        <v>586</v>
      </c>
      <c r="F31" s="1">
        <v>2026</v>
      </c>
      <c r="G31" t="s">
        <v>11</v>
      </c>
      <c r="H31" s="2">
        <v>46126.458865740744</v>
      </c>
      <c r="I31" s="9">
        <f t="shared" si="0"/>
        <v>46129</v>
      </c>
      <c r="J31" s="2" t="str">
        <f t="shared" si="1"/>
        <v/>
      </c>
      <c r="L31" s="2" t="str">
        <f t="shared" si="2"/>
        <v/>
      </c>
      <c r="N31" s="10" t="str">
        <f t="shared" si="3"/>
        <v/>
      </c>
      <c r="O31" s="2">
        <f t="shared" si="4"/>
        <v>46129</v>
      </c>
      <c r="P31" s="2">
        <v>46127.638472222221</v>
      </c>
      <c r="Q31" s="2">
        <f t="shared" si="5"/>
        <v>46139</v>
      </c>
      <c r="R31" s="2">
        <v>46129.374988425923</v>
      </c>
      <c r="S31">
        <f t="shared" si="6"/>
        <v>0</v>
      </c>
      <c r="T31" s="2">
        <f t="shared" si="7"/>
        <v>46139</v>
      </c>
      <c r="U31" t="str">
        <f t="shared" si="8"/>
        <v>NO PRAZO</v>
      </c>
      <c r="Z31" s="5" t="s">
        <v>54</v>
      </c>
    </row>
    <row r="32" spans="1:26">
      <c r="A32" s="1">
        <v>22178</v>
      </c>
      <c r="B32" t="s">
        <v>23</v>
      </c>
      <c r="C32" t="s">
        <v>13</v>
      </c>
      <c r="D32" t="s">
        <v>16</v>
      </c>
      <c r="E32" s="1">
        <v>584</v>
      </c>
      <c r="F32" s="1">
        <v>2026</v>
      </c>
      <c r="G32" t="s">
        <v>11</v>
      </c>
      <c r="H32" s="2">
        <v>46126.458865740744</v>
      </c>
      <c r="I32" s="9">
        <f t="shared" si="0"/>
        <v>46127</v>
      </c>
      <c r="J32" s="2" t="str">
        <f t="shared" si="1"/>
        <v/>
      </c>
      <c r="L32" s="2" t="str">
        <f t="shared" si="2"/>
        <v/>
      </c>
      <c r="N32" s="10" t="str">
        <f t="shared" si="3"/>
        <v/>
      </c>
      <c r="O32" s="2">
        <f t="shared" si="4"/>
        <v>46127</v>
      </c>
      <c r="P32" s="2">
        <v>46129.363703703704</v>
      </c>
      <c r="Q32" s="2">
        <f t="shared" si="5"/>
        <v>46134</v>
      </c>
      <c r="R32" s="2">
        <v>46136.53496527778</v>
      </c>
      <c r="S32">
        <f t="shared" si="6"/>
        <v>2</v>
      </c>
      <c r="T32" s="2">
        <f t="shared" si="7"/>
        <v>46134</v>
      </c>
      <c r="U32" t="str">
        <f t="shared" si="8"/>
        <v>ATRASO</v>
      </c>
      <c r="Z32" s="5" t="s">
        <v>55</v>
      </c>
    </row>
    <row r="33" spans="1:26" hidden="1">
      <c r="A33" s="1">
        <v>22176</v>
      </c>
      <c r="B33" t="s">
        <v>12</v>
      </c>
      <c r="C33" t="s">
        <v>13</v>
      </c>
      <c r="D33" t="s">
        <v>14</v>
      </c>
      <c r="E33" s="1">
        <v>582</v>
      </c>
      <c r="F33" s="1">
        <v>2026</v>
      </c>
      <c r="G33" t="s">
        <v>11</v>
      </c>
      <c r="H33" s="2">
        <v>46126.417175925926</v>
      </c>
      <c r="I33" s="9">
        <f t="shared" si="0"/>
        <v>46127</v>
      </c>
      <c r="J33" s="2" t="str">
        <f t="shared" si="1"/>
        <v/>
      </c>
      <c r="L33" s="2" t="str">
        <f t="shared" si="2"/>
        <v/>
      </c>
      <c r="N33" s="10" t="str">
        <f t="shared" si="3"/>
        <v/>
      </c>
      <c r="O33" s="2">
        <f t="shared" si="4"/>
        <v>46127</v>
      </c>
      <c r="P33" s="2">
        <v>46127.470451388886</v>
      </c>
      <c r="Q33" s="2">
        <f t="shared" si="5"/>
        <v>46128</v>
      </c>
      <c r="R33" s="2">
        <v>46127.471446759257</v>
      </c>
      <c r="S33">
        <f t="shared" si="6"/>
        <v>0</v>
      </c>
      <c r="T33" s="2">
        <f t="shared" si="7"/>
        <v>46128</v>
      </c>
      <c r="U33" t="str">
        <f t="shared" si="8"/>
        <v>NO PRAZO</v>
      </c>
      <c r="Z33" s="5" t="s">
        <v>56</v>
      </c>
    </row>
    <row r="34" spans="1:26" hidden="1">
      <c r="A34" s="1">
        <v>22171</v>
      </c>
      <c r="B34" t="s">
        <v>23</v>
      </c>
      <c r="C34" t="s">
        <v>13</v>
      </c>
      <c r="D34" t="s">
        <v>18</v>
      </c>
      <c r="E34" s="1">
        <v>577</v>
      </c>
      <c r="F34" s="1">
        <v>2026</v>
      </c>
      <c r="G34" t="s">
        <v>11</v>
      </c>
      <c r="H34" s="2">
        <v>46125.583807870367</v>
      </c>
      <c r="I34" s="9">
        <f t="shared" ref="I34:I65" si="9">IF(OR(D34="ORIENTAÇÃO",D34="BUG IMPEDITIVO",D34="BUG NÃO IMPEDITIVO"),WORKDAY(H34,1,Z$2:Z$500),IF(OR(D34="MELHORIA PEQUENA",D34="MELHORIA MÉDIA"),WORKDAY(H34,3,Z$2:Z$500),""))</f>
        <v>46128</v>
      </c>
      <c r="J34" s="2" t="str">
        <f t="shared" si="1"/>
        <v/>
      </c>
      <c r="L34" s="2" t="str">
        <f t="shared" si="2"/>
        <v/>
      </c>
      <c r="N34" s="10" t="str">
        <f t="shared" si="3"/>
        <v/>
      </c>
      <c r="O34" s="2">
        <f t="shared" si="4"/>
        <v>46128</v>
      </c>
      <c r="P34" s="2">
        <v>46134.706111111111</v>
      </c>
      <c r="Q34" s="2">
        <f t="shared" si="5"/>
        <v>46136</v>
      </c>
      <c r="R34" s="2">
        <v>46134.706631944442</v>
      </c>
      <c r="S34">
        <f t="shared" si="6"/>
        <v>0</v>
      </c>
      <c r="T34" s="2">
        <f t="shared" si="7"/>
        <v>46136</v>
      </c>
      <c r="U34" t="str">
        <f t="shared" si="8"/>
        <v>NO PRAZO</v>
      </c>
      <c r="Z34" s="5" t="s">
        <v>57</v>
      </c>
    </row>
    <row r="35" spans="1:26">
      <c r="A35" s="1">
        <v>22170</v>
      </c>
      <c r="B35" t="s">
        <v>20</v>
      </c>
      <c r="C35" t="s">
        <v>13</v>
      </c>
      <c r="D35" t="s">
        <v>16</v>
      </c>
      <c r="E35" s="1">
        <v>576</v>
      </c>
      <c r="F35" s="1">
        <v>2026</v>
      </c>
      <c r="G35" t="s">
        <v>11</v>
      </c>
      <c r="H35" s="2">
        <v>46125.583807870367</v>
      </c>
      <c r="I35" s="9">
        <f t="shared" si="9"/>
        <v>46126</v>
      </c>
      <c r="J35" s="2" t="str">
        <f t="shared" si="1"/>
        <v/>
      </c>
      <c r="L35" s="2" t="str">
        <f t="shared" si="2"/>
        <v/>
      </c>
      <c r="N35" s="10" t="str">
        <f t="shared" si="3"/>
        <v/>
      </c>
      <c r="O35" s="2">
        <f t="shared" si="4"/>
        <v>46126</v>
      </c>
      <c r="P35" s="2">
        <v>46128.695567129631</v>
      </c>
      <c r="Q35" s="2">
        <f t="shared" si="5"/>
        <v>46132</v>
      </c>
      <c r="R35" s="2">
        <v>46134.70689814815</v>
      </c>
      <c r="S35">
        <f t="shared" si="6"/>
        <v>2</v>
      </c>
      <c r="T35" s="2">
        <f t="shared" si="7"/>
        <v>46132</v>
      </c>
      <c r="U35" t="str">
        <f t="shared" si="8"/>
        <v>ATRASO</v>
      </c>
      <c r="Z35" s="5" t="s">
        <v>58</v>
      </c>
    </row>
    <row r="36" spans="1:26" hidden="1">
      <c r="A36" s="1">
        <v>22166</v>
      </c>
      <c r="B36" t="s">
        <v>17</v>
      </c>
      <c r="C36" t="s">
        <v>13</v>
      </c>
      <c r="D36" t="s">
        <v>18</v>
      </c>
      <c r="E36" s="1">
        <v>572</v>
      </c>
      <c r="F36" s="1">
        <v>2026</v>
      </c>
      <c r="G36" t="s">
        <v>11</v>
      </c>
      <c r="H36" s="2">
        <v>46125.500486111108</v>
      </c>
      <c r="I36" s="9">
        <f t="shared" si="9"/>
        <v>46128</v>
      </c>
      <c r="J36" s="2" t="str">
        <f t="shared" si="1"/>
        <v/>
      </c>
      <c r="L36" s="2" t="str">
        <f t="shared" si="2"/>
        <v/>
      </c>
      <c r="N36" s="10" t="str">
        <f t="shared" si="3"/>
        <v/>
      </c>
      <c r="O36" s="2">
        <f t="shared" si="4"/>
        <v>46128</v>
      </c>
      <c r="P36" s="2">
        <v>46126.505833333336</v>
      </c>
      <c r="Q36" s="2">
        <f t="shared" si="5"/>
        <v>46136</v>
      </c>
      <c r="R36" s="2">
        <v>46128.691840277781</v>
      </c>
      <c r="S36">
        <f t="shared" si="6"/>
        <v>0</v>
      </c>
      <c r="T36" s="2">
        <f t="shared" si="7"/>
        <v>46136</v>
      </c>
      <c r="U36" t="str">
        <f t="shared" si="8"/>
        <v>NO PRAZO</v>
      </c>
      <c r="Z36" s="5" t="s">
        <v>59</v>
      </c>
    </row>
    <row r="37" spans="1:26" hidden="1">
      <c r="A37" s="1">
        <v>22162</v>
      </c>
      <c r="B37" t="s">
        <v>17</v>
      </c>
      <c r="C37" t="s">
        <v>13</v>
      </c>
      <c r="D37" t="s">
        <v>18</v>
      </c>
      <c r="E37" s="1">
        <v>568</v>
      </c>
      <c r="F37" s="1">
        <v>2026</v>
      </c>
      <c r="G37" t="s">
        <v>11</v>
      </c>
      <c r="H37" s="2">
        <v>46122.667060185187</v>
      </c>
      <c r="I37" s="9">
        <f t="shared" si="9"/>
        <v>46127</v>
      </c>
      <c r="J37" s="2" t="str">
        <f t="shared" si="1"/>
        <v/>
      </c>
      <c r="L37" s="2" t="str">
        <f t="shared" si="2"/>
        <v/>
      </c>
      <c r="N37" s="10" t="str">
        <f t="shared" si="3"/>
        <v/>
      </c>
      <c r="O37" s="2">
        <f t="shared" si="4"/>
        <v>46127</v>
      </c>
      <c r="P37" s="2">
        <v>46125.517546296294</v>
      </c>
      <c r="Q37" s="2">
        <f t="shared" si="5"/>
        <v>46134</v>
      </c>
      <c r="R37" s="2">
        <v>46126.759918981479</v>
      </c>
      <c r="S37">
        <f t="shared" si="6"/>
        <v>0</v>
      </c>
      <c r="T37" s="2">
        <f t="shared" si="7"/>
        <v>46134</v>
      </c>
      <c r="U37" t="str">
        <f t="shared" si="8"/>
        <v>NO PRAZO</v>
      </c>
      <c r="Z37" s="5" t="s">
        <v>60</v>
      </c>
    </row>
    <row r="38" spans="1:26" hidden="1">
      <c r="A38" s="1">
        <v>22154</v>
      </c>
      <c r="B38" t="s">
        <v>20</v>
      </c>
      <c r="C38" t="s">
        <v>13</v>
      </c>
      <c r="D38" t="s">
        <v>18</v>
      </c>
      <c r="E38" s="1">
        <v>560</v>
      </c>
      <c r="F38" s="1">
        <v>2026</v>
      </c>
      <c r="G38" t="s">
        <v>11</v>
      </c>
      <c r="H38" s="2">
        <v>46121.625358796293</v>
      </c>
      <c r="I38" s="9">
        <f t="shared" si="9"/>
        <v>46126</v>
      </c>
      <c r="J38" s="2" t="str">
        <f t="shared" si="1"/>
        <v/>
      </c>
      <c r="L38" s="2" t="str">
        <f t="shared" si="2"/>
        <v/>
      </c>
      <c r="N38" s="10" t="str">
        <f t="shared" si="3"/>
        <v/>
      </c>
      <c r="O38" s="2">
        <f t="shared" si="4"/>
        <v>46126</v>
      </c>
      <c r="P38" s="2">
        <v>46125.672673611109</v>
      </c>
      <c r="Q38" s="2">
        <f t="shared" si="5"/>
        <v>46132</v>
      </c>
      <c r="R38" s="2">
        <v>46128.313587962963</v>
      </c>
      <c r="S38">
        <f t="shared" si="6"/>
        <v>0</v>
      </c>
      <c r="T38" s="2">
        <f t="shared" si="7"/>
        <v>46132</v>
      </c>
      <c r="U38" t="str">
        <f t="shared" si="8"/>
        <v>NO PRAZO</v>
      </c>
      <c r="Z38" s="5" t="s">
        <v>61</v>
      </c>
    </row>
    <row r="39" spans="1:26" hidden="1">
      <c r="A39" s="1">
        <v>22153</v>
      </c>
      <c r="B39" t="s">
        <v>12</v>
      </c>
      <c r="C39" t="s">
        <v>9</v>
      </c>
      <c r="D39" t="s">
        <v>10</v>
      </c>
      <c r="E39" s="1">
        <v>559</v>
      </c>
      <c r="F39" s="1">
        <v>2026</v>
      </c>
      <c r="G39" t="s">
        <v>11</v>
      </c>
      <c r="H39" s="2">
        <v>46121.583668981482</v>
      </c>
      <c r="I39" s="9">
        <f t="shared" si="9"/>
        <v>46122</v>
      </c>
      <c r="J39" s="2" t="str">
        <f t="shared" si="1"/>
        <v/>
      </c>
      <c r="L39" s="2" t="str">
        <f t="shared" si="2"/>
        <v/>
      </c>
      <c r="N39" s="10" t="str">
        <f t="shared" si="3"/>
        <v/>
      </c>
      <c r="O39" s="2">
        <f t="shared" si="4"/>
        <v>46122</v>
      </c>
      <c r="P39" s="2">
        <v>46122.538530092592</v>
      </c>
      <c r="Q39" s="2">
        <f t="shared" si="5"/>
        <v>46125</v>
      </c>
      <c r="R39" s="2">
        <v>46122.538645833331</v>
      </c>
      <c r="S39">
        <f t="shared" si="6"/>
        <v>0</v>
      </c>
      <c r="T39" s="2">
        <f t="shared" si="7"/>
        <v>46125</v>
      </c>
      <c r="U39" t="str">
        <f t="shared" si="8"/>
        <v>NO PRAZO</v>
      </c>
      <c r="Z39" s="5" t="s">
        <v>62</v>
      </c>
    </row>
    <row r="40" spans="1:26" hidden="1">
      <c r="A40" s="1">
        <v>22152</v>
      </c>
      <c r="B40" t="s">
        <v>20</v>
      </c>
      <c r="C40" t="s">
        <v>13</v>
      </c>
      <c r="D40" t="s">
        <v>18</v>
      </c>
      <c r="E40" s="1">
        <v>558</v>
      </c>
      <c r="F40" s="1">
        <v>2026</v>
      </c>
      <c r="G40" t="s">
        <v>11</v>
      </c>
      <c r="H40" s="2">
        <v>46121.583668981482</v>
      </c>
      <c r="I40" s="9">
        <f t="shared" si="9"/>
        <v>46126</v>
      </c>
      <c r="J40" s="2" t="str">
        <f t="shared" si="1"/>
        <v/>
      </c>
      <c r="L40" s="2" t="str">
        <f t="shared" si="2"/>
        <v/>
      </c>
      <c r="N40" s="10" t="str">
        <f t="shared" si="3"/>
        <v/>
      </c>
      <c r="O40" s="2">
        <f t="shared" si="4"/>
        <v>46126</v>
      </c>
      <c r="P40" s="2">
        <v>46128.384641203702</v>
      </c>
      <c r="Q40" s="2">
        <f t="shared" si="5"/>
        <v>46132</v>
      </c>
      <c r="R40" s="2">
        <v>46128.475289351853</v>
      </c>
      <c r="S40">
        <f t="shared" si="6"/>
        <v>0</v>
      </c>
      <c r="T40" s="2">
        <f t="shared" si="7"/>
        <v>46132</v>
      </c>
      <c r="U40" t="str">
        <f t="shared" si="8"/>
        <v>NO PRAZO</v>
      </c>
      <c r="Z40" s="5" t="s">
        <v>63</v>
      </c>
    </row>
    <row r="41" spans="1:26" hidden="1">
      <c r="A41" s="1">
        <v>22150</v>
      </c>
      <c r="B41" t="s">
        <v>24</v>
      </c>
      <c r="C41" t="s">
        <v>13</v>
      </c>
      <c r="D41" t="s">
        <v>18</v>
      </c>
      <c r="E41" s="1">
        <v>556</v>
      </c>
      <c r="F41" s="1">
        <v>2026</v>
      </c>
      <c r="G41" t="s">
        <v>11</v>
      </c>
      <c r="H41" s="2">
        <v>46121.432905092595</v>
      </c>
      <c r="I41" s="9">
        <f t="shared" si="9"/>
        <v>46126</v>
      </c>
      <c r="J41" s="2" t="str">
        <f t="shared" si="1"/>
        <v/>
      </c>
      <c r="L41" s="2" t="str">
        <f t="shared" si="2"/>
        <v/>
      </c>
      <c r="N41" s="10" t="str">
        <f t="shared" si="3"/>
        <v/>
      </c>
      <c r="O41" s="2">
        <f t="shared" si="4"/>
        <v>46126</v>
      </c>
      <c r="P41" s="2">
        <v>46122.345925925925</v>
      </c>
      <c r="Q41" s="2">
        <f t="shared" si="5"/>
        <v>46132</v>
      </c>
      <c r="R41" s="2">
        <v>46122.447013888886</v>
      </c>
      <c r="S41">
        <f t="shared" si="6"/>
        <v>0</v>
      </c>
      <c r="T41" s="2">
        <f t="shared" si="7"/>
        <v>46132</v>
      </c>
      <c r="U41" t="str">
        <f t="shared" si="8"/>
        <v>NO PRAZO</v>
      </c>
      <c r="Z41" s="5" t="s">
        <v>64</v>
      </c>
    </row>
    <row r="42" spans="1:26" hidden="1">
      <c r="A42" s="1">
        <v>22138</v>
      </c>
      <c r="B42" t="s">
        <v>19</v>
      </c>
      <c r="C42" t="s">
        <v>13</v>
      </c>
      <c r="D42" t="s">
        <v>16</v>
      </c>
      <c r="E42" s="1">
        <v>544</v>
      </c>
      <c r="F42" s="1">
        <v>2026</v>
      </c>
      <c r="G42" t="s">
        <v>11</v>
      </c>
      <c r="H42" s="2">
        <v>46119.666956018518</v>
      </c>
      <c r="I42" s="9">
        <f t="shared" si="9"/>
        <v>46120</v>
      </c>
      <c r="J42" s="2" t="str">
        <f t="shared" si="1"/>
        <v/>
      </c>
      <c r="L42" s="2" t="str">
        <f t="shared" si="2"/>
        <v/>
      </c>
      <c r="N42" s="10" t="str">
        <f t="shared" si="3"/>
        <v/>
      </c>
      <c r="O42" s="2">
        <f t="shared" si="4"/>
        <v>46120</v>
      </c>
      <c r="P42" s="2">
        <v>46126.764918981484</v>
      </c>
      <c r="Q42" s="2">
        <f t="shared" si="5"/>
        <v>46126</v>
      </c>
      <c r="R42" s="2">
        <v>46126.774293981478</v>
      </c>
      <c r="S42">
        <f t="shared" si="6"/>
        <v>0</v>
      </c>
      <c r="T42" s="2">
        <f t="shared" si="7"/>
        <v>46126</v>
      </c>
      <c r="U42" t="str">
        <f t="shared" si="8"/>
        <v>NO PRAZO</v>
      </c>
      <c r="Z42" s="5" t="s">
        <v>65</v>
      </c>
    </row>
    <row r="43" spans="1:26" hidden="1">
      <c r="A43" s="1">
        <v>22135</v>
      </c>
      <c r="B43" t="s">
        <v>20</v>
      </c>
      <c r="C43" t="s">
        <v>13</v>
      </c>
      <c r="D43" t="s">
        <v>18</v>
      </c>
      <c r="E43" s="1">
        <v>541</v>
      </c>
      <c r="F43" s="1">
        <v>2026</v>
      </c>
      <c r="G43" t="s">
        <v>11</v>
      </c>
      <c r="H43" s="2">
        <v>46119.500300925924</v>
      </c>
      <c r="I43" s="9">
        <f t="shared" si="9"/>
        <v>46122</v>
      </c>
      <c r="J43" s="2" t="str">
        <f t="shared" si="1"/>
        <v/>
      </c>
      <c r="L43" s="2" t="str">
        <f t="shared" si="2"/>
        <v/>
      </c>
      <c r="N43" s="10" t="str">
        <f t="shared" si="3"/>
        <v/>
      </c>
      <c r="O43" s="2">
        <f t="shared" si="4"/>
        <v>46122</v>
      </c>
      <c r="P43" s="2">
        <v>46122.396168981482</v>
      </c>
      <c r="Q43" s="2">
        <f t="shared" si="5"/>
        <v>46128</v>
      </c>
      <c r="R43" s="2">
        <v>46122.396898148145</v>
      </c>
      <c r="S43">
        <f t="shared" si="6"/>
        <v>0</v>
      </c>
      <c r="T43" s="2">
        <f t="shared" si="7"/>
        <v>46128</v>
      </c>
      <c r="U43" t="str">
        <f t="shared" si="8"/>
        <v>NO PRAZO</v>
      </c>
      <c r="Z43" s="5" t="s">
        <v>66</v>
      </c>
    </row>
    <row r="44" spans="1:26" hidden="1">
      <c r="A44" s="1">
        <v>22134</v>
      </c>
      <c r="B44" t="s">
        <v>19</v>
      </c>
      <c r="C44" t="s">
        <v>13</v>
      </c>
      <c r="D44" t="s">
        <v>16</v>
      </c>
      <c r="E44" s="1">
        <v>540</v>
      </c>
      <c r="F44" s="1">
        <v>2026</v>
      </c>
      <c r="G44" t="s">
        <v>11</v>
      </c>
      <c r="H44" s="2">
        <v>46119.500300925924</v>
      </c>
      <c r="I44" s="9">
        <f t="shared" si="9"/>
        <v>46120</v>
      </c>
      <c r="J44" s="2" t="str">
        <f t="shared" si="1"/>
        <v/>
      </c>
      <c r="L44" s="2" t="str">
        <f t="shared" si="2"/>
        <v/>
      </c>
      <c r="N44" s="10" t="str">
        <f t="shared" si="3"/>
        <v/>
      </c>
      <c r="O44" s="2">
        <f t="shared" si="4"/>
        <v>46120</v>
      </c>
      <c r="P44" s="2">
        <v>46122.395601851851</v>
      </c>
      <c r="Q44" s="2">
        <f t="shared" si="5"/>
        <v>46126</v>
      </c>
      <c r="R44" s="2">
        <v>46126.774143518516</v>
      </c>
      <c r="S44">
        <f t="shared" si="6"/>
        <v>0</v>
      </c>
      <c r="T44" s="2">
        <f t="shared" si="7"/>
        <v>46126</v>
      </c>
      <c r="U44" t="str">
        <f t="shared" si="8"/>
        <v>NO PRAZO</v>
      </c>
      <c r="Z44" s="5" t="s">
        <v>67</v>
      </c>
    </row>
    <row r="45" spans="1:26" hidden="1">
      <c r="A45" s="1">
        <v>22130</v>
      </c>
      <c r="B45" t="s">
        <v>17</v>
      </c>
      <c r="C45" t="s">
        <v>13</v>
      </c>
      <c r="D45" t="s">
        <v>16</v>
      </c>
      <c r="E45" s="1">
        <v>536</v>
      </c>
      <c r="F45" s="1">
        <v>2026</v>
      </c>
      <c r="G45" t="s">
        <v>11</v>
      </c>
      <c r="H45" s="2">
        <v>46118.666909722226</v>
      </c>
      <c r="I45" s="9">
        <f t="shared" si="9"/>
        <v>46119</v>
      </c>
      <c r="J45" s="2" t="str">
        <f t="shared" si="1"/>
        <v/>
      </c>
      <c r="L45" s="2" t="str">
        <f t="shared" si="2"/>
        <v/>
      </c>
      <c r="N45" s="10" t="str">
        <f t="shared" si="3"/>
        <v/>
      </c>
      <c r="O45" s="2">
        <f t="shared" si="4"/>
        <v>46119</v>
      </c>
      <c r="P45" s="2">
        <v>46122.702997685185</v>
      </c>
      <c r="Q45" s="2">
        <f t="shared" si="5"/>
        <v>46125</v>
      </c>
      <c r="R45" s="2">
        <v>46125.463495370372</v>
      </c>
      <c r="S45">
        <f t="shared" si="6"/>
        <v>0</v>
      </c>
      <c r="T45" s="2">
        <f t="shared" si="7"/>
        <v>46125</v>
      </c>
      <c r="U45" t="str">
        <f t="shared" si="8"/>
        <v>NO PRAZO</v>
      </c>
      <c r="Z45" s="5" t="s">
        <v>68</v>
      </c>
    </row>
    <row r="46" spans="1:26" hidden="1">
      <c r="A46" s="1">
        <v>22121</v>
      </c>
      <c r="B46" t="s">
        <v>20</v>
      </c>
      <c r="C46" t="s">
        <v>13</v>
      </c>
      <c r="D46" t="s">
        <v>14</v>
      </c>
      <c r="E46" s="1">
        <v>527</v>
      </c>
      <c r="F46" s="1">
        <v>2026</v>
      </c>
      <c r="G46" t="s">
        <v>11</v>
      </c>
      <c r="H46" s="2">
        <v>46118.375960648147</v>
      </c>
      <c r="I46" s="9">
        <f t="shared" si="9"/>
        <v>46119</v>
      </c>
      <c r="J46" s="2" t="str">
        <f t="shared" si="1"/>
        <v/>
      </c>
      <c r="L46" s="2" t="str">
        <f t="shared" si="2"/>
        <v/>
      </c>
      <c r="N46" s="10" t="str">
        <f t="shared" si="3"/>
        <v/>
      </c>
      <c r="O46" s="2">
        <f t="shared" si="4"/>
        <v>46119</v>
      </c>
      <c r="P46" s="2">
        <v>46119.416087962964</v>
      </c>
      <c r="Q46" s="2">
        <f t="shared" si="5"/>
        <v>46120</v>
      </c>
      <c r="R46" s="2">
        <v>46119.642488425925</v>
      </c>
      <c r="S46">
        <f t="shared" si="6"/>
        <v>0</v>
      </c>
      <c r="T46" s="2">
        <f t="shared" si="7"/>
        <v>46120</v>
      </c>
      <c r="U46" t="str">
        <f t="shared" si="8"/>
        <v>NO PRAZO</v>
      </c>
      <c r="Z46" s="5" t="s">
        <v>69</v>
      </c>
    </row>
    <row r="47" spans="1:26" hidden="1">
      <c r="A47" s="1">
        <v>22113</v>
      </c>
      <c r="B47" t="s">
        <v>17</v>
      </c>
      <c r="C47" t="s">
        <v>13</v>
      </c>
      <c r="D47" t="s">
        <v>18</v>
      </c>
      <c r="E47" s="1">
        <v>519</v>
      </c>
      <c r="F47" s="1">
        <v>2026</v>
      </c>
      <c r="G47" t="s">
        <v>11</v>
      </c>
      <c r="H47" s="2">
        <v>46114.459120370368</v>
      </c>
      <c r="I47" s="9">
        <f t="shared" si="9"/>
        <v>46120</v>
      </c>
      <c r="J47" s="2" t="str">
        <f t="shared" si="1"/>
        <v/>
      </c>
      <c r="L47" s="2" t="str">
        <f t="shared" si="2"/>
        <v/>
      </c>
      <c r="N47" s="10" t="str">
        <f t="shared" si="3"/>
        <v/>
      </c>
      <c r="O47" s="2">
        <f t="shared" si="4"/>
        <v>46120</v>
      </c>
      <c r="P47" s="2">
        <v>46119.682314814818</v>
      </c>
      <c r="Q47" s="2">
        <f t="shared" si="5"/>
        <v>46126</v>
      </c>
      <c r="R47" s="2">
        <v>46121.808923611112</v>
      </c>
      <c r="S47">
        <f t="shared" si="6"/>
        <v>0</v>
      </c>
      <c r="T47" s="2">
        <f t="shared" si="7"/>
        <v>46126</v>
      </c>
      <c r="U47" t="str">
        <f t="shared" si="8"/>
        <v>NO PRAZO</v>
      </c>
      <c r="Z47" s="5" t="s">
        <v>70</v>
      </c>
    </row>
    <row r="48" spans="1:26" hidden="1">
      <c r="A48" s="1">
        <v>22109</v>
      </c>
      <c r="B48" t="s">
        <v>17</v>
      </c>
      <c r="C48" t="s">
        <v>13</v>
      </c>
      <c r="D48" t="s">
        <v>16</v>
      </c>
      <c r="E48" s="1">
        <v>515</v>
      </c>
      <c r="F48" s="1">
        <v>2026</v>
      </c>
      <c r="G48" t="s">
        <v>11</v>
      </c>
      <c r="H48" s="2">
        <v>46114.375775462962</v>
      </c>
      <c r="I48" s="9">
        <f t="shared" si="9"/>
        <v>46118</v>
      </c>
      <c r="J48" s="2" t="str">
        <f t="shared" si="1"/>
        <v/>
      </c>
      <c r="L48" s="2" t="str">
        <f t="shared" si="2"/>
        <v/>
      </c>
      <c r="N48" s="10" t="str">
        <f t="shared" si="3"/>
        <v/>
      </c>
      <c r="O48" s="2">
        <f t="shared" si="4"/>
        <v>46118</v>
      </c>
      <c r="P48" s="2">
        <v>46119.376261574071</v>
      </c>
      <c r="Q48" s="2">
        <f t="shared" si="5"/>
        <v>46122</v>
      </c>
      <c r="R48" s="2">
        <v>46121.446377314816</v>
      </c>
      <c r="S48">
        <f t="shared" si="6"/>
        <v>0</v>
      </c>
      <c r="T48" s="2">
        <f t="shared" si="7"/>
        <v>46122</v>
      </c>
      <c r="U48" t="str">
        <f t="shared" si="8"/>
        <v>NO PRAZO</v>
      </c>
      <c r="Z48" s="5" t="s">
        <v>71</v>
      </c>
    </row>
    <row r="49" spans="1:26" hidden="1">
      <c r="A49" s="1">
        <v>22108</v>
      </c>
      <c r="B49" t="s">
        <v>19</v>
      </c>
      <c r="C49" t="s">
        <v>13</v>
      </c>
      <c r="D49" t="s">
        <v>16</v>
      </c>
      <c r="E49" s="1">
        <v>514</v>
      </c>
      <c r="F49" s="1">
        <v>2026</v>
      </c>
      <c r="G49" t="s">
        <v>11</v>
      </c>
      <c r="H49" s="2">
        <v>46113.750740740739</v>
      </c>
      <c r="I49" s="9">
        <f t="shared" si="9"/>
        <v>46114</v>
      </c>
      <c r="J49" s="2" t="str">
        <f t="shared" si="1"/>
        <v/>
      </c>
      <c r="L49" s="2" t="str">
        <f t="shared" si="2"/>
        <v/>
      </c>
      <c r="N49" s="10" t="str">
        <f t="shared" si="3"/>
        <v/>
      </c>
      <c r="O49" s="2">
        <f t="shared" si="4"/>
        <v>46114</v>
      </c>
      <c r="P49" s="2">
        <v>46114.647407407407</v>
      </c>
      <c r="Q49" s="2">
        <f t="shared" si="5"/>
        <v>46121</v>
      </c>
      <c r="R49" s="2">
        <v>46120.94971064815</v>
      </c>
      <c r="S49">
        <f t="shared" si="6"/>
        <v>0</v>
      </c>
      <c r="T49" s="2">
        <f t="shared" si="7"/>
        <v>46121</v>
      </c>
      <c r="U49" t="str">
        <f t="shared" si="8"/>
        <v>NO PRAZO</v>
      </c>
      <c r="Z49" s="5" t="s">
        <v>72</v>
      </c>
    </row>
    <row r="50" spans="1:26" hidden="1">
      <c r="A50" s="1">
        <v>22106</v>
      </c>
      <c r="B50" t="s">
        <v>23</v>
      </c>
      <c r="C50" t="s">
        <v>13</v>
      </c>
      <c r="D50" t="s">
        <v>14</v>
      </c>
      <c r="E50" s="1">
        <v>512</v>
      </c>
      <c r="F50" s="1">
        <v>2026</v>
      </c>
      <c r="G50" t="s">
        <v>11</v>
      </c>
      <c r="H50" s="2">
        <v>46113.667407407411</v>
      </c>
      <c r="I50" s="9">
        <f t="shared" si="9"/>
        <v>46114</v>
      </c>
      <c r="J50" s="2" t="str">
        <f t="shared" si="1"/>
        <v/>
      </c>
      <c r="L50" s="2" t="str">
        <f t="shared" si="2"/>
        <v/>
      </c>
      <c r="N50" s="10" t="str">
        <f t="shared" si="3"/>
        <v/>
      </c>
      <c r="O50" s="2">
        <f t="shared" si="4"/>
        <v>46114</v>
      </c>
      <c r="P50" s="2">
        <v>46118.440636574072</v>
      </c>
      <c r="Q50" s="2">
        <f t="shared" si="5"/>
        <v>46118</v>
      </c>
      <c r="R50" s="2">
        <v>46118.671018518522</v>
      </c>
      <c r="S50">
        <f t="shared" si="6"/>
        <v>0</v>
      </c>
      <c r="T50" s="2">
        <f t="shared" si="7"/>
        <v>46118</v>
      </c>
      <c r="U50" t="str">
        <f t="shared" si="8"/>
        <v>NO PRAZO</v>
      </c>
      <c r="Z50" s="4" t="s">
        <v>73</v>
      </c>
    </row>
    <row r="51" spans="1:26" hidden="1">
      <c r="A51" s="1">
        <v>22100</v>
      </c>
      <c r="B51" t="s">
        <v>15</v>
      </c>
      <c r="C51" t="s">
        <v>13</v>
      </c>
      <c r="D51" t="s">
        <v>18</v>
      </c>
      <c r="E51" s="1">
        <v>506</v>
      </c>
      <c r="F51" s="1">
        <v>2026</v>
      </c>
      <c r="G51" t="s">
        <v>11</v>
      </c>
      <c r="H51" s="2">
        <v>46113.484444444446</v>
      </c>
      <c r="I51" s="9">
        <f t="shared" si="9"/>
        <v>46119</v>
      </c>
      <c r="J51" s="2" t="str">
        <f t="shared" si="1"/>
        <v/>
      </c>
      <c r="L51" s="2" t="str">
        <f t="shared" si="2"/>
        <v/>
      </c>
      <c r="N51" s="10" t="str">
        <f t="shared" si="3"/>
        <v/>
      </c>
      <c r="O51" s="2">
        <f t="shared" si="4"/>
        <v>46119</v>
      </c>
      <c r="P51" s="2">
        <v>46113.485324074078</v>
      </c>
      <c r="Q51" s="2">
        <f t="shared" si="5"/>
        <v>46125</v>
      </c>
      <c r="R51" s="2">
        <v>46113.594155092593</v>
      </c>
      <c r="S51">
        <f t="shared" si="6"/>
        <v>0</v>
      </c>
      <c r="T51" s="2">
        <f t="shared" si="7"/>
        <v>46125</v>
      </c>
      <c r="U51" t="str">
        <f t="shared" si="8"/>
        <v>NO PRAZO</v>
      </c>
      <c r="Z51" s="5" t="s">
        <v>74</v>
      </c>
    </row>
    <row r="52" spans="1:26" hidden="1">
      <c r="A52" s="1">
        <v>22076</v>
      </c>
      <c r="B52" t="s">
        <v>24</v>
      </c>
      <c r="C52" t="s">
        <v>13</v>
      </c>
      <c r="D52" t="s">
        <v>18</v>
      </c>
      <c r="E52" s="1">
        <v>482</v>
      </c>
      <c r="F52" s="1">
        <v>2026</v>
      </c>
      <c r="G52" t="s">
        <v>11</v>
      </c>
      <c r="H52" s="2">
        <v>46107.611041666663</v>
      </c>
      <c r="I52" s="9">
        <f t="shared" si="9"/>
        <v>46112</v>
      </c>
      <c r="J52" s="2" t="str">
        <f t="shared" si="1"/>
        <v/>
      </c>
      <c r="L52" s="2" t="str">
        <f t="shared" si="2"/>
        <v/>
      </c>
      <c r="N52" s="10" t="str">
        <f t="shared" si="3"/>
        <v/>
      </c>
      <c r="O52" s="2">
        <f t="shared" si="4"/>
        <v>46112</v>
      </c>
      <c r="P52" s="2">
        <v>46107.61346064815</v>
      </c>
      <c r="Q52" s="2">
        <f t="shared" si="5"/>
        <v>46119</v>
      </c>
      <c r="R52" s="2">
        <v>46108.492314814815</v>
      </c>
      <c r="S52">
        <f t="shared" si="6"/>
        <v>0</v>
      </c>
      <c r="T52" s="2">
        <f t="shared" si="7"/>
        <v>46119</v>
      </c>
      <c r="U52" t="str">
        <f t="shared" si="8"/>
        <v>NO PRAZO</v>
      </c>
      <c r="Z52" s="5" t="s">
        <v>75</v>
      </c>
    </row>
    <row r="53" spans="1:26" hidden="1">
      <c r="A53" s="1">
        <v>22072</v>
      </c>
      <c r="B53" t="s">
        <v>17</v>
      </c>
      <c r="C53" t="s">
        <v>9</v>
      </c>
      <c r="D53" t="s">
        <v>16</v>
      </c>
      <c r="E53" s="1">
        <v>478</v>
      </c>
      <c r="F53" s="1">
        <v>2026</v>
      </c>
      <c r="G53" t="s">
        <v>11</v>
      </c>
      <c r="H53" s="2">
        <v>46107.417187500003</v>
      </c>
      <c r="I53" s="9">
        <f t="shared" si="9"/>
        <v>46108</v>
      </c>
      <c r="J53" s="2" t="str">
        <f t="shared" si="1"/>
        <v/>
      </c>
      <c r="L53" s="2" t="str">
        <f t="shared" si="2"/>
        <v/>
      </c>
      <c r="N53" s="10" t="str">
        <f t="shared" si="3"/>
        <v/>
      </c>
      <c r="O53" s="2">
        <f t="shared" si="4"/>
        <v>46108</v>
      </c>
      <c r="P53" s="2">
        <v>46112.606354166666</v>
      </c>
      <c r="Q53" s="2">
        <f t="shared" si="5"/>
        <v>46114</v>
      </c>
      <c r="R53" s="2">
        <v>46113.605729166666</v>
      </c>
      <c r="S53">
        <f t="shared" si="6"/>
        <v>0</v>
      </c>
      <c r="T53" s="2">
        <f t="shared" si="7"/>
        <v>46114</v>
      </c>
      <c r="U53" t="str">
        <f t="shared" si="8"/>
        <v>NO PRAZO</v>
      </c>
      <c r="Z53" s="5" t="s">
        <v>76</v>
      </c>
    </row>
    <row r="54" spans="1:26" hidden="1">
      <c r="A54" s="1">
        <v>22070</v>
      </c>
      <c r="B54" t="s">
        <v>20</v>
      </c>
      <c r="C54" t="s">
        <v>13</v>
      </c>
      <c r="D54" t="s">
        <v>18</v>
      </c>
      <c r="E54" s="1">
        <v>476</v>
      </c>
      <c r="F54" s="1">
        <v>2026</v>
      </c>
      <c r="G54" t="s">
        <v>11</v>
      </c>
      <c r="H54" s="2">
        <v>46106.708831018521</v>
      </c>
      <c r="I54" s="9">
        <f t="shared" si="9"/>
        <v>46111</v>
      </c>
      <c r="J54" s="2" t="str">
        <f t="shared" si="1"/>
        <v/>
      </c>
      <c r="L54" s="2" t="str">
        <f t="shared" si="2"/>
        <v/>
      </c>
      <c r="N54" s="10" t="str">
        <f t="shared" si="3"/>
        <v/>
      </c>
      <c r="O54" s="2">
        <f t="shared" si="4"/>
        <v>46111</v>
      </c>
      <c r="P54" s="2">
        <v>46113.666342592594</v>
      </c>
      <c r="Q54" s="2">
        <f t="shared" si="5"/>
        <v>46118</v>
      </c>
      <c r="R54" s="2">
        <v>46113.670289351852</v>
      </c>
      <c r="S54">
        <f t="shared" si="6"/>
        <v>0</v>
      </c>
      <c r="T54" s="2">
        <f t="shared" si="7"/>
        <v>46118</v>
      </c>
      <c r="U54" t="str">
        <f t="shared" si="8"/>
        <v>NO PRAZO</v>
      </c>
      <c r="Z54" s="5" t="s">
        <v>77</v>
      </c>
    </row>
    <row r="55" spans="1:26" hidden="1">
      <c r="A55" s="1">
        <v>22063</v>
      </c>
      <c r="B55" t="s">
        <v>20</v>
      </c>
      <c r="C55" t="s">
        <v>13</v>
      </c>
      <c r="D55" t="s">
        <v>18</v>
      </c>
      <c r="E55" s="1">
        <v>469</v>
      </c>
      <c r="F55" s="1">
        <v>2026</v>
      </c>
      <c r="G55" t="s">
        <v>11</v>
      </c>
      <c r="H55" s="2">
        <v>46106.583831018521</v>
      </c>
      <c r="I55" s="9">
        <f t="shared" si="9"/>
        <v>46111</v>
      </c>
      <c r="J55" s="2" t="str">
        <f t="shared" si="1"/>
        <v/>
      </c>
      <c r="L55" s="2" t="str">
        <f t="shared" si="2"/>
        <v/>
      </c>
      <c r="N55" s="10" t="str">
        <f t="shared" si="3"/>
        <v/>
      </c>
      <c r="O55" s="2">
        <f t="shared" si="4"/>
        <v>46111</v>
      </c>
      <c r="P55" s="2">
        <v>46112.499548611115</v>
      </c>
      <c r="Q55" s="2">
        <f t="shared" si="5"/>
        <v>46118</v>
      </c>
      <c r="R55" s="2">
        <v>46113.552199074074</v>
      </c>
      <c r="S55">
        <f t="shared" si="6"/>
        <v>0</v>
      </c>
      <c r="T55" s="2">
        <f t="shared" si="7"/>
        <v>46118</v>
      </c>
      <c r="U55" t="str">
        <f t="shared" si="8"/>
        <v>NO PRAZO</v>
      </c>
      <c r="Z55" s="5" t="s">
        <v>78</v>
      </c>
    </row>
    <row r="56" spans="1:26" hidden="1">
      <c r="A56" s="1">
        <v>22051</v>
      </c>
      <c r="B56" t="s">
        <v>17</v>
      </c>
      <c r="C56" t="s">
        <v>13</v>
      </c>
      <c r="D56" t="s">
        <v>18</v>
      </c>
      <c r="E56" s="1">
        <v>457</v>
      </c>
      <c r="F56" s="1">
        <v>2026</v>
      </c>
      <c r="G56" t="s">
        <v>11</v>
      </c>
      <c r="H56" s="2">
        <v>46105.625451388885</v>
      </c>
      <c r="I56" s="9">
        <f t="shared" si="9"/>
        <v>46108</v>
      </c>
      <c r="J56" s="2" t="str">
        <f t="shared" si="1"/>
        <v/>
      </c>
      <c r="L56" s="2" t="str">
        <f t="shared" si="2"/>
        <v/>
      </c>
      <c r="N56" s="10" t="str">
        <f t="shared" si="3"/>
        <v/>
      </c>
      <c r="O56" s="2">
        <f t="shared" si="4"/>
        <v>46108</v>
      </c>
      <c r="P56" s="2">
        <v>46106.410671296297</v>
      </c>
      <c r="Q56" s="2">
        <f t="shared" si="5"/>
        <v>46114</v>
      </c>
      <c r="R56" s="2">
        <v>46106.63853009259</v>
      </c>
      <c r="S56">
        <f t="shared" si="6"/>
        <v>0</v>
      </c>
      <c r="T56" s="2">
        <f t="shared" si="7"/>
        <v>46114</v>
      </c>
      <c r="U56" t="str">
        <f t="shared" si="8"/>
        <v>NO PRAZO</v>
      </c>
      <c r="Z56" s="5" t="s">
        <v>79</v>
      </c>
    </row>
    <row r="57" spans="1:26" hidden="1">
      <c r="A57" s="1">
        <v>22050</v>
      </c>
      <c r="B57" t="s">
        <v>20</v>
      </c>
      <c r="C57" t="s">
        <v>13</v>
      </c>
      <c r="D57" t="s">
        <v>10</v>
      </c>
      <c r="E57" s="1">
        <v>456</v>
      </c>
      <c r="F57" s="1">
        <v>2026</v>
      </c>
      <c r="G57" t="s">
        <v>11</v>
      </c>
      <c r="H57" s="2">
        <v>46105.500439814816</v>
      </c>
      <c r="I57" s="9">
        <f t="shared" si="9"/>
        <v>46106</v>
      </c>
      <c r="J57" s="2" t="str">
        <f t="shared" si="1"/>
        <v/>
      </c>
      <c r="L57" s="2" t="str">
        <f t="shared" si="2"/>
        <v/>
      </c>
      <c r="N57" s="10" t="str">
        <f t="shared" si="3"/>
        <v/>
      </c>
      <c r="O57" s="2">
        <f t="shared" si="4"/>
        <v>46106</v>
      </c>
      <c r="P57" s="2">
        <v>46107.48982638889</v>
      </c>
      <c r="Q57" s="2">
        <f t="shared" si="5"/>
        <v>46107</v>
      </c>
      <c r="R57" s="2">
        <v>46107.498344907406</v>
      </c>
      <c r="S57">
        <f t="shared" si="6"/>
        <v>0</v>
      </c>
      <c r="T57" s="2">
        <f t="shared" si="7"/>
        <v>46107</v>
      </c>
      <c r="U57" t="str">
        <f t="shared" si="8"/>
        <v>NO PRAZO</v>
      </c>
      <c r="Z57" s="5" t="s">
        <v>80</v>
      </c>
    </row>
    <row r="58" spans="1:26" hidden="1">
      <c r="A58" s="1">
        <v>22049</v>
      </c>
      <c r="B58" t="s">
        <v>17</v>
      </c>
      <c r="C58" t="s">
        <v>9</v>
      </c>
      <c r="D58" t="s">
        <v>16</v>
      </c>
      <c r="E58" s="1">
        <v>455</v>
      </c>
      <c r="F58" s="1">
        <v>2026</v>
      </c>
      <c r="G58" t="s">
        <v>11</v>
      </c>
      <c r="H58" s="2">
        <v>46105.500439814816</v>
      </c>
      <c r="I58" s="9">
        <f t="shared" si="9"/>
        <v>46106</v>
      </c>
      <c r="J58" s="2" t="str">
        <f t="shared" si="1"/>
        <v/>
      </c>
      <c r="L58" s="2" t="str">
        <f t="shared" si="2"/>
        <v/>
      </c>
      <c r="N58" s="10" t="str">
        <f t="shared" si="3"/>
        <v/>
      </c>
      <c r="O58" s="2">
        <f t="shared" si="4"/>
        <v>46106</v>
      </c>
      <c r="P58" s="2">
        <v>46107.6799537037</v>
      </c>
      <c r="Q58" s="2">
        <f t="shared" si="5"/>
        <v>46112</v>
      </c>
      <c r="R58" s="2">
        <v>46107.680671296293</v>
      </c>
      <c r="S58">
        <f t="shared" si="6"/>
        <v>0</v>
      </c>
      <c r="T58" s="2">
        <f t="shared" si="7"/>
        <v>46112</v>
      </c>
      <c r="U58" t="str">
        <f t="shared" si="8"/>
        <v>NO PRAZO</v>
      </c>
      <c r="Z58" s="5" t="s">
        <v>81</v>
      </c>
    </row>
    <row r="59" spans="1:26" hidden="1">
      <c r="A59" s="1">
        <v>22047</v>
      </c>
      <c r="B59" t="s">
        <v>20</v>
      </c>
      <c r="C59" t="s">
        <v>13</v>
      </c>
      <c r="D59" t="s">
        <v>18</v>
      </c>
      <c r="E59" s="1">
        <v>453</v>
      </c>
      <c r="F59" s="1">
        <v>2026</v>
      </c>
      <c r="G59" t="s">
        <v>11</v>
      </c>
      <c r="H59" s="2">
        <v>46105.417997685188</v>
      </c>
      <c r="I59" s="9">
        <f t="shared" si="9"/>
        <v>46108</v>
      </c>
      <c r="J59" s="2" t="str">
        <f t="shared" si="1"/>
        <v/>
      </c>
      <c r="L59" s="2" t="str">
        <f t="shared" si="2"/>
        <v/>
      </c>
      <c r="N59" s="10" t="str">
        <f t="shared" si="3"/>
        <v/>
      </c>
      <c r="O59" s="2">
        <f t="shared" si="4"/>
        <v>46108</v>
      </c>
      <c r="P59" s="2">
        <v>46105.419571759259</v>
      </c>
      <c r="Q59" s="2">
        <f t="shared" si="5"/>
        <v>46114</v>
      </c>
      <c r="R59" s="2">
        <v>46105.420763888891</v>
      </c>
      <c r="S59">
        <f t="shared" si="6"/>
        <v>0</v>
      </c>
      <c r="T59" s="2">
        <f t="shared" si="7"/>
        <v>46114</v>
      </c>
      <c r="U59" t="str">
        <f t="shared" si="8"/>
        <v>NO PRAZO</v>
      </c>
      <c r="Z59" s="5" t="s">
        <v>82</v>
      </c>
    </row>
    <row r="60" spans="1:26" hidden="1">
      <c r="A60" s="1">
        <v>22042</v>
      </c>
      <c r="B60" t="s">
        <v>24</v>
      </c>
      <c r="C60" t="s">
        <v>13</v>
      </c>
      <c r="D60" t="s">
        <v>18</v>
      </c>
      <c r="E60" s="1">
        <v>448</v>
      </c>
      <c r="F60" s="1">
        <v>2026</v>
      </c>
      <c r="G60" t="s">
        <v>11</v>
      </c>
      <c r="H60" s="2">
        <v>46104.515729166669</v>
      </c>
      <c r="I60" s="9">
        <f t="shared" si="9"/>
        <v>46107</v>
      </c>
      <c r="J60" s="2" t="str">
        <f t="shared" si="1"/>
        <v/>
      </c>
      <c r="L60" s="2" t="str">
        <f t="shared" si="2"/>
        <v/>
      </c>
      <c r="N60" s="10" t="str">
        <f t="shared" si="3"/>
        <v/>
      </c>
      <c r="O60" s="2">
        <f t="shared" si="4"/>
        <v>46107</v>
      </c>
      <c r="P60" s="2">
        <v>46105.429212962961</v>
      </c>
      <c r="Q60" s="2">
        <f t="shared" si="5"/>
        <v>46113</v>
      </c>
      <c r="R60" s="2">
        <v>46105.493877314817</v>
      </c>
      <c r="S60">
        <f t="shared" si="6"/>
        <v>0</v>
      </c>
      <c r="T60" s="2">
        <f t="shared" si="7"/>
        <v>46113</v>
      </c>
      <c r="U60" t="str">
        <f t="shared" si="8"/>
        <v>NO PRAZO</v>
      </c>
      <c r="Z60" s="5" t="s">
        <v>83</v>
      </c>
    </row>
    <row r="61" spans="1:26" hidden="1">
      <c r="A61" s="1">
        <v>22041</v>
      </c>
      <c r="B61" t="s">
        <v>24</v>
      </c>
      <c r="C61" t="s">
        <v>13</v>
      </c>
      <c r="D61" t="s">
        <v>10</v>
      </c>
      <c r="E61" s="1">
        <v>447</v>
      </c>
      <c r="F61" s="1">
        <v>2026</v>
      </c>
      <c r="G61" t="s">
        <v>11</v>
      </c>
      <c r="H61" s="2">
        <v>46104.458738425928</v>
      </c>
      <c r="I61" s="9">
        <f t="shared" si="9"/>
        <v>46105</v>
      </c>
      <c r="J61" s="2" t="str">
        <f t="shared" si="1"/>
        <v/>
      </c>
      <c r="L61" s="2" t="str">
        <f t="shared" si="2"/>
        <v/>
      </c>
      <c r="N61" s="10" t="str">
        <f t="shared" si="3"/>
        <v/>
      </c>
      <c r="O61" s="2">
        <f t="shared" si="4"/>
        <v>46105</v>
      </c>
      <c r="P61" s="2">
        <v>46105.486331018517</v>
      </c>
      <c r="Q61" s="2">
        <f t="shared" si="5"/>
        <v>46106</v>
      </c>
      <c r="R61" s="2">
        <v>46105.48673611111</v>
      </c>
      <c r="S61">
        <f t="shared" si="6"/>
        <v>0</v>
      </c>
      <c r="T61" s="2">
        <f t="shared" si="7"/>
        <v>46106</v>
      </c>
      <c r="U61" t="str">
        <f t="shared" si="8"/>
        <v>NO PRAZO</v>
      </c>
      <c r="Z61" s="4" t="s">
        <v>84</v>
      </c>
    </row>
    <row r="62" spans="1:26" hidden="1">
      <c r="A62" s="1">
        <v>22040</v>
      </c>
      <c r="B62" t="s">
        <v>24</v>
      </c>
      <c r="C62" t="s">
        <v>13</v>
      </c>
      <c r="D62" t="s">
        <v>14</v>
      </c>
      <c r="E62" s="1">
        <v>446</v>
      </c>
      <c r="F62" s="1">
        <v>2026</v>
      </c>
      <c r="G62" t="s">
        <v>11</v>
      </c>
      <c r="H62" s="2">
        <v>46104.42260416667</v>
      </c>
      <c r="I62" s="9">
        <f t="shared" si="9"/>
        <v>46105</v>
      </c>
      <c r="J62" s="2" t="str">
        <f t="shared" si="1"/>
        <v/>
      </c>
      <c r="L62" s="2" t="str">
        <f t="shared" si="2"/>
        <v/>
      </c>
      <c r="N62" s="10" t="str">
        <f t="shared" si="3"/>
        <v/>
      </c>
      <c r="O62" s="2">
        <f t="shared" si="4"/>
        <v>46105</v>
      </c>
      <c r="P62" s="2">
        <v>46106.708124999997</v>
      </c>
      <c r="Q62" s="2">
        <f t="shared" si="5"/>
        <v>46106</v>
      </c>
      <c r="R62" s="2">
        <v>46106.712326388886</v>
      </c>
      <c r="S62">
        <f t="shared" si="6"/>
        <v>0</v>
      </c>
      <c r="T62" s="2">
        <f t="shared" si="7"/>
        <v>46106</v>
      </c>
      <c r="U62" t="str">
        <f t="shared" si="8"/>
        <v>NO PRAZO</v>
      </c>
      <c r="Z62" s="5" t="s">
        <v>85</v>
      </c>
    </row>
    <row r="63" spans="1:26" hidden="1">
      <c r="A63" s="1">
        <v>22029</v>
      </c>
      <c r="B63" t="s">
        <v>12</v>
      </c>
      <c r="C63" t="s">
        <v>13</v>
      </c>
      <c r="D63" t="s">
        <v>10</v>
      </c>
      <c r="E63" s="1">
        <v>435</v>
      </c>
      <c r="F63" s="1">
        <v>2026</v>
      </c>
      <c r="G63" t="s">
        <v>11</v>
      </c>
      <c r="H63" s="2">
        <v>46100.583587962959</v>
      </c>
      <c r="I63" s="9">
        <f t="shared" si="9"/>
        <v>46101</v>
      </c>
      <c r="J63" s="2" t="str">
        <f t="shared" si="1"/>
        <v/>
      </c>
      <c r="L63" s="2" t="str">
        <f t="shared" si="2"/>
        <v/>
      </c>
      <c r="N63" s="10" t="str">
        <f t="shared" si="3"/>
        <v/>
      </c>
      <c r="O63" s="2">
        <f t="shared" si="4"/>
        <v>46101</v>
      </c>
      <c r="P63" s="2">
        <v>46104.403645833336</v>
      </c>
      <c r="Q63" s="2">
        <f t="shared" si="5"/>
        <v>46104</v>
      </c>
      <c r="R63" s="2">
        <v>46104.419907407406</v>
      </c>
      <c r="S63">
        <f t="shared" si="6"/>
        <v>0</v>
      </c>
      <c r="T63" s="2">
        <f t="shared" si="7"/>
        <v>46104</v>
      </c>
      <c r="U63" t="str">
        <f t="shared" si="8"/>
        <v>NO PRAZO</v>
      </c>
      <c r="Z63" s="5" t="s">
        <v>86</v>
      </c>
    </row>
    <row r="64" spans="1:26" hidden="1">
      <c r="A64" s="1">
        <v>22028</v>
      </c>
      <c r="B64" t="s">
        <v>17</v>
      </c>
      <c r="C64" t="s">
        <v>13</v>
      </c>
      <c r="D64" t="s">
        <v>16</v>
      </c>
      <c r="E64" s="1">
        <v>434</v>
      </c>
      <c r="F64" s="1">
        <v>2026</v>
      </c>
      <c r="G64" t="s">
        <v>11</v>
      </c>
      <c r="H64" s="2">
        <v>46100.5002662037</v>
      </c>
      <c r="I64" s="9">
        <f t="shared" si="9"/>
        <v>46101</v>
      </c>
      <c r="J64" s="2" t="str">
        <f t="shared" si="1"/>
        <v/>
      </c>
      <c r="L64" s="2" t="str">
        <f t="shared" si="2"/>
        <v/>
      </c>
      <c r="N64" s="10" t="str">
        <f t="shared" si="3"/>
        <v/>
      </c>
      <c r="O64" s="2">
        <f t="shared" si="4"/>
        <v>46101</v>
      </c>
      <c r="P64" s="2">
        <v>46101.471018518518</v>
      </c>
      <c r="Q64" s="2">
        <f t="shared" si="5"/>
        <v>46107</v>
      </c>
      <c r="R64" s="2">
        <v>46101.629004629627</v>
      </c>
      <c r="S64">
        <f t="shared" si="6"/>
        <v>0</v>
      </c>
      <c r="T64" s="2">
        <f t="shared" si="7"/>
        <v>46107</v>
      </c>
      <c r="U64" t="str">
        <f t="shared" si="8"/>
        <v>NO PRAZO</v>
      </c>
      <c r="Z64" s="5" t="s">
        <v>87</v>
      </c>
    </row>
    <row r="65" spans="1:26" hidden="1">
      <c r="A65" s="1">
        <v>22027</v>
      </c>
      <c r="B65" t="s">
        <v>19</v>
      </c>
      <c r="C65" t="s">
        <v>13</v>
      </c>
      <c r="D65" t="s">
        <v>18</v>
      </c>
      <c r="E65" s="1">
        <v>433</v>
      </c>
      <c r="F65" s="1">
        <v>2026</v>
      </c>
      <c r="G65" t="s">
        <v>11</v>
      </c>
      <c r="H65" s="2">
        <v>46100.5002662037</v>
      </c>
      <c r="I65" s="9">
        <f t="shared" si="9"/>
        <v>46105</v>
      </c>
      <c r="J65" s="2" t="str">
        <f t="shared" si="1"/>
        <v/>
      </c>
      <c r="L65" s="2" t="str">
        <f t="shared" si="2"/>
        <v/>
      </c>
      <c r="N65" s="10" t="str">
        <f t="shared" si="3"/>
        <v/>
      </c>
      <c r="O65" s="2">
        <f t="shared" si="4"/>
        <v>46105</v>
      </c>
      <c r="P65" s="2">
        <v>46101.49596064815</v>
      </c>
      <c r="Q65" s="2">
        <f t="shared" si="5"/>
        <v>46111</v>
      </c>
      <c r="R65" s="2">
        <v>46106.430555555555</v>
      </c>
      <c r="S65">
        <f t="shared" si="6"/>
        <v>0</v>
      </c>
      <c r="T65" s="2">
        <f t="shared" si="7"/>
        <v>46111</v>
      </c>
      <c r="U65" t="str">
        <f t="shared" si="8"/>
        <v>NO PRAZO</v>
      </c>
      <c r="Z65" s="5" t="s">
        <v>88</v>
      </c>
    </row>
    <row r="66" spans="1:26" s="18" customFormat="1">
      <c r="A66" s="17">
        <v>22023</v>
      </c>
      <c r="B66" s="18" t="s">
        <v>8</v>
      </c>
      <c r="C66" s="18" t="s">
        <v>9</v>
      </c>
      <c r="D66" s="18" t="s">
        <v>16</v>
      </c>
      <c r="E66" s="17">
        <v>429</v>
      </c>
      <c r="F66" s="17">
        <v>2026</v>
      </c>
      <c r="G66" s="18" t="s">
        <v>11</v>
      </c>
      <c r="H66" s="19">
        <v>46100.458599537036</v>
      </c>
      <c r="I66" s="20">
        <f t="shared" ref="I66:I97" si="10">IF(OR(D66="ORIENTAÇÃO",D66="BUG IMPEDITIVO",D66="BUG NÃO IMPEDITIVO"),WORKDAY(H66,1,Z$2:Z$500),IF(OR(D66="MELHORIA PEQUENA",D66="MELHORIA MÉDIA"),WORKDAY(H66,3,Z$2:Z$500),""))</f>
        <v>46101</v>
      </c>
      <c r="J66" s="19" t="str">
        <f t="shared" si="1"/>
        <v/>
      </c>
      <c r="K66" s="19"/>
      <c r="L66" s="19" t="str">
        <f t="shared" si="2"/>
        <v/>
      </c>
      <c r="M66" s="19"/>
      <c r="N66" s="21" t="str">
        <f t="shared" si="3"/>
        <v/>
      </c>
      <c r="O66" s="19">
        <f t="shared" si="4"/>
        <v>46101</v>
      </c>
      <c r="P66" s="19">
        <v>46106.459930555553</v>
      </c>
      <c r="Q66" s="19">
        <f t="shared" si="5"/>
        <v>46107</v>
      </c>
      <c r="R66" s="19">
        <v>46118.526307870372</v>
      </c>
      <c r="S66" s="18">
        <f t="shared" si="6"/>
        <v>11</v>
      </c>
      <c r="T66" s="19">
        <f t="shared" si="7"/>
        <v>46107</v>
      </c>
      <c r="U66" s="18" t="str">
        <f t="shared" si="8"/>
        <v>ATRASO</v>
      </c>
      <c r="Z66" s="22" t="s">
        <v>89</v>
      </c>
    </row>
    <row r="67" spans="1:26" hidden="1">
      <c r="A67" s="1">
        <v>22017</v>
      </c>
      <c r="B67" t="s">
        <v>19</v>
      </c>
      <c r="C67" t="s">
        <v>13</v>
      </c>
      <c r="D67" t="s">
        <v>18</v>
      </c>
      <c r="E67" s="1">
        <v>423</v>
      </c>
      <c r="F67" s="1">
        <v>2026</v>
      </c>
      <c r="G67" t="s">
        <v>11</v>
      </c>
      <c r="H67" s="2">
        <v>46099.459155092591</v>
      </c>
      <c r="I67" s="9">
        <f t="shared" si="10"/>
        <v>46104</v>
      </c>
      <c r="J67" s="2" t="str">
        <f t="shared" ref="J67:J130" si="11">IF(K67&lt;&gt;"",I67,"")</f>
        <v/>
      </c>
      <c r="L67" s="2" t="str">
        <f t="shared" ref="L67:L130" si="12">IF(J67="","",WORKDAY(J67,14,Z$2:Z$500))</f>
        <v/>
      </c>
      <c r="N67" s="10" t="str">
        <f t="shared" ref="N67:N130" si="13">IF(M67="","",MAX(0,INT(M67)-INT(L67)))</f>
        <v/>
      </c>
      <c r="O67" s="2">
        <f t="shared" ref="O67:O130" si="14">IF(L67="",I67,WORKDAY(L67,1,Z$2:Z$500))</f>
        <v>46104</v>
      </c>
      <c r="P67" s="2">
        <v>46100.422893518517</v>
      </c>
      <c r="Q67" s="2">
        <f t="shared" ref="Q67:Q130" si="15">IF(OR(D67="ORIENTAÇÃO",D67="BUG IMPEDITIVO"),WORKDAY(O67,1,Z$2:Z$500),IF(OR(D67="MELHORIA PEQUENA",D67="BUG NÃO IMPEDITIVO"),WORKDAY(O67,4,Z$2:Z$500),IF(D67="MELHORIA MÉDIA",WORKDAY(O67,19,Z$2:Z$500),"")))</f>
        <v>46108</v>
      </c>
      <c r="R67" s="2">
        <v>46106.424884259257</v>
      </c>
      <c r="S67">
        <f t="shared" ref="S67:S130" si="16">MAX(0,INT(R67)-INT(Q67))</f>
        <v>0</v>
      </c>
      <c r="T67" s="2">
        <f t="shared" ref="T67:T130" si="17">IF(D67="MELHORIA MÉDIA",IF(K67&lt;&gt;"",WORKDAY(I67,34,$Z$2:$Z$1000),WORKDAY(I67,19,$Z$2:$Z$1000)),IF(OR(D67="MELHORIA PEQUENA",D67="BUG NÃO IMPEDITIVO"),WORKDAY(I67,4,$Z$2:$Z$1000),IF(OR(D67="ORIENTAÇÃO",D67="BUG IMPEDITIVO"),WORKDAY(I67,1,$Z$2:$Z$1000),"")))</f>
        <v>46108</v>
      </c>
      <c r="U67" t="str">
        <f t="shared" ref="U67:U130" si="18">IF(INT(R67)&lt;=INT(T67),"NO PRAZO","ATRASO")</f>
        <v>NO PRAZO</v>
      </c>
      <c r="Z67" s="5" t="s">
        <v>90</v>
      </c>
    </row>
    <row r="68" spans="1:26" hidden="1">
      <c r="A68" s="1">
        <v>22016</v>
      </c>
      <c r="B68" t="s">
        <v>20</v>
      </c>
      <c r="C68" t="s">
        <v>13</v>
      </c>
      <c r="D68" t="s">
        <v>10</v>
      </c>
      <c r="E68" s="1">
        <v>422</v>
      </c>
      <c r="F68" s="1">
        <v>2026</v>
      </c>
      <c r="G68" t="s">
        <v>11</v>
      </c>
      <c r="H68" s="2">
        <v>46099.375810185185</v>
      </c>
      <c r="I68" s="9">
        <f t="shared" si="10"/>
        <v>46100</v>
      </c>
      <c r="J68" s="2" t="str">
        <f t="shared" si="11"/>
        <v/>
      </c>
      <c r="L68" s="2" t="str">
        <f t="shared" si="12"/>
        <v/>
      </c>
      <c r="N68" s="10" t="str">
        <f t="shared" si="13"/>
        <v/>
      </c>
      <c r="O68" s="2">
        <f t="shared" si="14"/>
        <v>46100</v>
      </c>
      <c r="P68" s="2">
        <v>46100.412777777776</v>
      </c>
      <c r="Q68" s="2">
        <f t="shared" si="15"/>
        <v>46101</v>
      </c>
      <c r="R68" s="2">
        <v>46100.413738425923</v>
      </c>
      <c r="S68">
        <f t="shared" si="16"/>
        <v>0</v>
      </c>
      <c r="T68" s="2">
        <f t="shared" si="17"/>
        <v>46101</v>
      </c>
      <c r="U68" t="str">
        <f t="shared" si="18"/>
        <v>NO PRAZO</v>
      </c>
      <c r="Z68" s="4" t="s">
        <v>91</v>
      </c>
    </row>
    <row r="69" spans="1:26">
      <c r="A69" s="1">
        <v>22014</v>
      </c>
      <c r="B69" t="s">
        <v>17</v>
      </c>
      <c r="C69" t="s">
        <v>9</v>
      </c>
      <c r="D69" t="s">
        <v>16</v>
      </c>
      <c r="E69" s="1">
        <v>420</v>
      </c>
      <c r="F69" s="1">
        <v>2026</v>
      </c>
      <c r="G69" t="s">
        <v>11</v>
      </c>
      <c r="H69" s="2">
        <v>46098.584050925929</v>
      </c>
      <c r="I69" s="9">
        <f t="shared" si="10"/>
        <v>46099</v>
      </c>
      <c r="J69" s="2" t="str">
        <f t="shared" si="11"/>
        <v/>
      </c>
      <c r="L69" s="2" t="str">
        <f t="shared" si="12"/>
        <v/>
      </c>
      <c r="N69" s="10" t="str">
        <f t="shared" si="13"/>
        <v/>
      </c>
      <c r="O69" s="2">
        <f t="shared" si="14"/>
        <v>46099</v>
      </c>
      <c r="P69" s="2">
        <v>46106.352731481478</v>
      </c>
      <c r="Q69" s="2">
        <f t="shared" si="15"/>
        <v>46105</v>
      </c>
      <c r="R69" s="2">
        <v>46106.353009259263</v>
      </c>
      <c r="S69">
        <f t="shared" si="16"/>
        <v>1</v>
      </c>
      <c r="T69" s="2">
        <f t="shared" si="17"/>
        <v>46105</v>
      </c>
      <c r="U69" t="str">
        <f t="shared" si="18"/>
        <v>ATRASO</v>
      </c>
      <c r="Z69" s="5" t="s">
        <v>92</v>
      </c>
    </row>
    <row r="70" spans="1:26" hidden="1">
      <c r="A70" s="1">
        <v>22008</v>
      </c>
      <c r="B70" t="s">
        <v>20</v>
      </c>
      <c r="C70" t="s">
        <v>13</v>
      </c>
      <c r="D70" t="s">
        <v>18</v>
      </c>
      <c r="E70" s="1">
        <v>414</v>
      </c>
      <c r="F70" s="1">
        <v>2026</v>
      </c>
      <c r="G70" t="s">
        <v>11</v>
      </c>
      <c r="H70" s="2">
        <v>46098.500706018516</v>
      </c>
      <c r="I70" s="9">
        <f t="shared" si="10"/>
        <v>46101</v>
      </c>
      <c r="J70" s="2" t="str">
        <f t="shared" si="11"/>
        <v/>
      </c>
      <c r="L70" s="2" t="str">
        <f t="shared" si="12"/>
        <v/>
      </c>
      <c r="N70" s="10" t="str">
        <f t="shared" si="13"/>
        <v/>
      </c>
      <c r="O70" s="2">
        <f t="shared" si="14"/>
        <v>46101</v>
      </c>
      <c r="P70" s="2">
        <v>46099.676828703705</v>
      </c>
      <c r="Q70" s="2">
        <f t="shared" si="15"/>
        <v>46107</v>
      </c>
      <c r="R70" s="2">
        <v>46105.537962962961</v>
      </c>
      <c r="S70">
        <f t="shared" si="16"/>
        <v>0</v>
      </c>
      <c r="T70" s="2">
        <f t="shared" si="17"/>
        <v>46107</v>
      </c>
      <c r="U70" t="str">
        <f t="shared" si="18"/>
        <v>NO PRAZO</v>
      </c>
      <c r="Z70" s="5" t="s">
        <v>93</v>
      </c>
    </row>
    <row r="71" spans="1:26" hidden="1">
      <c r="A71" s="1">
        <v>22006</v>
      </c>
      <c r="B71" t="s">
        <v>17</v>
      </c>
      <c r="C71" t="s">
        <v>13</v>
      </c>
      <c r="D71" t="s">
        <v>18</v>
      </c>
      <c r="E71" s="1">
        <v>412</v>
      </c>
      <c r="F71" s="1">
        <v>2026</v>
      </c>
      <c r="G71" t="s">
        <v>11</v>
      </c>
      <c r="H71" s="2">
        <v>46098.459050925929</v>
      </c>
      <c r="I71" s="9">
        <f t="shared" si="10"/>
        <v>46101</v>
      </c>
      <c r="J71" s="2" t="str">
        <f t="shared" si="11"/>
        <v/>
      </c>
      <c r="L71" s="2" t="str">
        <f t="shared" si="12"/>
        <v/>
      </c>
      <c r="N71" s="10" t="str">
        <f t="shared" si="13"/>
        <v/>
      </c>
      <c r="O71" s="2">
        <f t="shared" si="14"/>
        <v>46101</v>
      </c>
      <c r="P71" s="2">
        <v>46100.372118055559</v>
      </c>
      <c r="Q71" s="2">
        <f t="shared" si="15"/>
        <v>46107</v>
      </c>
      <c r="R71" s="2">
        <v>46100.519606481481</v>
      </c>
      <c r="S71">
        <f t="shared" si="16"/>
        <v>0</v>
      </c>
      <c r="T71" s="2">
        <f t="shared" si="17"/>
        <v>46107</v>
      </c>
      <c r="U71" t="str">
        <f t="shared" si="18"/>
        <v>NO PRAZO</v>
      </c>
      <c r="Z71" s="5" t="s">
        <v>94</v>
      </c>
    </row>
    <row r="72" spans="1:26" hidden="1">
      <c r="A72" s="1">
        <v>22005</v>
      </c>
      <c r="B72" t="s">
        <v>17</v>
      </c>
      <c r="C72" t="s">
        <v>13</v>
      </c>
      <c r="D72" t="s">
        <v>18</v>
      </c>
      <c r="E72" s="1">
        <v>411</v>
      </c>
      <c r="F72" s="1">
        <v>2026</v>
      </c>
      <c r="G72" t="s">
        <v>11</v>
      </c>
      <c r="H72" s="2">
        <v>46098.459050925929</v>
      </c>
      <c r="I72" s="9">
        <f t="shared" si="10"/>
        <v>46101</v>
      </c>
      <c r="J72" s="2" t="str">
        <f t="shared" si="11"/>
        <v/>
      </c>
      <c r="L72" s="2" t="str">
        <f t="shared" si="12"/>
        <v/>
      </c>
      <c r="N72" s="10" t="str">
        <f t="shared" si="13"/>
        <v/>
      </c>
      <c r="O72" s="2">
        <f t="shared" si="14"/>
        <v>46101</v>
      </c>
      <c r="P72" s="2">
        <v>46105.446018518516</v>
      </c>
      <c r="Q72" s="2">
        <f t="shared" si="15"/>
        <v>46107</v>
      </c>
      <c r="R72" s="2">
        <v>46106.352372685185</v>
      </c>
      <c r="S72">
        <f t="shared" si="16"/>
        <v>0</v>
      </c>
      <c r="T72" s="2">
        <f t="shared" si="17"/>
        <v>46107</v>
      </c>
      <c r="U72" t="str">
        <f t="shared" si="18"/>
        <v>NO PRAZO</v>
      </c>
      <c r="Z72" s="5" t="s">
        <v>95</v>
      </c>
    </row>
    <row r="73" spans="1:26" hidden="1">
      <c r="A73" s="1">
        <v>22004</v>
      </c>
      <c r="B73" t="s">
        <v>20</v>
      </c>
      <c r="C73" t="s">
        <v>13</v>
      </c>
      <c r="D73" t="s">
        <v>18</v>
      </c>
      <c r="E73" s="1">
        <v>410</v>
      </c>
      <c r="F73" s="1">
        <v>2026</v>
      </c>
      <c r="G73" t="s">
        <v>11</v>
      </c>
      <c r="H73" s="2">
        <v>46097.792291666665</v>
      </c>
      <c r="I73" s="9">
        <f t="shared" si="10"/>
        <v>46100</v>
      </c>
      <c r="J73" s="2" t="str">
        <f t="shared" si="11"/>
        <v/>
      </c>
      <c r="L73" s="2" t="str">
        <f t="shared" si="12"/>
        <v/>
      </c>
      <c r="N73" s="10" t="str">
        <f t="shared" si="13"/>
        <v/>
      </c>
      <c r="O73" s="2">
        <f t="shared" si="14"/>
        <v>46100</v>
      </c>
      <c r="P73" s="2">
        <v>46104.444664351853</v>
      </c>
      <c r="Q73" s="2">
        <f t="shared" si="15"/>
        <v>46106</v>
      </c>
      <c r="R73" s="2">
        <v>46104.662002314813</v>
      </c>
      <c r="S73">
        <f t="shared" si="16"/>
        <v>0</v>
      </c>
      <c r="T73" s="2">
        <f t="shared" si="17"/>
        <v>46106</v>
      </c>
      <c r="U73" t="str">
        <f t="shared" si="18"/>
        <v>NO PRAZO</v>
      </c>
      <c r="Z73" s="4" t="s">
        <v>96</v>
      </c>
    </row>
    <row r="74" spans="1:26" hidden="1">
      <c r="A74" s="1">
        <v>22001</v>
      </c>
      <c r="B74" t="s">
        <v>12</v>
      </c>
      <c r="C74" t="s">
        <v>13</v>
      </c>
      <c r="D74" t="s">
        <v>16</v>
      </c>
      <c r="E74" s="1">
        <v>407</v>
      </c>
      <c r="F74" s="1">
        <v>2026</v>
      </c>
      <c r="G74" t="s">
        <v>11</v>
      </c>
      <c r="H74" s="2">
        <v>46097.70894675926</v>
      </c>
      <c r="I74" s="9">
        <f t="shared" si="10"/>
        <v>46098</v>
      </c>
      <c r="J74" s="2" t="str">
        <f t="shared" si="11"/>
        <v/>
      </c>
      <c r="L74" s="2" t="str">
        <f t="shared" si="12"/>
        <v/>
      </c>
      <c r="N74" s="10" t="str">
        <f t="shared" si="13"/>
        <v/>
      </c>
      <c r="O74" s="2">
        <f t="shared" si="14"/>
        <v>46098</v>
      </c>
      <c r="P74" s="2">
        <v>46104.391423611109</v>
      </c>
      <c r="Q74" s="2">
        <f t="shared" si="15"/>
        <v>46104</v>
      </c>
      <c r="R74" s="2">
        <v>46104.419710648152</v>
      </c>
      <c r="S74">
        <f t="shared" si="16"/>
        <v>0</v>
      </c>
      <c r="T74" s="2">
        <f t="shared" si="17"/>
        <v>46104</v>
      </c>
      <c r="U74" t="str">
        <f t="shared" si="18"/>
        <v>NO PRAZO</v>
      </c>
      <c r="Z74" s="5" t="s">
        <v>97</v>
      </c>
    </row>
    <row r="75" spans="1:26" hidden="1">
      <c r="A75" s="1">
        <v>21973</v>
      </c>
      <c r="B75" t="s">
        <v>19</v>
      </c>
      <c r="C75" t="s">
        <v>13</v>
      </c>
      <c r="D75" t="s">
        <v>18</v>
      </c>
      <c r="E75" s="1">
        <v>379</v>
      </c>
      <c r="F75" s="1">
        <v>2026</v>
      </c>
      <c r="G75" t="s">
        <v>11</v>
      </c>
      <c r="H75" s="2">
        <v>46093.458703703705</v>
      </c>
      <c r="I75" s="9">
        <f t="shared" si="10"/>
        <v>46098</v>
      </c>
      <c r="J75" s="2" t="str">
        <f t="shared" si="11"/>
        <v/>
      </c>
      <c r="L75" s="2" t="str">
        <f t="shared" si="12"/>
        <v/>
      </c>
      <c r="N75" s="10" t="str">
        <f t="shared" si="13"/>
        <v/>
      </c>
      <c r="O75" s="2">
        <f t="shared" si="14"/>
        <v>46098</v>
      </c>
      <c r="P75" s="2">
        <v>46098.41920138889</v>
      </c>
      <c r="Q75" s="2">
        <f t="shared" si="15"/>
        <v>46104</v>
      </c>
      <c r="R75" s="2">
        <v>46098.507476851853</v>
      </c>
      <c r="S75">
        <f t="shared" si="16"/>
        <v>0</v>
      </c>
      <c r="T75" s="2">
        <f t="shared" si="17"/>
        <v>46104</v>
      </c>
      <c r="U75" t="str">
        <f t="shared" si="18"/>
        <v>NO PRAZO</v>
      </c>
      <c r="Z75" s="5" t="s">
        <v>98</v>
      </c>
    </row>
    <row r="76" spans="1:26" hidden="1">
      <c r="A76" s="1">
        <v>21968</v>
      </c>
      <c r="B76" t="s">
        <v>19</v>
      </c>
      <c r="C76" t="s">
        <v>13</v>
      </c>
      <c r="D76" t="s">
        <v>18</v>
      </c>
      <c r="E76" s="1">
        <v>374</v>
      </c>
      <c r="F76" s="1">
        <v>2026</v>
      </c>
      <c r="G76" t="s">
        <v>11</v>
      </c>
      <c r="H76" s="2">
        <v>46092.792025462964</v>
      </c>
      <c r="I76" s="9">
        <f t="shared" si="10"/>
        <v>46097</v>
      </c>
      <c r="J76" s="2" t="str">
        <f t="shared" si="11"/>
        <v/>
      </c>
      <c r="L76" s="2" t="str">
        <f t="shared" si="12"/>
        <v/>
      </c>
      <c r="N76" s="10" t="str">
        <f t="shared" si="13"/>
        <v/>
      </c>
      <c r="O76" s="2">
        <f t="shared" si="14"/>
        <v>46097</v>
      </c>
      <c r="P76" s="2">
        <v>46093.600138888891</v>
      </c>
      <c r="Q76" s="2">
        <f t="shared" si="15"/>
        <v>46101</v>
      </c>
      <c r="R76" s="2">
        <v>46098.600706018522</v>
      </c>
      <c r="S76">
        <f t="shared" si="16"/>
        <v>0</v>
      </c>
      <c r="T76" s="2">
        <f t="shared" si="17"/>
        <v>46101</v>
      </c>
      <c r="U76" t="str">
        <f t="shared" si="18"/>
        <v>NO PRAZO</v>
      </c>
      <c r="Z76" s="7" t="s">
        <v>99</v>
      </c>
    </row>
    <row r="77" spans="1:26" hidden="1">
      <c r="A77" s="1">
        <v>21966</v>
      </c>
      <c r="B77" t="s">
        <v>12</v>
      </c>
      <c r="C77" t="s">
        <v>13</v>
      </c>
      <c r="D77" t="s">
        <v>18</v>
      </c>
      <c r="E77" s="1">
        <v>372</v>
      </c>
      <c r="F77" s="1">
        <v>2026</v>
      </c>
      <c r="G77" t="s">
        <v>11</v>
      </c>
      <c r="H77" s="2">
        <v>46092.708680555559</v>
      </c>
      <c r="I77" s="9">
        <f t="shared" si="10"/>
        <v>46097</v>
      </c>
      <c r="J77" s="2" t="str">
        <f t="shared" si="11"/>
        <v/>
      </c>
      <c r="L77" s="2" t="str">
        <f t="shared" si="12"/>
        <v/>
      </c>
      <c r="N77" s="10" t="str">
        <f t="shared" si="13"/>
        <v/>
      </c>
      <c r="O77" s="2">
        <f t="shared" si="14"/>
        <v>46097</v>
      </c>
      <c r="P77" s="2">
        <v>46098.544444444444</v>
      </c>
      <c r="Q77" s="2">
        <f t="shared" si="15"/>
        <v>46101</v>
      </c>
      <c r="R77" s="2">
        <v>46099.582835648151</v>
      </c>
      <c r="S77">
        <f t="shared" si="16"/>
        <v>0</v>
      </c>
      <c r="T77" s="2">
        <f t="shared" si="17"/>
        <v>46101</v>
      </c>
      <c r="U77" t="str">
        <f t="shared" si="18"/>
        <v>NO PRAZO</v>
      </c>
      <c r="Z77" s="5" t="s">
        <v>100</v>
      </c>
    </row>
    <row r="78" spans="1:26" hidden="1">
      <c r="A78" s="1">
        <v>21965</v>
      </c>
      <c r="B78" t="s">
        <v>19</v>
      </c>
      <c r="C78" t="s">
        <v>13</v>
      </c>
      <c r="D78" t="s">
        <v>18</v>
      </c>
      <c r="E78" s="1">
        <v>371</v>
      </c>
      <c r="F78" s="1">
        <v>2026</v>
      </c>
      <c r="G78" t="s">
        <v>11</v>
      </c>
      <c r="H78" s="2">
        <v>46092.583680555559</v>
      </c>
      <c r="I78" s="9">
        <f t="shared" si="10"/>
        <v>46097</v>
      </c>
      <c r="J78" s="2" t="str">
        <f t="shared" si="11"/>
        <v/>
      </c>
      <c r="L78" s="2" t="str">
        <f t="shared" si="12"/>
        <v/>
      </c>
      <c r="N78" s="10" t="str">
        <f t="shared" si="13"/>
        <v/>
      </c>
      <c r="O78" s="2">
        <f t="shared" si="14"/>
        <v>46097</v>
      </c>
      <c r="P78" s="2">
        <v>46094.440497685187</v>
      </c>
      <c r="Q78" s="2">
        <f t="shared" si="15"/>
        <v>46101</v>
      </c>
      <c r="R78" s="2">
        <v>46098.45385416667</v>
      </c>
      <c r="S78">
        <f t="shared" si="16"/>
        <v>0</v>
      </c>
      <c r="T78" s="2">
        <f t="shared" si="17"/>
        <v>46101</v>
      </c>
      <c r="U78" t="str">
        <f t="shared" si="18"/>
        <v>NO PRAZO</v>
      </c>
      <c r="Z78" s="5" t="s">
        <v>101</v>
      </c>
    </row>
    <row r="79" spans="1:26" hidden="1">
      <c r="A79" s="1">
        <v>21964</v>
      </c>
      <c r="B79" t="s">
        <v>17</v>
      </c>
      <c r="C79" t="s">
        <v>13</v>
      </c>
      <c r="D79" t="s">
        <v>18</v>
      </c>
      <c r="E79" s="1">
        <v>370</v>
      </c>
      <c r="F79" s="1">
        <v>2026</v>
      </c>
      <c r="G79" t="s">
        <v>11</v>
      </c>
      <c r="H79" s="2">
        <v>46092.50037037037</v>
      </c>
      <c r="I79" s="9">
        <f t="shared" si="10"/>
        <v>46097</v>
      </c>
      <c r="J79" s="2" t="str">
        <f t="shared" si="11"/>
        <v/>
      </c>
      <c r="L79" s="2" t="str">
        <f t="shared" si="12"/>
        <v/>
      </c>
      <c r="N79" s="10" t="str">
        <f t="shared" si="13"/>
        <v/>
      </c>
      <c r="O79" s="2">
        <f t="shared" si="14"/>
        <v>46097</v>
      </c>
      <c r="P79" s="2">
        <v>46098.462037037039</v>
      </c>
      <c r="Q79" s="2">
        <f t="shared" si="15"/>
        <v>46101</v>
      </c>
      <c r="R79" s="2">
        <v>46098.462372685186</v>
      </c>
      <c r="S79">
        <f t="shared" si="16"/>
        <v>0</v>
      </c>
      <c r="T79" s="2">
        <f t="shared" si="17"/>
        <v>46101</v>
      </c>
      <c r="U79" t="str">
        <f t="shared" si="18"/>
        <v>NO PRAZO</v>
      </c>
      <c r="Z79" s="5" t="s">
        <v>102</v>
      </c>
    </row>
    <row r="80" spans="1:26" hidden="1">
      <c r="A80" s="1">
        <v>21963</v>
      </c>
      <c r="B80" t="s">
        <v>19</v>
      </c>
      <c r="C80" t="s">
        <v>13</v>
      </c>
      <c r="D80" t="s">
        <v>10</v>
      </c>
      <c r="E80" s="1">
        <v>369</v>
      </c>
      <c r="F80" s="1">
        <v>2026</v>
      </c>
      <c r="G80" t="s">
        <v>11</v>
      </c>
      <c r="H80" s="2">
        <v>46092.417002314818</v>
      </c>
      <c r="I80" s="9">
        <f t="shared" si="10"/>
        <v>46093</v>
      </c>
      <c r="J80" s="2" t="str">
        <f t="shared" si="11"/>
        <v/>
      </c>
      <c r="L80" s="2" t="str">
        <f t="shared" si="12"/>
        <v/>
      </c>
      <c r="N80" s="10" t="str">
        <f t="shared" si="13"/>
        <v/>
      </c>
      <c r="O80" s="2">
        <f t="shared" si="14"/>
        <v>46093</v>
      </c>
      <c r="P80" s="2">
        <v>46094.439930555556</v>
      </c>
      <c r="Q80" s="2">
        <f t="shared" si="15"/>
        <v>46094</v>
      </c>
      <c r="R80" s="2">
        <v>46094.498692129629</v>
      </c>
      <c r="S80">
        <f t="shared" si="16"/>
        <v>0</v>
      </c>
      <c r="T80" s="2">
        <f t="shared" si="17"/>
        <v>46094</v>
      </c>
      <c r="U80" t="str">
        <f t="shared" si="18"/>
        <v>NO PRAZO</v>
      </c>
      <c r="Z80" s="5" t="s">
        <v>103</v>
      </c>
    </row>
    <row r="81" spans="1:26">
      <c r="A81" s="1">
        <v>21958</v>
      </c>
      <c r="B81" t="s">
        <v>12</v>
      </c>
      <c r="C81" t="s">
        <v>13</v>
      </c>
      <c r="D81" t="s">
        <v>14</v>
      </c>
      <c r="E81" s="1">
        <v>364</v>
      </c>
      <c r="F81" s="1">
        <v>2026</v>
      </c>
      <c r="G81" t="s">
        <v>11</v>
      </c>
      <c r="H81" s="2">
        <v>46091.583634259259</v>
      </c>
      <c r="I81" s="9">
        <f t="shared" si="10"/>
        <v>46092</v>
      </c>
      <c r="J81" s="2" t="str">
        <f t="shared" si="11"/>
        <v/>
      </c>
      <c r="L81" s="2" t="str">
        <f t="shared" si="12"/>
        <v/>
      </c>
      <c r="N81" s="10" t="str">
        <f t="shared" si="13"/>
        <v/>
      </c>
      <c r="O81" s="2">
        <f t="shared" si="14"/>
        <v>46092</v>
      </c>
      <c r="P81" s="2">
        <v>46092.448935185188</v>
      </c>
      <c r="Q81" s="2">
        <f t="shared" si="15"/>
        <v>46093</v>
      </c>
      <c r="R81" s="2">
        <v>46094.499097222222</v>
      </c>
      <c r="S81">
        <f t="shared" si="16"/>
        <v>1</v>
      </c>
      <c r="T81" s="2">
        <f t="shared" si="17"/>
        <v>46093</v>
      </c>
      <c r="U81" t="str">
        <f t="shared" si="18"/>
        <v>ATRASO</v>
      </c>
      <c r="Z81" s="7" t="s">
        <v>104</v>
      </c>
    </row>
    <row r="82" spans="1:26" hidden="1">
      <c r="A82" s="1">
        <v>21953</v>
      </c>
      <c r="B82" t="s">
        <v>19</v>
      </c>
      <c r="C82" t="s">
        <v>13</v>
      </c>
      <c r="D82" t="s">
        <v>14</v>
      </c>
      <c r="E82" s="1">
        <v>359</v>
      </c>
      <c r="F82" s="1">
        <v>2026</v>
      </c>
      <c r="G82" t="s">
        <v>11</v>
      </c>
      <c r="H82" s="2">
        <v>46090.708599537036</v>
      </c>
      <c r="I82" s="9">
        <f t="shared" si="10"/>
        <v>46091</v>
      </c>
      <c r="J82" s="2" t="str">
        <f t="shared" si="11"/>
        <v/>
      </c>
      <c r="L82" s="2" t="str">
        <f t="shared" si="12"/>
        <v/>
      </c>
      <c r="N82" s="10" t="str">
        <f t="shared" si="13"/>
        <v/>
      </c>
      <c r="O82" s="2">
        <f t="shared" si="14"/>
        <v>46091</v>
      </c>
      <c r="P82" s="2">
        <v>46092.395300925928</v>
      </c>
      <c r="Q82" s="2">
        <f t="shared" si="15"/>
        <v>46092</v>
      </c>
      <c r="R82" s="2">
        <v>46092.700428240743</v>
      </c>
      <c r="S82">
        <f t="shared" si="16"/>
        <v>0</v>
      </c>
      <c r="T82" s="2">
        <f t="shared" si="17"/>
        <v>46092</v>
      </c>
      <c r="U82" t="str">
        <f t="shared" si="18"/>
        <v>NO PRAZO</v>
      </c>
      <c r="Z82" s="5" t="s">
        <v>105</v>
      </c>
    </row>
    <row r="83" spans="1:26" hidden="1">
      <c r="A83" s="1">
        <v>21941</v>
      </c>
      <c r="B83" t="s">
        <v>17</v>
      </c>
      <c r="C83" t="s">
        <v>13</v>
      </c>
      <c r="D83" t="s">
        <v>18</v>
      </c>
      <c r="E83" s="1">
        <v>347</v>
      </c>
      <c r="F83" s="1">
        <v>2026</v>
      </c>
      <c r="G83" t="s">
        <v>11</v>
      </c>
      <c r="H83" s="2">
        <v>46087.584189814814</v>
      </c>
      <c r="I83" s="9">
        <f t="shared" si="10"/>
        <v>46092</v>
      </c>
      <c r="J83" s="2" t="str">
        <f t="shared" si="11"/>
        <v/>
      </c>
      <c r="L83" s="2" t="str">
        <f t="shared" si="12"/>
        <v/>
      </c>
      <c r="N83" s="10" t="str">
        <f t="shared" si="13"/>
        <v/>
      </c>
      <c r="O83" s="2">
        <f t="shared" si="14"/>
        <v>46092</v>
      </c>
      <c r="P83" s="2">
        <v>46091.702824074076</v>
      </c>
      <c r="Q83" s="2">
        <f t="shared" si="15"/>
        <v>46098</v>
      </c>
      <c r="R83" s="2">
        <v>46091.703067129631</v>
      </c>
      <c r="S83">
        <f t="shared" si="16"/>
        <v>0</v>
      </c>
      <c r="T83" s="2">
        <f t="shared" si="17"/>
        <v>46098</v>
      </c>
      <c r="U83" t="str">
        <f t="shared" si="18"/>
        <v>NO PRAZO</v>
      </c>
      <c r="Z83" s="5" t="s">
        <v>106</v>
      </c>
    </row>
    <row r="84" spans="1:26" hidden="1">
      <c r="A84" s="1">
        <v>21940</v>
      </c>
      <c r="B84" t="s">
        <v>17</v>
      </c>
      <c r="C84" t="s">
        <v>13</v>
      </c>
      <c r="D84" t="s">
        <v>18</v>
      </c>
      <c r="E84" s="1">
        <v>346</v>
      </c>
      <c r="F84" s="1">
        <v>2026</v>
      </c>
      <c r="G84" t="s">
        <v>11</v>
      </c>
      <c r="H84" s="2">
        <v>46087.584189814814</v>
      </c>
      <c r="I84" s="9">
        <f t="shared" si="10"/>
        <v>46092</v>
      </c>
      <c r="J84" s="2" t="str">
        <f t="shared" si="11"/>
        <v/>
      </c>
      <c r="L84" s="2" t="str">
        <f t="shared" si="12"/>
        <v/>
      </c>
      <c r="N84" s="10" t="str">
        <f t="shared" si="13"/>
        <v/>
      </c>
      <c r="O84" s="2">
        <f t="shared" si="14"/>
        <v>46092</v>
      </c>
      <c r="P84" s="2">
        <v>46091.703865740739</v>
      </c>
      <c r="Q84" s="2">
        <f t="shared" si="15"/>
        <v>46098</v>
      </c>
      <c r="R84" s="2">
        <v>46091.70417824074</v>
      </c>
      <c r="S84">
        <f t="shared" si="16"/>
        <v>0</v>
      </c>
      <c r="T84" s="2">
        <f t="shared" si="17"/>
        <v>46098</v>
      </c>
      <c r="U84" t="str">
        <f t="shared" si="18"/>
        <v>NO PRAZO</v>
      </c>
      <c r="Z84" s="5" t="s">
        <v>107</v>
      </c>
    </row>
    <row r="85" spans="1:26" hidden="1">
      <c r="A85" s="1">
        <v>21939</v>
      </c>
      <c r="B85" t="s">
        <v>17</v>
      </c>
      <c r="C85" t="s">
        <v>13</v>
      </c>
      <c r="D85" t="s">
        <v>18</v>
      </c>
      <c r="E85" s="1">
        <v>345</v>
      </c>
      <c r="F85" s="1">
        <v>2026</v>
      </c>
      <c r="G85" t="s">
        <v>11</v>
      </c>
      <c r="H85" s="2">
        <v>46087.584189814814</v>
      </c>
      <c r="I85" s="9">
        <f t="shared" si="10"/>
        <v>46092</v>
      </c>
      <c r="J85" s="2" t="str">
        <f t="shared" si="11"/>
        <v/>
      </c>
      <c r="L85" s="2" t="str">
        <f t="shared" si="12"/>
        <v/>
      </c>
      <c r="N85" s="10" t="str">
        <f t="shared" si="13"/>
        <v/>
      </c>
      <c r="O85" s="2">
        <f t="shared" si="14"/>
        <v>46092</v>
      </c>
      <c r="P85" s="2">
        <v>46091.706041666665</v>
      </c>
      <c r="Q85" s="2">
        <f t="shared" si="15"/>
        <v>46098</v>
      </c>
      <c r="R85" s="2">
        <v>46091.706354166665</v>
      </c>
      <c r="S85">
        <f t="shared" si="16"/>
        <v>0</v>
      </c>
      <c r="T85" s="2">
        <f t="shared" si="17"/>
        <v>46098</v>
      </c>
      <c r="U85" t="str">
        <f t="shared" si="18"/>
        <v>NO PRAZO</v>
      </c>
      <c r="Z85" s="5" t="s">
        <v>108</v>
      </c>
    </row>
    <row r="86" spans="1:26" hidden="1">
      <c r="A86" s="1">
        <v>21936</v>
      </c>
      <c r="B86" t="s">
        <v>24</v>
      </c>
      <c r="C86" t="s">
        <v>13</v>
      </c>
      <c r="D86" t="s">
        <v>14</v>
      </c>
      <c r="E86" s="1">
        <v>342</v>
      </c>
      <c r="F86" s="1">
        <v>2026</v>
      </c>
      <c r="G86" t="s">
        <v>11</v>
      </c>
      <c r="H86" s="2">
        <v>46087.459166666667</v>
      </c>
      <c r="I86" s="9">
        <f t="shared" si="10"/>
        <v>46090</v>
      </c>
      <c r="J86" s="2" t="str">
        <f t="shared" si="11"/>
        <v/>
      </c>
      <c r="L86" s="2" t="str">
        <f t="shared" si="12"/>
        <v/>
      </c>
      <c r="N86" s="10" t="str">
        <f t="shared" si="13"/>
        <v/>
      </c>
      <c r="O86" s="2">
        <f t="shared" si="14"/>
        <v>46090</v>
      </c>
      <c r="P86" s="2">
        <v>46087.656076388892</v>
      </c>
      <c r="Q86" s="2">
        <f t="shared" si="15"/>
        <v>46091</v>
      </c>
      <c r="R86" s="2">
        <v>46087.701597222222</v>
      </c>
      <c r="S86">
        <f t="shared" si="16"/>
        <v>0</v>
      </c>
      <c r="T86" s="2">
        <f t="shared" si="17"/>
        <v>46091</v>
      </c>
      <c r="U86" t="str">
        <f t="shared" si="18"/>
        <v>NO PRAZO</v>
      </c>
      <c r="Z86" s="5" t="s">
        <v>109</v>
      </c>
    </row>
    <row r="87" spans="1:26" hidden="1">
      <c r="A87" s="1">
        <v>21932</v>
      </c>
      <c r="B87" t="s">
        <v>24</v>
      </c>
      <c r="C87" t="s">
        <v>13</v>
      </c>
      <c r="D87" t="s">
        <v>14</v>
      </c>
      <c r="E87" s="1">
        <v>338</v>
      </c>
      <c r="F87" s="1">
        <v>2026</v>
      </c>
      <c r="G87" t="s">
        <v>11</v>
      </c>
      <c r="H87" s="2">
        <v>46086.500810185185</v>
      </c>
      <c r="I87" s="9">
        <f t="shared" si="10"/>
        <v>46087</v>
      </c>
      <c r="J87" s="2" t="str">
        <f t="shared" si="11"/>
        <v/>
      </c>
      <c r="L87" s="2" t="str">
        <f t="shared" si="12"/>
        <v/>
      </c>
      <c r="N87" s="10" t="str">
        <f t="shared" si="13"/>
        <v/>
      </c>
      <c r="O87" s="2">
        <f t="shared" si="14"/>
        <v>46087</v>
      </c>
      <c r="P87" s="2">
        <v>46086.613981481481</v>
      </c>
      <c r="Q87" s="2">
        <f t="shared" si="15"/>
        <v>46090</v>
      </c>
      <c r="R87" s="2">
        <v>46086.693368055552</v>
      </c>
      <c r="S87">
        <f t="shared" si="16"/>
        <v>0</v>
      </c>
      <c r="T87" s="2">
        <f t="shared" si="17"/>
        <v>46090</v>
      </c>
      <c r="U87" t="str">
        <f t="shared" si="18"/>
        <v>NO PRAZO</v>
      </c>
      <c r="Z87" s="5" t="s">
        <v>110</v>
      </c>
    </row>
    <row r="88" spans="1:26" hidden="1">
      <c r="A88" s="1">
        <v>21916</v>
      </c>
      <c r="B88" t="s">
        <v>8</v>
      </c>
      <c r="C88" t="s">
        <v>9</v>
      </c>
      <c r="D88" t="s">
        <v>14</v>
      </c>
      <c r="E88" s="1">
        <v>322</v>
      </c>
      <c r="F88" s="1">
        <v>2026</v>
      </c>
      <c r="G88" t="s">
        <v>11</v>
      </c>
      <c r="H88" s="2">
        <v>46084.584050925929</v>
      </c>
      <c r="I88" s="9">
        <f t="shared" si="10"/>
        <v>46085</v>
      </c>
      <c r="J88" s="2" t="str">
        <f t="shared" si="11"/>
        <v/>
      </c>
      <c r="L88" s="2" t="str">
        <f t="shared" si="12"/>
        <v/>
      </c>
      <c r="N88" s="10" t="str">
        <f t="shared" si="13"/>
        <v/>
      </c>
      <c r="O88" s="2">
        <f t="shared" si="14"/>
        <v>46085</v>
      </c>
      <c r="P88" s="2">
        <v>46085.395752314813</v>
      </c>
      <c r="Q88" s="2">
        <f t="shared" si="15"/>
        <v>46086</v>
      </c>
      <c r="R88" s="2">
        <v>46085.643009259256</v>
      </c>
      <c r="S88">
        <f t="shared" si="16"/>
        <v>0</v>
      </c>
      <c r="T88" s="2">
        <f t="shared" si="17"/>
        <v>46086</v>
      </c>
      <c r="U88" t="str">
        <f t="shared" si="18"/>
        <v>NO PRAZO</v>
      </c>
      <c r="Z88" s="4" t="s">
        <v>111</v>
      </c>
    </row>
    <row r="89" spans="1:26" hidden="1">
      <c r="A89" s="1">
        <v>21915</v>
      </c>
      <c r="B89" t="s">
        <v>8</v>
      </c>
      <c r="C89" t="s">
        <v>9</v>
      </c>
      <c r="D89" t="s">
        <v>14</v>
      </c>
      <c r="E89" s="1">
        <v>321</v>
      </c>
      <c r="F89" s="1">
        <v>2026</v>
      </c>
      <c r="G89" t="s">
        <v>11</v>
      </c>
      <c r="H89" s="2">
        <v>46084.584050925929</v>
      </c>
      <c r="I89" s="9">
        <f t="shared" si="10"/>
        <v>46085</v>
      </c>
      <c r="J89" s="2" t="str">
        <f t="shared" si="11"/>
        <v/>
      </c>
      <c r="L89" s="2" t="str">
        <f t="shared" si="12"/>
        <v/>
      </c>
      <c r="N89" s="10" t="str">
        <f t="shared" si="13"/>
        <v/>
      </c>
      <c r="O89" s="2">
        <f t="shared" si="14"/>
        <v>46085</v>
      </c>
      <c r="P89" s="2">
        <v>46085.404270833336</v>
      </c>
      <c r="Q89" s="2">
        <f t="shared" si="15"/>
        <v>46086</v>
      </c>
      <c r="R89" s="2">
        <v>46085.652708333335</v>
      </c>
      <c r="S89">
        <f t="shared" si="16"/>
        <v>0</v>
      </c>
      <c r="T89" s="2">
        <f t="shared" si="17"/>
        <v>46086</v>
      </c>
      <c r="U89" t="str">
        <f t="shared" si="18"/>
        <v>NO PRAZO</v>
      </c>
      <c r="Z89" s="5" t="s">
        <v>112</v>
      </c>
    </row>
    <row r="90" spans="1:26" hidden="1">
      <c r="A90" s="1">
        <v>21914</v>
      </c>
      <c r="B90" t="s">
        <v>8</v>
      </c>
      <c r="C90" t="s">
        <v>9</v>
      </c>
      <c r="D90" t="s">
        <v>14</v>
      </c>
      <c r="E90" s="1">
        <v>320</v>
      </c>
      <c r="F90" s="1">
        <v>2026</v>
      </c>
      <c r="G90" t="s">
        <v>11</v>
      </c>
      <c r="H90" s="2">
        <v>46084.584050925929</v>
      </c>
      <c r="I90" s="9">
        <f t="shared" si="10"/>
        <v>46085</v>
      </c>
      <c r="J90" s="2" t="str">
        <f t="shared" si="11"/>
        <v/>
      </c>
      <c r="L90" s="2" t="str">
        <f t="shared" si="12"/>
        <v/>
      </c>
      <c r="N90" s="10" t="str">
        <f t="shared" si="13"/>
        <v/>
      </c>
      <c r="O90" s="2">
        <f t="shared" si="14"/>
        <v>46085</v>
      </c>
      <c r="P90" s="2">
        <v>46085.407638888886</v>
      </c>
      <c r="Q90" s="2">
        <f t="shared" si="15"/>
        <v>46086</v>
      </c>
      <c r="R90" s="2">
        <v>46085.652199074073</v>
      </c>
      <c r="S90">
        <f t="shared" si="16"/>
        <v>0</v>
      </c>
      <c r="T90" s="2">
        <f t="shared" si="17"/>
        <v>46086</v>
      </c>
      <c r="U90" t="str">
        <f t="shared" si="18"/>
        <v>NO PRAZO</v>
      </c>
      <c r="Z90" s="5" t="s">
        <v>113</v>
      </c>
    </row>
    <row r="91" spans="1:26" hidden="1">
      <c r="A91" s="1">
        <v>21910</v>
      </c>
      <c r="B91" t="s">
        <v>20</v>
      </c>
      <c r="C91" t="s">
        <v>13</v>
      </c>
      <c r="D91" t="s">
        <v>16</v>
      </c>
      <c r="E91" s="1">
        <v>316</v>
      </c>
      <c r="F91" s="1">
        <v>2026</v>
      </c>
      <c r="G91" t="s">
        <v>11</v>
      </c>
      <c r="H91" s="2">
        <v>46084.459039351852</v>
      </c>
      <c r="I91" s="9">
        <f t="shared" si="10"/>
        <v>46085</v>
      </c>
      <c r="J91" s="2" t="str">
        <f t="shared" si="11"/>
        <v/>
      </c>
      <c r="L91" s="2" t="str">
        <f t="shared" si="12"/>
        <v/>
      </c>
      <c r="N91" s="10" t="str">
        <f t="shared" si="13"/>
        <v/>
      </c>
      <c r="O91" s="2">
        <f t="shared" si="14"/>
        <v>46085</v>
      </c>
      <c r="P91" s="2">
        <v>46091.729884259257</v>
      </c>
      <c r="Q91" s="2">
        <f t="shared" si="15"/>
        <v>46091</v>
      </c>
      <c r="R91" s="2">
        <v>46091.747407407405</v>
      </c>
      <c r="S91">
        <f t="shared" si="16"/>
        <v>0</v>
      </c>
      <c r="T91" s="2">
        <f t="shared" si="17"/>
        <v>46091</v>
      </c>
      <c r="U91" t="str">
        <f t="shared" si="18"/>
        <v>NO PRAZO</v>
      </c>
      <c r="Z91" s="4" t="s">
        <v>114</v>
      </c>
    </row>
    <row r="92" spans="1:26" hidden="1">
      <c r="A92" s="1">
        <v>21907</v>
      </c>
      <c r="B92" t="s">
        <v>20</v>
      </c>
      <c r="C92" t="s">
        <v>13</v>
      </c>
      <c r="D92" t="s">
        <v>18</v>
      </c>
      <c r="E92" s="1">
        <v>313</v>
      </c>
      <c r="F92" s="1">
        <v>2026</v>
      </c>
      <c r="G92" t="s">
        <v>11</v>
      </c>
      <c r="H92" s="2">
        <v>46083.792372685188</v>
      </c>
      <c r="I92" s="9">
        <f t="shared" si="10"/>
        <v>46086</v>
      </c>
      <c r="J92" s="2" t="str">
        <f t="shared" si="11"/>
        <v/>
      </c>
      <c r="L92" s="2" t="str">
        <f t="shared" si="12"/>
        <v/>
      </c>
      <c r="N92" s="10" t="str">
        <f t="shared" si="13"/>
        <v/>
      </c>
      <c r="O92" s="2">
        <f t="shared" si="14"/>
        <v>46086</v>
      </c>
      <c r="P92" s="2">
        <v>46090.477673611109</v>
      </c>
      <c r="Q92" s="2">
        <f t="shared" si="15"/>
        <v>46092</v>
      </c>
      <c r="R92" s="2">
        <v>46090.478900462964</v>
      </c>
      <c r="S92">
        <f t="shared" si="16"/>
        <v>0</v>
      </c>
      <c r="T92" s="2">
        <f t="shared" si="17"/>
        <v>46092</v>
      </c>
      <c r="U92" t="str">
        <f t="shared" si="18"/>
        <v>NO PRAZO</v>
      </c>
      <c r="Z92" s="5" t="s">
        <v>115</v>
      </c>
    </row>
    <row r="93" spans="1:26" hidden="1">
      <c r="A93" s="1">
        <v>21904</v>
      </c>
      <c r="B93" t="s">
        <v>15</v>
      </c>
      <c r="C93" t="s">
        <v>13</v>
      </c>
      <c r="D93" t="s">
        <v>18</v>
      </c>
      <c r="E93" s="1">
        <v>310</v>
      </c>
      <c r="F93" s="1">
        <v>2026</v>
      </c>
      <c r="G93" t="s">
        <v>11</v>
      </c>
      <c r="H93" s="2">
        <v>46083.435486111113</v>
      </c>
      <c r="I93" s="9">
        <f t="shared" si="10"/>
        <v>46086</v>
      </c>
      <c r="J93" s="2" t="str">
        <f t="shared" si="11"/>
        <v/>
      </c>
      <c r="L93" s="2" t="str">
        <f t="shared" si="12"/>
        <v/>
      </c>
      <c r="N93" s="10" t="str">
        <f t="shared" si="13"/>
        <v/>
      </c>
      <c r="O93" s="2">
        <f t="shared" si="14"/>
        <v>46086</v>
      </c>
      <c r="P93" s="2">
        <v>46083.436168981483</v>
      </c>
      <c r="Q93" s="2">
        <f t="shared" si="15"/>
        <v>46092</v>
      </c>
      <c r="R93" s="2">
        <v>46083.688969907409</v>
      </c>
      <c r="S93">
        <f t="shared" si="16"/>
        <v>0</v>
      </c>
      <c r="T93" s="2">
        <f t="shared" si="17"/>
        <v>46092</v>
      </c>
      <c r="U93" t="str">
        <f t="shared" si="18"/>
        <v>NO PRAZO</v>
      </c>
      <c r="Z93" s="5" t="s">
        <v>116</v>
      </c>
    </row>
    <row r="94" spans="1:26" hidden="1">
      <c r="A94" s="1">
        <v>21899</v>
      </c>
      <c r="B94" t="s">
        <v>19</v>
      </c>
      <c r="C94" t="s">
        <v>13</v>
      </c>
      <c r="D94" t="s">
        <v>18</v>
      </c>
      <c r="E94" s="1">
        <v>305</v>
      </c>
      <c r="F94" s="1">
        <v>2026</v>
      </c>
      <c r="G94" t="s">
        <v>11</v>
      </c>
      <c r="H94" s="2">
        <v>46080.58390046296</v>
      </c>
      <c r="I94" s="9">
        <f t="shared" si="10"/>
        <v>46085</v>
      </c>
      <c r="J94" s="2" t="str">
        <f t="shared" si="11"/>
        <v/>
      </c>
      <c r="L94" s="2" t="str">
        <f t="shared" si="12"/>
        <v/>
      </c>
      <c r="N94" s="10" t="str">
        <f t="shared" si="13"/>
        <v/>
      </c>
      <c r="O94" s="2">
        <f t="shared" si="14"/>
        <v>46085</v>
      </c>
      <c r="P94" s="2">
        <v>46083.394363425927</v>
      </c>
      <c r="Q94" s="2">
        <f t="shared" si="15"/>
        <v>46091</v>
      </c>
      <c r="R94" s="2">
        <v>46083.76972222222</v>
      </c>
      <c r="S94">
        <f t="shared" si="16"/>
        <v>0</v>
      </c>
      <c r="T94" s="2">
        <f t="shared" si="17"/>
        <v>46091</v>
      </c>
      <c r="U94" t="str">
        <f t="shared" si="18"/>
        <v>NO PRAZO</v>
      </c>
      <c r="Z94" s="5" t="s">
        <v>117</v>
      </c>
    </row>
    <row r="95" spans="1:26" hidden="1">
      <c r="A95" s="1">
        <v>21898</v>
      </c>
      <c r="B95" t="s">
        <v>24</v>
      </c>
      <c r="C95" t="s">
        <v>13</v>
      </c>
      <c r="D95" t="s">
        <v>16</v>
      </c>
      <c r="E95" s="1">
        <v>304</v>
      </c>
      <c r="F95" s="1">
        <v>2026</v>
      </c>
      <c r="G95" t="s">
        <v>11</v>
      </c>
      <c r="H95" s="2">
        <v>46080.500578703701</v>
      </c>
      <c r="I95" s="9">
        <f t="shared" si="10"/>
        <v>46083</v>
      </c>
      <c r="J95" s="2" t="str">
        <f t="shared" si="11"/>
        <v/>
      </c>
      <c r="L95" s="2" t="str">
        <f t="shared" si="12"/>
        <v/>
      </c>
      <c r="N95" s="10" t="str">
        <f t="shared" si="13"/>
        <v/>
      </c>
      <c r="O95" s="2">
        <f t="shared" si="14"/>
        <v>46083</v>
      </c>
      <c r="P95" s="2">
        <v>46083.402974537035</v>
      </c>
      <c r="Q95" s="2">
        <f t="shared" si="15"/>
        <v>46087</v>
      </c>
      <c r="R95" s="2">
        <v>46087.732071759259</v>
      </c>
      <c r="S95">
        <f t="shared" si="16"/>
        <v>0</v>
      </c>
      <c r="T95" s="2">
        <f t="shared" si="17"/>
        <v>46087</v>
      </c>
      <c r="U95" t="str">
        <f t="shared" si="18"/>
        <v>NO PRAZO</v>
      </c>
      <c r="Z95" s="5" t="s">
        <v>118</v>
      </c>
    </row>
    <row r="96" spans="1:26" hidden="1">
      <c r="A96" s="1">
        <v>21894</v>
      </c>
      <c r="B96" t="s">
        <v>19</v>
      </c>
      <c r="C96" t="s">
        <v>13</v>
      </c>
      <c r="D96" t="s">
        <v>18</v>
      </c>
      <c r="E96" s="1">
        <v>300</v>
      </c>
      <c r="F96" s="1">
        <v>2026</v>
      </c>
      <c r="G96" t="s">
        <v>11</v>
      </c>
      <c r="H96" s="2">
        <v>46080.417222222219</v>
      </c>
      <c r="I96" s="9">
        <f t="shared" si="10"/>
        <v>46085</v>
      </c>
      <c r="J96" s="2" t="str">
        <f t="shared" si="11"/>
        <v/>
      </c>
      <c r="L96" s="2" t="str">
        <f t="shared" si="12"/>
        <v/>
      </c>
      <c r="N96" s="10" t="str">
        <f t="shared" si="13"/>
        <v/>
      </c>
      <c r="O96" s="2">
        <f t="shared" si="14"/>
        <v>46085</v>
      </c>
      <c r="P96" s="2">
        <v>46084.684074074074</v>
      </c>
      <c r="Q96" s="2">
        <f t="shared" si="15"/>
        <v>46091</v>
      </c>
      <c r="R96" s="2">
        <v>46085.595902777779</v>
      </c>
      <c r="S96">
        <f t="shared" si="16"/>
        <v>0</v>
      </c>
      <c r="T96" s="2">
        <f t="shared" si="17"/>
        <v>46091</v>
      </c>
      <c r="U96" t="str">
        <f t="shared" si="18"/>
        <v>NO PRAZO</v>
      </c>
      <c r="Z96" s="6" t="s">
        <v>119</v>
      </c>
    </row>
    <row r="97" spans="1:26" hidden="1">
      <c r="A97" s="1">
        <v>21893</v>
      </c>
      <c r="B97" t="s">
        <v>17</v>
      </c>
      <c r="C97" t="s">
        <v>13</v>
      </c>
      <c r="D97" t="s">
        <v>18</v>
      </c>
      <c r="E97" s="1">
        <v>299</v>
      </c>
      <c r="F97" s="1">
        <v>2026</v>
      </c>
      <c r="G97" t="s">
        <v>11</v>
      </c>
      <c r="H97" s="2">
        <v>46080.417222222219</v>
      </c>
      <c r="I97" s="9">
        <f t="shared" si="10"/>
        <v>46085</v>
      </c>
      <c r="J97" s="2" t="str">
        <f t="shared" si="11"/>
        <v/>
      </c>
      <c r="L97" s="2" t="str">
        <f t="shared" si="12"/>
        <v/>
      </c>
      <c r="N97" s="10" t="str">
        <f t="shared" si="13"/>
        <v/>
      </c>
      <c r="O97" s="2">
        <f t="shared" si="14"/>
        <v>46085</v>
      </c>
      <c r="P97" s="2">
        <v>46083.625787037039</v>
      </c>
      <c r="Q97" s="2">
        <f t="shared" si="15"/>
        <v>46091</v>
      </c>
      <c r="R97" s="2">
        <v>46086.613865740743</v>
      </c>
      <c r="S97">
        <f t="shared" si="16"/>
        <v>0</v>
      </c>
      <c r="T97" s="2">
        <f t="shared" si="17"/>
        <v>46091</v>
      </c>
      <c r="U97" t="str">
        <f t="shared" si="18"/>
        <v>NO PRAZO</v>
      </c>
      <c r="Z97" s="5" t="s">
        <v>120</v>
      </c>
    </row>
    <row r="98" spans="1:26" hidden="1">
      <c r="A98" s="1">
        <v>21892</v>
      </c>
      <c r="B98" t="s">
        <v>17</v>
      </c>
      <c r="C98" t="s">
        <v>13</v>
      </c>
      <c r="D98" t="s">
        <v>18</v>
      </c>
      <c r="E98" s="1">
        <v>298</v>
      </c>
      <c r="F98" s="1">
        <v>2026</v>
      </c>
      <c r="G98" t="s">
        <v>11</v>
      </c>
      <c r="H98" s="2">
        <v>46080.417222222219</v>
      </c>
      <c r="I98" s="9">
        <f t="shared" ref="I98:I129" si="19">IF(OR(D98="ORIENTAÇÃO",D98="BUG IMPEDITIVO",D98="BUG NÃO IMPEDITIVO"),WORKDAY(H98,1,Z$2:Z$500),IF(OR(D98="MELHORIA PEQUENA",D98="MELHORIA MÉDIA"),WORKDAY(H98,3,Z$2:Z$500),""))</f>
        <v>46085</v>
      </c>
      <c r="J98" s="2" t="str">
        <f t="shared" si="11"/>
        <v/>
      </c>
      <c r="L98" s="2" t="str">
        <f t="shared" si="12"/>
        <v/>
      </c>
      <c r="N98" s="10" t="str">
        <f t="shared" si="13"/>
        <v/>
      </c>
      <c r="O98" s="2">
        <f t="shared" si="14"/>
        <v>46085</v>
      </c>
      <c r="P98" s="2">
        <v>46083.522268518522</v>
      </c>
      <c r="Q98" s="2">
        <f t="shared" si="15"/>
        <v>46091</v>
      </c>
      <c r="R98" s="2">
        <v>46086.702106481483</v>
      </c>
      <c r="S98">
        <f t="shared" si="16"/>
        <v>0</v>
      </c>
      <c r="T98" s="2">
        <f t="shared" si="17"/>
        <v>46091</v>
      </c>
      <c r="U98" t="str">
        <f t="shared" si="18"/>
        <v>NO PRAZO</v>
      </c>
      <c r="Z98" s="5" t="s">
        <v>121</v>
      </c>
    </row>
    <row r="99" spans="1:26" hidden="1">
      <c r="A99" s="1">
        <v>21888</v>
      </c>
      <c r="B99" t="s">
        <v>17</v>
      </c>
      <c r="C99" t="s">
        <v>9</v>
      </c>
      <c r="D99" t="s">
        <v>18</v>
      </c>
      <c r="E99" s="1">
        <v>294</v>
      </c>
      <c r="F99" s="1">
        <v>2026</v>
      </c>
      <c r="G99" t="s">
        <v>11</v>
      </c>
      <c r="H99" s="2">
        <v>46079.667222222219</v>
      </c>
      <c r="I99" s="9">
        <f t="shared" si="19"/>
        <v>46084</v>
      </c>
      <c r="J99" s="2" t="str">
        <f t="shared" si="11"/>
        <v/>
      </c>
      <c r="L99" s="2" t="str">
        <f t="shared" si="12"/>
        <v/>
      </c>
      <c r="N99" s="10" t="str">
        <f t="shared" si="13"/>
        <v/>
      </c>
      <c r="O99" s="2">
        <f t="shared" si="14"/>
        <v>46084</v>
      </c>
      <c r="P99" s="2">
        <v>46080.506319444445</v>
      </c>
      <c r="Q99" s="2">
        <f t="shared" si="15"/>
        <v>46090</v>
      </c>
      <c r="R99" s="2">
        <v>46080.603090277778</v>
      </c>
      <c r="S99">
        <f t="shared" si="16"/>
        <v>0</v>
      </c>
      <c r="T99" s="2">
        <f t="shared" si="17"/>
        <v>46090</v>
      </c>
      <c r="U99" t="str">
        <f t="shared" si="18"/>
        <v>NO PRAZO</v>
      </c>
      <c r="Z99" s="5" t="s">
        <v>122</v>
      </c>
    </row>
    <row r="100" spans="1:26" hidden="1">
      <c r="A100" s="1">
        <v>21881</v>
      </c>
      <c r="B100" t="s">
        <v>19</v>
      </c>
      <c r="C100" t="s">
        <v>13</v>
      </c>
      <c r="D100" t="s">
        <v>14</v>
      </c>
      <c r="E100" s="1">
        <v>287</v>
      </c>
      <c r="F100" s="1">
        <v>2026</v>
      </c>
      <c r="G100" t="s">
        <v>11</v>
      </c>
      <c r="H100" s="2">
        <v>46079.417187500003</v>
      </c>
      <c r="I100" s="9">
        <f t="shared" si="19"/>
        <v>46080</v>
      </c>
      <c r="J100" s="2" t="str">
        <f t="shared" si="11"/>
        <v/>
      </c>
      <c r="L100" s="2" t="str">
        <f t="shared" si="12"/>
        <v/>
      </c>
      <c r="N100" s="10" t="str">
        <f t="shared" si="13"/>
        <v/>
      </c>
      <c r="O100" s="2">
        <f t="shared" si="14"/>
        <v>46080</v>
      </c>
      <c r="P100" s="2">
        <v>46079.574166666665</v>
      </c>
      <c r="Q100" s="2">
        <f t="shared" si="15"/>
        <v>46083</v>
      </c>
      <c r="R100" s="2">
        <v>46079.622476851851</v>
      </c>
      <c r="S100">
        <f t="shared" si="16"/>
        <v>0</v>
      </c>
      <c r="T100" s="2">
        <f t="shared" si="17"/>
        <v>46083</v>
      </c>
      <c r="U100" t="str">
        <f t="shared" si="18"/>
        <v>NO PRAZO</v>
      </c>
      <c r="Z100" s="5" t="s">
        <v>123</v>
      </c>
    </row>
    <row r="101" spans="1:26" hidden="1">
      <c r="A101" s="1">
        <v>21877</v>
      </c>
      <c r="B101" t="s">
        <v>8</v>
      </c>
      <c r="C101" t="s">
        <v>9</v>
      </c>
      <c r="D101" t="s">
        <v>18</v>
      </c>
      <c r="E101" s="1">
        <v>283</v>
      </c>
      <c r="F101" s="1">
        <v>2026</v>
      </c>
      <c r="G101" t="s">
        <v>11</v>
      </c>
      <c r="H101" s="2">
        <v>46078.695601851854</v>
      </c>
      <c r="I101" s="9">
        <f t="shared" si="19"/>
        <v>46083</v>
      </c>
      <c r="J101" s="2" t="str">
        <f t="shared" si="11"/>
        <v/>
      </c>
      <c r="L101" s="2" t="str">
        <f t="shared" si="12"/>
        <v/>
      </c>
      <c r="N101" s="10" t="str">
        <f t="shared" si="13"/>
        <v/>
      </c>
      <c r="O101" s="2">
        <f t="shared" si="14"/>
        <v>46083</v>
      </c>
      <c r="P101" s="2">
        <v>46078.718472222223</v>
      </c>
      <c r="Q101" s="2">
        <f t="shared" si="15"/>
        <v>46087</v>
      </c>
      <c r="R101" s="2">
        <v>46080.526469907411</v>
      </c>
      <c r="S101">
        <f t="shared" si="16"/>
        <v>0</v>
      </c>
      <c r="T101" s="2">
        <f t="shared" si="17"/>
        <v>46087</v>
      </c>
      <c r="U101" t="str">
        <f t="shared" si="18"/>
        <v>NO PRAZO</v>
      </c>
      <c r="Z101" s="5" t="s">
        <v>124</v>
      </c>
    </row>
    <row r="102" spans="1:26" hidden="1">
      <c r="A102" s="1">
        <v>21876</v>
      </c>
      <c r="B102" t="s">
        <v>19</v>
      </c>
      <c r="C102" t="s">
        <v>13</v>
      </c>
      <c r="D102" t="s">
        <v>18</v>
      </c>
      <c r="E102" s="1">
        <v>282</v>
      </c>
      <c r="F102" s="1">
        <v>2026</v>
      </c>
      <c r="G102" t="s">
        <v>11</v>
      </c>
      <c r="H102" s="2">
        <v>46078.695</v>
      </c>
      <c r="I102" s="9">
        <f t="shared" si="19"/>
        <v>46083</v>
      </c>
      <c r="J102" s="2" t="str">
        <f t="shared" si="11"/>
        <v/>
      </c>
      <c r="L102" s="2" t="str">
        <f t="shared" si="12"/>
        <v/>
      </c>
      <c r="N102" s="10" t="str">
        <f t="shared" si="13"/>
        <v/>
      </c>
      <c r="O102" s="2">
        <f t="shared" si="14"/>
        <v>46083</v>
      </c>
      <c r="P102" s="2">
        <v>46080.436666666668</v>
      </c>
      <c r="Q102" s="2">
        <f t="shared" si="15"/>
        <v>46087</v>
      </c>
      <c r="R102" s="2">
        <v>46080.525613425925</v>
      </c>
      <c r="S102">
        <f t="shared" si="16"/>
        <v>0</v>
      </c>
      <c r="T102" s="2">
        <f t="shared" si="17"/>
        <v>46087</v>
      </c>
      <c r="U102" t="str">
        <f t="shared" si="18"/>
        <v>NO PRAZO</v>
      </c>
      <c r="Z102" s="5" t="s">
        <v>125</v>
      </c>
    </row>
    <row r="103" spans="1:26" hidden="1">
      <c r="A103" s="1">
        <v>21875</v>
      </c>
      <c r="B103" t="s">
        <v>24</v>
      </c>
      <c r="C103" t="s">
        <v>13</v>
      </c>
      <c r="D103" t="s">
        <v>18</v>
      </c>
      <c r="E103" s="1">
        <v>281</v>
      </c>
      <c r="F103" s="1">
        <v>2026</v>
      </c>
      <c r="G103" t="s">
        <v>11</v>
      </c>
      <c r="H103" s="2">
        <v>46078.694340277776</v>
      </c>
      <c r="I103" s="9">
        <f t="shared" si="19"/>
        <v>46083</v>
      </c>
      <c r="J103" s="2" t="str">
        <f t="shared" si="11"/>
        <v/>
      </c>
      <c r="L103" s="2" t="str">
        <f t="shared" si="12"/>
        <v/>
      </c>
      <c r="N103" s="10" t="str">
        <f t="shared" si="13"/>
        <v/>
      </c>
      <c r="O103" s="2">
        <f t="shared" si="14"/>
        <v>46083</v>
      </c>
      <c r="P103" s="2">
        <v>46079.733888888892</v>
      </c>
      <c r="Q103" s="2">
        <f t="shared" si="15"/>
        <v>46087</v>
      </c>
      <c r="R103" s="2">
        <v>46080.526018518518</v>
      </c>
      <c r="S103">
        <f t="shared" si="16"/>
        <v>0</v>
      </c>
      <c r="T103" s="2">
        <f t="shared" si="17"/>
        <v>46087</v>
      </c>
      <c r="U103" t="str">
        <f t="shared" si="18"/>
        <v>NO PRAZO</v>
      </c>
      <c r="Z103" s="5" t="s">
        <v>126</v>
      </c>
    </row>
    <row r="104" spans="1:26" hidden="1">
      <c r="A104" s="1">
        <v>21867</v>
      </c>
      <c r="B104" t="s">
        <v>23</v>
      </c>
      <c r="C104" t="s">
        <v>13</v>
      </c>
      <c r="D104" t="s">
        <v>10</v>
      </c>
      <c r="E104" s="1">
        <v>273</v>
      </c>
      <c r="F104" s="1">
        <v>2026</v>
      </c>
      <c r="G104" t="s">
        <v>11</v>
      </c>
      <c r="H104" s="2">
        <v>46078.500474537039</v>
      </c>
      <c r="I104" s="9">
        <f t="shared" si="19"/>
        <v>46079</v>
      </c>
      <c r="J104" s="2" t="str">
        <f t="shared" si="11"/>
        <v/>
      </c>
      <c r="L104" s="2" t="str">
        <f t="shared" si="12"/>
        <v/>
      </c>
      <c r="N104" s="10" t="str">
        <f t="shared" si="13"/>
        <v/>
      </c>
      <c r="O104" s="2">
        <f t="shared" si="14"/>
        <v>46079</v>
      </c>
      <c r="P104" s="2">
        <v>46078.648425925923</v>
      </c>
      <c r="Q104" s="2">
        <f t="shared" si="15"/>
        <v>46080</v>
      </c>
      <c r="R104" s="2">
        <v>46079.372187499997</v>
      </c>
      <c r="S104">
        <f t="shared" si="16"/>
        <v>0</v>
      </c>
      <c r="T104" s="2">
        <f t="shared" si="17"/>
        <v>46080</v>
      </c>
      <c r="U104" t="str">
        <f t="shared" si="18"/>
        <v>NO PRAZO</v>
      </c>
      <c r="Z104" s="7" t="s">
        <v>127</v>
      </c>
    </row>
    <row r="105" spans="1:26">
      <c r="A105" s="1">
        <v>21863</v>
      </c>
      <c r="B105" t="s">
        <v>17</v>
      </c>
      <c r="C105" t="s">
        <v>13</v>
      </c>
      <c r="D105" t="s">
        <v>14</v>
      </c>
      <c r="E105" s="1">
        <v>269</v>
      </c>
      <c r="F105" s="1">
        <v>2026</v>
      </c>
      <c r="G105" t="s">
        <v>11</v>
      </c>
      <c r="H105" s="2">
        <v>46077.750451388885</v>
      </c>
      <c r="I105" s="9">
        <f t="shared" si="19"/>
        <v>46078</v>
      </c>
      <c r="J105" s="2" t="str">
        <f t="shared" si="11"/>
        <v/>
      </c>
      <c r="L105" s="2" t="str">
        <f t="shared" si="12"/>
        <v/>
      </c>
      <c r="N105" s="10" t="str">
        <f t="shared" si="13"/>
        <v/>
      </c>
      <c r="O105" s="2">
        <f t="shared" si="14"/>
        <v>46078</v>
      </c>
      <c r="P105" s="2">
        <v>46083.473703703705</v>
      </c>
      <c r="Q105" s="2">
        <f t="shared" si="15"/>
        <v>46079</v>
      </c>
      <c r="R105" s="2">
        <v>46083.473923611113</v>
      </c>
      <c r="S105">
        <f t="shared" si="16"/>
        <v>4</v>
      </c>
      <c r="T105" s="2">
        <f t="shared" si="17"/>
        <v>46079</v>
      </c>
      <c r="U105" t="str">
        <f t="shared" si="18"/>
        <v>ATRASO</v>
      </c>
      <c r="Z105" s="7" t="s">
        <v>128</v>
      </c>
    </row>
    <row r="106" spans="1:26">
      <c r="A106" s="1">
        <v>21862</v>
      </c>
      <c r="B106" t="s">
        <v>17</v>
      </c>
      <c r="C106" t="s">
        <v>13</v>
      </c>
      <c r="D106" t="s">
        <v>14</v>
      </c>
      <c r="E106" s="1">
        <v>268</v>
      </c>
      <c r="F106" s="1">
        <v>2026</v>
      </c>
      <c r="G106" t="s">
        <v>11</v>
      </c>
      <c r="H106" s="2">
        <v>46077.750451388885</v>
      </c>
      <c r="I106" s="9">
        <f t="shared" si="19"/>
        <v>46078</v>
      </c>
      <c r="J106" s="2" t="str">
        <f t="shared" si="11"/>
        <v/>
      </c>
      <c r="L106" s="2" t="str">
        <f t="shared" si="12"/>
        <v/>
      </c>
      <c r="N106" s="10" t="str">
        <f t="shared" si="13"/>
        <v/>
      </c>
      <c r="O106" s="2">
        <f t="shared" si="14"/>
        <v>46078</v>
      </c>
      <c r="P106" s="2">
        <v>46078.716087962966</v>
      </c>
      <c r="Q106" s="2">
        <f t="shared" si="15"/>
        <v>46079</v>
      </c>
      <c r="R106" s="2">
        <v>46083.486192129632</v>
      </c>
      <c r="S106">
        <f t="shared" si="16"/>
        <v>4</v>
      </c>
      <c r="T106" s="2">
        <f t="shared" si="17"/>
        <v>46079</v>
      </c>
      <c r="U106" t="str">
        <f t="shared" si="18"/>
        <v>ATRASO</v>
      </c>
      <c r="Z106" s="7" t="s">
        <v>129</v>
      </c>
    </row>
    <row r="107" spans="1:26" hidden="1">
      <c r="A107" s="1">
        <v>21860</v>
      </c>
      <c r="B107" t="s">
        <v>23</v>
      </c>
      <c r="C107" t="s">
        <v>13</v>
      </c>
      <c r="D107" t="s">
        <v>10</v>
      </c>
      <c r="E107" s="1">
        <v>266</v>
      </c>
      <c r="F107" s="1">
        <v>2026</v>
      </c>
      <c r="G107" t="s">
        <v>11</v>
      </c>
      <c r="H107" s="2">
        <v>46077.658645833333</v>
      </c>
      <c r="I107" s="9">
        <f t="shared" si="19"/>
        <v>46078</v>
      </c>
      <c r="J107" s="2" t="str">
        <f t="shared" si="11"/>
        <v/>
      </c>
      <c r="L107" s="2" t="str">
        <f t="shared" si="12"/>
        <v/>
      </c>
      <c r="N107" s="10" t="str">
        <f t="shared" si="13"/>
        <v/>
      </c>
      <c r="O107" s="2">
        <f t="shared" si="14"/>
        <v>46078</v>
      </c>
      <c r="P107" s="2">
        <v>46077.663784722223</v>
      </c>
      <c r="Q107" s="2">
        <f t="shared" si="15"/>
        <v>46079</v>
      </c>
      <c r="R107" s="2">
        <v>46077.694525462961</v>
      </c>
      <c r="S107">
        <f t="shared" si="16"/>
        <v>0</v>
      </c>
      <c r="T107" s="2">
        <f t="shared" si="17"/>
        <v>46079</v>
      </c>
      <c r="U107" t="str">
        <f t="shared" si="18"/>
        <v>NO PRAZO</v>
      </c>
      <c r="Z107" s="5" t="s">
        <v>130</v>
      </c>
    </row>
    <row r="108" spans="1:26">
      <c r="A108" s="1">
        <v>21858</v>
      </c>
      <c r="B108" t="s">
        <v>8</v>
      </c>
      <c r="C108" t="s">
        <v>9</v>
      </c>
      <c r="D108" t="s">
        <v>10</v>
      </c>
      <c r="E108" s="1">
        <v>264</v>
      </c>
      <c r="F108" s="1">
        <v>2026</v>
      </c>
      <c r="G108" t="s">
        <v>11</v>
      </c>
      <c r="H108" s="2">
        <v>46077.625451388885</v>
      </c>
      <c r="I108" s="9">
        <f t="shared" si="19"/>
        <v>46078</v>
      </c>
      <c r="J108" s="2" t="str">
        <f t="shared" si="11"/>
        <v/>
      </c>
      <c r="L108" s="2" t="str">
        <f t="shared" si="12"/>
        <v/>
      </c>
      <c r="N108" s="10" t="str">
        <f t="shared" si="13"/>
        <v/>
      </c>
      <c r="O108" s="2">
        <f t="shared" si="14"/>
        <v>46078</v>
      </c>
      <c r="P108" s="2">
        <v>46078.413530092592</v>
      </c>
      <c r="Q108" s="2">
        <f t="shared" si="15"/>
        <v>46079</v>
      </c>
      <c r="R108" s="2">
        <v>46080.736956018518</v>
      </c>
      <c r="S108">
        <f t="shared" si="16"/>
        <v>1</v>
      </c>
      <c r="T108" s="2">
        <f t="shared" si="17"/>
        <v>46079</v>
      </c>
      <c r="U108" t="str">
        <f t="shared" si="18"/>
        <v>ATRASO</v>
      </c>
      <c r="Z108" s="5" t="s">
        <v>131</v>
      </c>
    </row>
    <row r="109" spans="1:26" hidden="1">
      <c r="A109" s="1">
        <v>21852</v>
      </c>
      <c r="B109" t="s">
        <v>8</v>
      </c>
      <c r="C109" t="s">
        <v>13</v>
      </c>
      <c r="D109" t="s">
        <v>18</v>
      </c>
      <c r="E109" s="1">
        <v>258</v>
      </c>
      <c r="F109" s="1">
        <v>2026</v>
      </c>
      <c r="G109" t="s">
        <v>11</v>
      </c>
      <c r="H109" s="2">
        <v>46077.417094907411</v>
      </c>
      <c r="I109" s="9">
        <f t="shared" si="19"/>
        <v>46080</v>
      </c>
      <c r="J109" s="2" t="str">
        <f t="shared" si="11"/>
        <v/>
      </c>
      <c r="L109" s="2" t="str">
        <f t="shared" si="12"/>
        <v/>
      </c>
      <c r="N109" s="10" t="str">
        <f t="shared" si="13"/>
        <v/>
      </c>
      <c r="O109" s="2">
        <f t="shared" si="14"/>
        <v>46080</v>
      </c>
      <c r="P109" s="2">
        <v>46077.597488425927</v>
      </c>
      <c r="Q109" s="2">
        <f t="shared" si="15"/>
        <v>46086</v>
      </c>
      <c r="R109" s="2">
        <v>46077.598124999997</v>
      </c>
      <c r="S109">
        <f t="shared" si="16"/>
        <v>0</v>
      </c>
      <c r="T109" s="2">
        <f t="shared" si="17"/>
        <v>46086</v>
      </c>
      <c r="U109" t="str">
        <f t="shared" si="18"/>
        <v>NO PRAZO</v>
      </c>
      <c r="Z109" s="5" t="s">
        <v>132</v>
      </c>
    </row>
    <row r="110" spans="1:26" hidden="1">
      <c r="A110" s="1">
        <v>21849</v>
      </c>
      <c r="B110" t="s">
        <v>17</v>
      </c>
      <c r="C110" t="s">
        <v>13</v>
      </c>
      <c r="D110" t="s">
        <v>18</v>
      </c>
      <c r="E110" s="1">
        <v>255</v>
      </c>
      <c r="F110" s="1">
        <v>2026</v>
      </c>
      <c r="G110" t="s">
        <v>11</v>
      </c>
      <c r="H110" s="2">
        <v>46076.728460648148</v>
      </c>
      <c r="I110" s="9">
        <f t="shared" si="19"/>
        <v>46079</v>
      </c>
      <c r="J110" s="2" t="str">
        <f t="shared" si="11"/>
        <v/>
      </c>
      <c r="L110" s="2" t="str">
        <f t="shared" si="12"/>
        <v/>
      </c>
      <c r="N110" s="10" t="str">
        <f t="shared" si="13"/>
        <v/>
      </c>
      <c r="O110" s="2">
        <f t="shared" si="14"/>
        <v>46079</v>
      </c>
      <c r="P110" s="2">
        <v>46077.398078703707</v>
      </c>
      <c r="Q110" s="2">
        <f t="shared" si="15"/>
        <v>46085</v>
      </c>
      <c r="R110" s="2">
        <v>46078.469733796293</v>
      </c>
      <c r="S110">
        <f t="shared" si="16"/>
        <v>0</v>
      </c>
      <c r="T110" s="2">
        <f t="shared" si="17"/>
        <v>46085</v>
      </c>
      <c r="U110" t="str">
        <f t="shared" si="18"/>
        <v>NO PRAZO</v>
      </c>
      <c r="Z110" s="5" t="s">
        <v>133</v>
      </c>
    </row>
    <row r="111" spans="1:26" hidden="1">
      <c r="A111" s="1">
        <v>21847</v>
      </c>
      <c r="B111" t="s">
        <v>23</v>
      </c>
      <c r="C111" t="s">
        <v>13</v>
      </c>
      <c r="D111" t="s">
        <v>18</v>
      </c>
      <c r="E111" s="1">
        <v>253</v>
      </c>
      <c r="F111" s="1">
        <v>2026</v>
      </c>
      <c r="G111" t="s">
        <v>11</v>
      </c>
      <c r="H111" s="2">
        <v>46076.726921296293</v>
      </c>
      <c r="I111" s="9">
        <f t="shared" si="19"/>
        <v>46079</v>
      </c>
      <c r="J111" s="2" t="str">
        <f t="shared" si="11"/>
        <v/>
      </c>
      <c r="L111" s="2" t="str">
        <f t="shared" si="12"/>
        <v/>
      </c>
      <c r="N111" s="10" t="str">
        <f t="shared" si="13"/>
        <v/>
      </c>
      <c r="O111" s="2">
        <f t="shared" si="14"/>
        <v>46079</v>
      </c>
      <c r="P111" s="2">
        <v>46077.410983796297</v>
      </c>
      <c r="Q111" s="2">
        <f t="shared" si="15"/>
        <v>46085</v>
      </c>
      <c r="R111" s="2">
        <v>46078.470636574071</v>
      </c>
      <c r="S111">
        <f t="shared" si="16"/>
        <v>0</v>
      </c>
      <c r="T111" s="2">
        <f t="shared" si="17"/>
        <v>46085</v>
      </c>
      <c r="U111" t="str">
        <f t="shared" si="18"/>
        <v>NO PRAZO</v>
      </c>
      <c r="Z111" s="5" t="s">
        <v>134</v>
      </c>
    </row>
    <row r="112" spans="1:26" hidden="1">
      <c r="A112" s="1">
        <v>21846</v>
      </c>
      <c r="B112" t="s">
        <v>17</v>
      </c>
      <c r="C112" t="s">
        <v>13</v>
      </c>
      <c r="D112" t="s">
        <v>18</v>
      </c>
      <c r="E112" s="1">
        <v>252</v>
      </c>
      <c r="F112" s="1">
        <v>2026</v>
      </c>
      <c r="G112" t="s">
        <v>11</v>
      </c>
      <c r="H112" s="2">
        <v>46076.667071759257</v>
      </c>
      <c r="I112" s="9">
        <f t="shared" si="19"/>
        <v>46079</v>
      </c>
      <c r="J112" s="2" t="str">
        <f t="shared" si="11"/>
        <v/>
      </c>
      <c r="L112" s="2" t="str">
        <f t="shared" si="12"/>
        <v/>
      </c>
      <c r="N112" s="10" t="str">
        <f t="shared" si="13"/>
        <v/>
      </c>
      <c r="O112" s="2">
        <f t="shared" si="14"/>
        <v>46079</v>
      </c>
      <c r="P112" s="2">
        <v>46077.530335648145</v>
      </c>
      <c r="Q112" s="2">
        <f t="shared" si="15"/>
        <v>46085</v>
      </c>
      <c r="R112" s="2">
        <v>46078.612881944442</v>
      </c>
      <c r="S112">
        <f t="shared" si="16"/>
        <v>0</v>
      </c>
      <c r="T112" s="2">
        <f t="shared" si="17"/>
        <v>46085</v>
      </c>
      <c r="U112" t="str">
        <f t="shared" si="18"/>
        <v>NO PRAZO</v>
      </c>
      <c r="Z112" s="5" t="s">
        <v>135</v>
      </c>
    </row>
    <row r="113" spans="1:26" hidden="1">
      <c r="A113" s="1">
        <v>21842</v>
      </c>
      <c r="B113" t="s">
        <v>20</v>
      </c>
      <c r="C113" t="s">
        <v>13</v>
      </c>
      <c r="D113" t="s">
        <v>18</v>
      </c>
      <c r="E113" s="1">
        <v>248</v>
      </c>
      <c r="F113" s="1">
        <v>2026</v>
      </c>
      <c r="G113" t="s">
        <v>11</v>
      </c>
      <c r="H113" s="2">
        <v>46073.750162037039</v>
      </c>
      <c r="I113" s="9">
        <f t="shared" si="19"/>
        <v>46078</v>
      </c>
      <c r="J113" s="2" t="str">
        <f t="shared" si="11"/>
        <v/>
      </c>
      <c r="L113" s="2" t="str">
        <f t="shared" si="12"/>
        <v/>
      </c>
      <c r="N113" s="10" t="str">
        <f t="shared" si="13"/>
        <v/>
      </c>
      <c r="O113" s="2">
        <f t="shared" si="14"/>
        <v>46078</v>
      </c>
      <c r="P113" s="2">
        <v>46076.465173611112</v>
      </c>
      <c r="Q113" s="2">
        <f t="shared" si="15"/>
        <v>46084</v>
      </c>
      <c r="R113" s="2">
        <v>46076.473171296297</v>
      </c>
      <c r="S113">
        <f t="shared" si="16"/>
        <v>0</v>
      </c>
      <c r="T113" s="2">
        <f t="shared" si="17"/>
        <v>46084</v>
      </c>
      <c r="U113" t="str">
        <f t="shared" si="18"/>
        <v>NO PRAZO</v>
      </c>
      <c r="Z113" s="5" t="s">
        <v>136</v>
      </c>
    </row>
    <row r="114" spans="1:26" hidden="1">
      <c r="A114" s="1">
        <v>21840</v>
      </c>
      <c r="B114" t="s">
        <v>17</v>
      </c>
      <c r="C114" t="s">
        <v>13</v>
      </c>
      <c r="D114" t="s">
        <v>18</v>
      </c>
      <c r="E114" s="1">
        <v>246</v>
      </c>
      <c r="F114" s="1">
        <v>2026</v>
      </c>
      <c r="G114" t="s">
        <v>11</v>
      </c>
      <c r="H114" s="2">
        <v>46073.500300925924</v>
      </c>
      <c r="I114" s="9">
        <f t="shared" si="19"/>
        <v>46078</v>
      </c>
      <c r="J114" s="2" t="str">
        <f t="shared" si="11"/>
        <v/>
      </c>
      <c r="L114" s="2" t="str">
        <f t="shared" si="12"/>
        <v/>
      </c>
      <c r="N114" s="10" t="str">
        <f t="shared" si="13"/>
        <v/>
      </c>
      <c r="O114" s="2">
        <f t="shared" si="14"/>
        <v>46078</v>
      </c>
      <c r="P114" s="2">
        <v>46077.666273148148</v>
      </c>
      <c r="Q114" s="2">
        <f t="shared" si="15"/>
        <v>46084</v>
      </c>
      <c r="R114" s="2">
        <v>46078.700925925928</v>
      </c>
      <c r="S114">
        <f t="shared" si="16"/>
        <v>0</v>
      </c>
      <c r="T114" s="2">
        <f t="shared" si="17"/>
        <v>46084</v>
      </c>
      <c r="U114" t="str">
        <f t="shared" si="18"/>
        <v>NO PRAZO</v>
      </c>
      <c r="Z114" s="5" t="s">
        <v>137</v>
      </c>
    </row>
    <row r="115" spans="1:26" hidden="1">
      <c r="A115" s="1">
        <v>21831</v>
      </c>
      <c r="B115" t="s">
        <v>17</v>
      </c>
      <c r="C115" t="s">
        <v>13</v>
      </c>
      <c r="D115" t="s">
        <v>18</v>
      </c>
      <c r="E115" s="1">
        <v>237</v>
      </c>
      <c r="F115" s="1">
        <v>2026</v>
      </c>
      <c r="G115" t="s">
        <v>11</v>
      </c>
      <c r="H115" s="2">
        <v>46072.3752662037</v>
      </c>
      <c r="I115" s="9">
        <f t="shared" si="19"/>
        <v>46077</v>
      </c>
      <c r="J115" s="2" t="str">
        <f t="shared" si="11"/>
        <v/>
      </c>
      <c r="L115" s="2" t="str">
        <f t="shared" si="12"/>
        <v/>
      </c>
      <c r="N115" s="10" t="str">
        <f t="shared" si="13"/>
        <v/>
      </c>
      <c r="O115" s="2">
        <f t="shared" si="14"/>
        <v>46077</v>
      </c>
      <c r="P115" s="2">
        <v>46073.440937500003</v>
      </c>
      <c r="Q115" s="2">
        <f t="shared" si="15"/>
        <v>46083</v>
      </c>
      <c r="R115" s="2">
        <v>46076.364953703705</v>
      </c>
      <c r="S115">
        <f t="shared" si="16"/>
        <v>0</v>
      </c>
      <c r="T115" s="2">
        <f t="shared" si="17"/>
        <v>46083</v>
      </c>
      <c r="U115" t="str">
        <f t="shared" si="18"/>
        <v>NO PRAZO</v>
      </c>
      <c r="Z115" s="5" t="s">
        <v>138</v>
      </c>
    </row>
    <row r="116" spans="1:26" hidden="1">
      <c r="A116" s="1">
        <v>21828</v>
      </c>
      <c r="B116" t="s">
        <v>17</v>
      </c>
      <c r="C116" t="s">
        <v>13</v>
      </c>
      <c r="D116" t="s">
        <v>18</v>
      </c>
      <c r="E116" s="1">
        <v>234</v>
      </c>
      <c r="F116" s="1">
        <v>2026</v>
      </c>
      <c r="G116" t="s">
        <v>11</v>
      </c>
      <c r="H116" s="2">
        <v>46071.58357638889</v>
      </c>
      <c r="I116" s="9">
        <f t="shared" si="19"/>
        <v>46076</v>
      </c>
      <c r="J116" s="2" t="str">
        <f t="shared" si="11"/>
        <v/>
      </c>
      <c r="L116" s="2" t="str">
        <f t="shared" si="12"/>
        <v/>
      </c>
      <c r="N116" s="10" t="str">
        <f t="shared" si="13"/>
        <v/>
      </c>
      <c r="O116" s="2">
        <f t="shared" si="14"/>
        <v>46076</v>
      </c>
      <c r="P116" s="2">
        <v>46071.795138888891</v>
      </c>
      <c r="Q116" s="2">
        <f t="shared" si="15"/>
        <v>46080</v>
      </c>
      <c r="R116" s="2">
        <v>46071.795567129629</v>
      </c>
      <c r="S116">
        <f t="shared" si="16"/>
        <v>0</v>
      </c>
      <c r="T116" s="2">
        <f t="shared" si="17"/>
        <v>46080</v>
      </c>
      <c r="U116" t="str">
        <f t="shared" si="18"/>
        <v>NO PRAZO</v>
      </c>
      <c r="Z116" s="5" t="s">
        <v>139</v>
      </c>
    </row>
    <row r="117" spans="1:26" hidden="1">
      <c r="A117" s="1">
        <v>21823</v>
      </c>
      <c r="B117" t="s">
        <v>17</v>
      </c>
      <c r="C117" t="s">
        <v>13</v>
      </c>
      <c r="D117" t="s">
        <v>16</v>
      </c>
      <c r="E117" s="1">
        <v>229</v>
      </c>
      <c r="F117" s="1">
        <v>2026</v>
      </c>
      <c r="G117" t="s">
        <v>11</v>
      </c>
      <c r="H117" s="2">
        <v>46066.583680555559</v>
      </c>
      <c r="I117" s="9">
        <f t="shared" si="19"/>
        <v>46072</v>
      </c>
      <c r="J117" s="2" t="str">
        <f t="shared" si="11"/>
        <v/>
      </c>
      <c r="L117" s="2" t="str">
        <f t="shared" si="12"/>
        <v/>
      </c>
      <c r="N117" s="10" t="str">
        <f t="shared" si="13"/>
        <v/>
      </c>
      <c r="O117" s="2">
        <f t="shared" si="14"/>
        <v>46072</v>
      </c>
      <c r="P117" s="2">
        <v>46078.503472222219</v>
      </c>
      <c r="Q117" s="2">
        <f t="shared" si="15"/>
        <v>46078</v>
      </c>
      <c r="R117" s="2">
        <v>46078.610266203701</v>
      </c>
      <c r="S117">
        <f t="shared" si="16"/>
        <v>0</v>
      </c>
      <c r="T117" s="2">
        <f t="shared" si="17"/>
        <v>46078</v>
      </c>
      <c r="U117" t="str">
        <f t="shared" si="18"/>
        <v>NO PRAZO</v>
      </c>
      <c r="Z117" s="5" t="s">
        <v>140</v>
      </c>
    </row>
    <row r="118" spans="1:26" hidden="1">
      <c r="A118" s="1">
        <v>21821</v>
      </c>
      <c r="B118" t="s">
        <v>12</v>
      </c>
      <c r="C118" t="s">
        <v>13</v>
      </c>
      <c r="D118" t="s">
        <v>18</v>
      </c>
      <c r="E118" s="1">
        <v>227</v>
      </c>
      <c r="F118" s="1">
        <v>2026</v>
      </c>
      <c r="G118" t="s">
        <v>11</v>
      </c>
      <c r="H118" s="2">
        <v>46066.500324074077</v>
      </c>
      <c r="I118" s="9">
        <f t="shared" si="19"/>
        <v>46076</v>
      </c>
      <c r="J118" s="2" t="str">
        <f t="shared" si="11"/>
        <v/>
      </c>
      <c r="L118" s="2" t="str">
        <f t="shared" si="12"/>
        <v/>
      </c>
      <c r="N118" s="10" t="str">
        <f t="shared" si="13"/>
        <v/>
      </c>
      <c r="O118" s="2">
        <f t="shared" si="14"/>
        <v>46076</v>
      </c>
      <c r="P118" s="2">
        <v>46071.752013888887</v>
      </c>
      <c r="Q118" s="2">
        <f t="shared" si="15"/>
        <v>46080</v>
      </c>
      <c r="R118" s="2">
        <v>46077.452604166669</v>
      </c>
      <c r="S118">
        <f t="shared" si="16"/>
        <v>0</v>
      </c>
      <c r="T118" s="2">
        <f t="shared" si="17"/>
        <v>46080</v>
      </c>
      <c r="U118" t="str">
        <f t="shared" si="18"/>
        <v>NO PRAZO</v>
      </c>
      <c r="Z118" s="5" t="s">
        <v>141</v>
      </c>
    </row>
    <row r="119" spans="1:26" hidden="1">
      <c r="A119" s="1">
        <v>21820</v>
      </c>
      <c r="B119" t="s">
        <v>15</v>
      </c>
      <c r="C119" t="s">
        <v>13</v>
      </c>
      <c r="D119" t="s">
        <v>10</v>
      </c>
      <c r="E119" s="1">
        <v>226</v>
      </c>
      <c r="F119" s="1">
        <v>2026</v>
      </c>
      <c r="G119" t="s">
        <v>11</v>
      </c>
      <c r="H119" s="2">
        <v>46066.500324074077</v>
      </c>
      <c r="I119" s="9">
        <f t="shared" si="19"/>
        <v>46072</v>
      </c>
      <c r="J119" s="2" t="str">
        <f t="shared" si="11"/>
        <v/>
      </c>
      <c r="L119" s="2" t="str">
        <f t="shared" si="12"/>
        <v/>
      </c>
      <c r="N119" s="10" t="str">
        <f t="shared" si="13"/>
        <v/>
      </c>
      <c r="O119" s="2">
        <f t="shared" si="14"/>
        <v>46072</v>
      </c>
      <c r="P119" s="2">
        <v>46071.646909722222</v>
      </c>
      <c r="Q119" s="2">
        <f t="shared" si="15"/>
        <v>46073</v>
      </c>
      <c r="R119" s="2">
        <v>46071.666087962964</v>
      </c>
      <c r="S119">
        <f t="shared" si="16"/>
        <v>0</v>
      </c>
      <c r="T119" s="2">
        <f t="shared" si="17"/>
        <v>46073</v>
      </c>
      <c r="U119" t="str">
        <f t="shared" si="18"/>
        <v>NO PRAZO</v>
      </c>
      <c r="Z119" s="4" t="s">
        <v>142</v>
      </c>
    </row>
    <row r="120" spans="1:26">
      <c r="A120" s="1">
        <v>21810</v>
      </c>
      <c r="B120" t="s">
        <v>8</v>
      </c>
      <c r="C120" t="s">
        <v>13</v>
      </c>
      <c r="D120" t="s">
        <v>14</v>
      </c>
      <c r="E120" s="1">
        <v>216</v>
      </c>
      <c r="F120" s="1">
        <v>2026</v>
      </c>
      <c r="G120" t="s">
        <v>11</v>
      </c>
      <c r="H120" s="2">
        <v>46064.6252662037</v>
      </c>
      <c r="I120" s="9">
        <f t="shared" si="19"/>
        <v>46065</v>
      </c>
      <c r="J120" s="2" t="str">
        <f t="shared" si="11"/>
        <v/>
      </c>
      <c r="L120" s="2" t="str">
        <f t="shared" si="12"/>
        <v/>
      </c>
      <c r="N120" s="10" t="str">
        <f t="shared" si="13"/>
        <v/>
      </c>
      <c r="O120" s="2">
        <f t="shared" si="14"/>
        <v>46065</v>
      </c>
      <c r="P120" s="2">
        <v>46065.487268518518</v>
      </c>
      <c r="Q120" s="2">
        <f t="shared" si="15"/>
        <v>46066</v>
      </c>
      <c r="R120" s="2">
        <v>46079.512430555558</v>
      </c>
      <c r="S120">
        <f t="shared" si="16"/>
        <v>13</v>
      </c>
      <c r="T120" s="2">
        <f t="shared" si="17"/>
        <v>46066</v>
      </c>
      <c r="U120" t="str">
        <f t="shared" si="18"/>
        <v>ATRASO</v>
      </c>
      <c r="Z120" s="5" t="s">
        <v>143</v>
      </c>
    </row>
    <row r="121" spans="1:26">
      <c r="A121" s="1">
        <v>21809</v>
      </c>
      <c r="B121" t="s">
        <v>15</v>
      </c>
      <c r="C121" t="s">
        <v>13</v>
      </c>
      <c r="D121" t="s">
        <v>14</v>
      </c>
      <c r="E121" s="1">
        <v>215</v>
      </c>
      <c r="F121" s="1">
        <v>2026</v>
      </c>
      <c r="G121" t="s">
        <v>11</v>
      </c>
      <c r="H121" s="2">
        <v>46064.583599537036</v>
      </c>
      <c r="I121" s="9">
        <f t="shared" si="19"/>
        <v>46065</v>
      </c>
      <c r="J121" s="2" t="str">
        <f t="shared" si="11"/>
        <v/>
      </c>
      <c r="L121" s="2" t="str">
        <f t="shared" si="12"/>
        <v/>
      </c>
      <c r="N121" s="10" t="str">
        <f t="shared" si="13"/>
        <v/>
      </c>
      <c r="O121" s="2">
        <f t="shared" si="14"/>
        <v>46065</v>
      </c>
      <c r="P121" s="2">
        <v>46073.624444444446</v>
      </c>
      <c r="Q121" s="2">
        <f t="shared" si="15"/>
        <v>46066</v>
      </c>
      <c r="R121" s="2">
        <v>46076.38417824074</v>
      </c>
      <c r="S121">
        <f t="shared" si="16"/>
        <v>10</v>
      </c>
      <c r="T121" s="2">
        <f t="shared" si="17"/>
        <v>46066</v>
      </c>
      <c r="U121" t="str">
        <f t="shared" si="18"/>
        <v>ATRASO</v>
      </c>
      <c r="Z121" s="6" t="s">
        <v>144</v>
      </c>
    </row>
    <row r="122" spans="1:26" hidden="1">
      <c r="A122" s="1">
        <v>21806</v>
      </c>
      <c r="B122" t="s">
        <v>17</v>
      </c>
      <c r="C122" t="s">
        <v>13</v>
      </c>
      <c r="D122" t="s">
        <v>18</v>
      </c>
      <c r="E122" s="1">
        <v>212</v>
      </c>
      <c r="F122" s="1">
        <v>2026</v>
      </c>
      <c r="G122" t="s">
        <v>11</v>
      </c>
      <c r="H122" s="2">
        <v>46063.708599537036</v>
      </c>
      <c r="I122" s="9">
        <f t="shared" si="19"/>
        <v>46066</v>
      </c>
      <c r="J122" s="2" t="str">
        <f t="shared" si="11"/>
        <v/>
      </c>
      <c r="L122" s="2" t="str">
        <f t="shared" si="12"/>
        <v/>
      </c>
      <c r="N122" s="10" t="str">
        <f t="shared" si="13"/>
        <v/>
      </c>
      <c r="O122" s="2">
        <f t="shared" si="14"/>
        <v>46066</v>
      </c>
      <c r="P122" s="2">
        <v>46073.478078703702</v>
      </c>
      <c r="Q122" s="2">
        <f t="shared" si="15"/>
        <v>46077</v>
      </c>
      <c r="R122" s="2">
        <v>46076.3669212963</v>
      </c>
      <c r="S122">
        <f t="shared" si="16"/>
        <v>0</v>
      </c>
      <c r="T122" s="2">
        <f t="shared" si="17"/>
        <v>46077</v>
      </c>
      <c r="U122" t="str">
        <f t="shared" si="18"/>
        <v>NO PRAZO</v>
      </c>
      <c r="Z122" s="5" t="s">
        <v>145</v>
      </c>
    </row>
    <row r="123" spans="1:26" hidden="1">
      <c r="A123" s="1">
        <v>21772</v>
      </c>
      <c r="B123" t="s">
        <v>15</v>
      </c>
      <c r="C123" t="s">
        <v>13</v>
      </c>
      <c r="D123" t="s">
        <v>16</v>
      </c>
      <c r="E123" s="1">
        <v>178</v>
      </c>
      <c r="F123" s="1">
        <v>2026</v>
      </c>
      <c r="G123" t="s">
        <v>11</v>
      </c>
      <c r="H123" s="2">
        <v>46057.625740740739</v>
      </c>
      <c r="I123" s="9">
        <f t="shared" si="19"/>
        <v>46058</v>
      </c>
      <c r="J123" s="2" t="str">
        <f t="shared" si="11"/>
        <v/>
      </c>
      <c r="L123" s="2" t="str">
        <f t="shared" si="12"/>
        <v/>
      </c>
      <c r="N123" s="10" t="str">
        <f t="shared" si="13"/>
        <v/>
      </c>
      <c r="O123" s="2">
        <f t="shared" si="14"/>
        <v>46058</v>
      </c>
      <c r="P123" s="2">
        <v>46062.653298611112</v>
      </c>
      <c r="Q123" s="2">
        <f t="shared" si="15"/>
        <v>46064</v>
      </c>
      <c r="R123" s="2">
        <v>46062.673761574071</v>
      </c>
      <c r="S123">
        <f t="shared" si="16"/>
        <v>0</v>
      </c>
      <c r="T123" s="2">
        <f t="shared" si="17"/>
        <v>46064</v>
      </c>
      <c r="U123" t="str">
        <f t="shared" si="18"/>
        <v>NO PRAZO</v>
      </c>
      <c r="Z123" s="5" t="s">
        <v>146</v>
      </c>
    </row>
    <row r="124" spans="1:26" hidden="1">
      <c r="A124" s="1">
        <v>21763</v>
      </c>
      <c r="B124" t="s">
        <v>15</v>
      </c>
      <c r="C124" t="s">
        <v>13</v>
      </c>
      <c r="D124" t="s">
        <v>16</v>
      </c>
      <c r="E124" s="1">
        <v>169</v>
      </c>
      <c r="F124" s="1">
        <v>2026</v>
      </c>
      <c r="G124" t="s">
        <v>11</v>
      </c>
      <c r="H124" s="2">
        <v>46056.584039351852</v>
      </c>
      <c r="I124" s="9">
        <f t="shared" si="19"/>
        <v>46057</v>
      </c>
      <c r="J124" s="2" t="str">
        <f t="shared" si="11"/>
        <v/>
      </c>
      <c r="L124" s="2" t="str">
        <f t="shared" si="12"/>
        <v/>
      </c>
      <c r="N124" s="10" t="str">
        <f t="shared" si="13"/>
        <v/>
      </c>
      <c r="O124" s="2">
        <f t="shared" si="14"/>
        <v>46057</v>
      </c>
      <c r="P124" s="2">
        <v>46057.646990740737</v>
      </c>
      <c r="Q124" s="2">
        <f t="shared" si="15"/>
        <v>46063</v>
      </c>
      <c r="R124" s="2">
        <v>46058.676805555559</v>
      </c>
      <c r="S124">
        <f t="shared" si="16"/>
        <v>0</v>
      </c>
      <c r="T124" s="2">
        <f t="shared" si="17"/>
        <v>46063</v>
      </c>
      <c r="U124" t="str">
        <f t="shared" si="18"/>
        <v>NO PRAZO</v>
      </c>
      <c r="Z124" s="5" t="s">
        <v>147</v>
      </c>
    </row>
    <row r="125" spans="1:26" hidden="1">
      <c r="A125" s="1">
        <v>21752</v>
      </c>
      <c r="B125" t="s">
        <v>19</v>
      </c>
      <c r="C125" t="s">
        <v>13</v>
      </c>
      <c r="D125" t="s">
        <v>18</v>
      </c>
      <c r="E125" s="1">
        <v>158</v>
      </c>
      <c r="F125" s="1">
        <v>2026</v>
      </c>
      <c r="G125" t="s">
        <v>11</v>
      </c>
      <c r="H125" s="2">
        <v>46055.584016203706</v>
      </c>
      <c r="I125" s="9">
        <f t="shared" si="19"/>
        <v>46058</v>
      </c>
      <c r="J125" s="2" t="str">
        <f t="shared" si="11"/>
        <v/>
      </c>
      <c r="L125" s="2" t="str">
        <f t="shared" si="12"/>
        <v/>
      </c>
      <c r="N125" s="10" t="str">
        <f t="shared" si="13"/>
        <v/>
      </c>
      <c r="O125" s="2">
        <f t="shared" si="14"/>
        <v>46058</v>
      </c>
      <c r="P125" s="2">
        <v>46058.654791666668</v>
      </c>
      <c r="Q125" s="2">
        <f t="shared" si="15"/>
        <v>46064</v>
      </c>
      <c r="R125" s="2">
        <v>46058.675856481481</v>
      </c>
      <c r="S125">
        <f t="shared" si="16"/>
        <v>0</v>
      </c>
      <c r="T125" s="2">
        <f t="shared" si="17"/>
        <v>46064</v>
      </c>
      <c r="U125" t="str">
        <f t="shared" si="18"/>
        <v>NO PRAZO</v>
      </c>
      <c r="Z125" s="5" t="s">
        <v>148</v>
      </c>
    </row>
    <row r="126" spans="1:26" hidden="1">
      <c r="A126" s="1">
        <v>21747</v>
      </c>
      <c r="B126" t="s">
        <v>15</v>
      </c>
      <c r="C126" t="s">
        <v>13</v>
      </c>
      <c r="D126" t="s">
        <v>18</v>
      </c>
      <c r="E126" s="1">
        <v>153</v>
      </c>
      <c r="F126" s="1">
        <v>2026</v>
      </c>
      <c r="G126" t="s">
        <v>11</v>
      </c>
      <c r="H126" s="2">
        <v>46055.400312500002</v>
      </c>
      <c r="I126" s="9">
        <f t="shared" si="19"/>
        <v>46058</v>
      </c>
      <c r="J126" s="2" t="str">
        <f t="shared" si="11"/>
        <v/>
      </c>
      <c r="L126" s="2" t="str">
        <f t="shared" si="12"/>
        <v/>
      </c>
      <c r="N126" s="10" t="str">
        <f t="shared" si="13"/>
        <v/>
      </c>
      <c r="O126" s="2">
        <f t="shared" si="14"/>
        <v>46058</v>
      </c>
      <c r="P126" s="2">
        <v>46055.401516203703</v>
      </c>
      <c r="Q126" s="2">
        <f t="shared" si="15"/>
        <v>46064</v>
      </c>
      <c r="R126" s="2">
        <v>46055.619467592594</v>
      </c>
      <c r="S126">
        <f t="shared" si="16"/>
        <v>0</v>
      </c>
      <c r="T126" s="2">
        <f t="shared" si="17"/>
        <v>46064</v>
      </c>
      <c r="U126" t="str">
        <f t="shared" si="18"/>
        <v>NO PRAZO</v>
      </c>
      <c r="Z126" s="5" t="s">
        <v>149</v>
      </c>
    </row>
    <row r="127" spans="1:26">
      <c r="A127" s="1">
        <v>21736</v>
      </c>
      <c r="B127" t="s">
        <v>19</v>
      </c>
      <c r="C127" t="s">
        <v>13</v>
      </c>
      <c r="D127" t="s">
        <v>16</v>
      </c>
      <c r="E127" s="1">
        <v>142</v>
      </c>
      <c r="F127" s="1">
        <v>2026</v>
      </c>
      <c r="G127" t="s">
        <v>11</v>
      </c>
      <c r="H127" s="2">
        <v>46051.583877314813</v>
      </c>
      <c r="I127" s="9">
        <f t="shared" si="19"/>
        <v>46052</v>
      </c>
      <c r="J127" s="2" t="str">
        <f t="shared" si="11"/>
        <v/>
      </c>
      <c r="L127" s="2" t="str">
        <f t="shared" si="12"/>
        <v/>
      </c>
      <c r="N127" s="10" t="str">
        <f t="shared" si="13"/>
        <v/>
      </c>
      <c r="O127" s="2">
        <f t="shared" si="14"/>
        <v>46052</v>
      </c>
      <c r="P127" s="2">
        <v>46055.426249999997</v>
      </c>
      <c r="Q127" s="2">
        <f t="shared" si="15"/>
        <v>46058</v>
      </c>
      <c r="R127" s="2">
        <v>46085.644143518519</v>
      </c>
      <c r="S127">
        <f t="shared" si="16"/>
        <v>27</v>
      </c>
      <c r="T127" s="2">
        <f t="shared" si="17"/>
        <v>46058</v>
      </c>
      <c r="U127" t="str">
        <f t="shared" si="18"/>
        <v>ATRASO</v>
      </c>
      <c r="Z127" s="6" t="s">
        <v>150</v>
      </c>
    </row>
    <row r="128" spans="1:26" hidden="1">
      <c r="A128" s="1">
        <v>21693</v>
      </c>
      <c r="B128" t="s">
        <v>17</v>
      </c>
      <c r="C128" t="s">
        <v>13</v>
      </c>
      <c r="D128" t="s">
        <v>18</v>
      </c>
      <c r="E128" s="1">
        <v>99</v>
      </c>
      <c r="F128" s="1">
        <v>2026</v>
      </c>
      <c r="G128" t="s">
        <v>11</v>
      </c>
      <c r="H128" s="2">
        <v>46044.458611111113</v>
      </c>
      <c r="I128" s="9">
        <f t="shared" si="19"/>
        <v>46049</v>
      </c>
      <c r="J128" s="2" t="str">
        <f t="shared" si="11"/>
        <v/>
      </c>
      <c r="L128" s="2" t="str">
        <f t="shared" si="12"/>
        <v/>
      </c>
      <c r="N128" s="10" t="str">
        <f t="shared" si="13"/>
        <v/>
      </c>
      <c r="O128" s="2">
        <f t="shared" si="14"/>
        <v>46049</v>
      </c>
      <c r="P128" s="2">
        <v>46045.417326388888</v>
      </c>
      <c r="Q128" s="2">
        <f t="shared" si="15"/>
        <v>46055</v>
      </c>
      <c r="R128" s="2">
        <v>46045.702638888892</v>
      </c>
      <c r="S128">
        <f t="shared" si="16"/>
        <v>0</v>
      </c>
      <c r="T128" s="2">
        <f t="shared" si="17"/>
        <v>46055</v>
      </c>
      <c r="U128" t="str">
        <f t="shared" si="18"/>
        <v>NO PRAZO</v>
      </c>
      <c r="Z128" s="8" t="s">
        <v>151</v>
      </c>
    </row>
    <row r="129" spans="1:26" s="18" customFormat="1">
      <c r="A129" s="17">
        <v>21691</v>
      </c>
      <c r="B129" s="18" t="s">
        <v>17</v>
      </c>
      <c r="C129" s="18" t="s">
        <v>13</v>
      </c>
      <c r="D129" s="18" t="s">
        <v>18</v>
      </c>
      <c r="E129" s="17">
        <v>97</v>
      </c>
      <c r="F129" s="17">
        <v>2026</v>
      </c>
      <c r="G129" s="18" t="s">
        <v>11</v>
      </c>
      <c r="H129" s="19">
        <v>46044.458611111113</v>
      </c>
      <c r="I129" s="20">
        <f t="shared" si="19"/>
        <v>46049</v>
      </c>
      <c r="J129" s="19" t="str">
        <f t="shared" si="11"/>
        <v/>
      </c>
      <c r="K129" s="19"/>
      <c r="L129" s="19" t="str">
        <f t="shared" si="12"/>
        <v/>
      </c>
      <c r="M129" s="19"/>
      <c r="N129" s="21" t="str">
        <f t="shared" si="13"/>
        <v/>
      </c>
      <c r="O129" s="19">
        <f t="shared" si="14"/>
        <v>46049</v>
      </c>
      <c r="P129" s="19">
        <v>46073.411678240744</v>
      </c>
      <c r="Q129" s="19">
        <f t="shared" si="15"/>
        <v>46055</v>
      </c>
      <c r="R129" s="19">
        <v>46076.360243055555</v>
      </c>
      <c r="S129" s="18">
        <f t="shared" si="16"/>
        <v>21</v>
      </c>
      <c r="T129" s="19">
        <f t="shared" si="17"/>
        <v>46055</v>
      </c>
      <c r="U129" s="18" t="str">
        <f t="shared" si="18"/>
        <v>ATRASO</v>
      </c>
      <c r="Z129" s="22" t="s">
        <v>152</v>
      </c>
    </row>
    <row r="130" spans="1:26" hidden="1">
      <c r="A130" s="1">
        <v>21681</v>
      </c>
      <c r="B130" t="s">
        <v>23</v>
      </c>
      <c r="C130" t="s">
        <v>13</v>
      </c>
      <c r="D130" t="s">
        <v>10</v>
      </c>
      <c r="E130" s="1">
        <v>87</v>
      </c>
      <c r="F130" s="1">
        <v>2026</v>
      </c>
      <c r="G130" t="s">
        <v>11</v>
      </c>
      <c r="H130" s="2">
        <v>46041.625613425924</v>
      </c>
      <c r="I130" s="9">
        <f t="shared" ref="I130:I161" si="20">IF(OR(D130="ORIENTAÇÃO",D130="BUG IMPEDITIVO",D130="BUG NÃO IMPEDITIVO"),WORKDAY(H130,1,Z$2:Z$500),IF(OR(D130="MELHORIA PEQUENA",D130="MELHORIA MÉDIA"),WORKDAY(H130,3,Z$2:Z$500),""))</f>
        <v>46043</v>
      </c>
      <c r="J130" s="2" t="str">
        <f t="shared" si="11"/>
        <v/>
      </c>
      <c r="L130" s="2" t="str">
        <f t="shared" si="12"/>
        <v/>
      </c>
      <c r="N130" s="10" t="str">
        <f t="shared" si="13"/>
        <v/>
      </c>
      <c r="O130" s="2">
        <f t="shared" si="14"/>
        <v>46043</v>
      </c>
      <c r="P130" s="2">
        <v>46043.355486111112</v>
      </c>
      <c r="Q130" s="2">
        <f t="shared" si="15"/>
        <v>46044</v>
      </c>
      <c r="R130" s="2">
        <v>46043.394988425927</v>
      </c>
      <c r="S130">
        <f t="shared" si="16"/>
        <v>0</v>
      </c>
      <c r="T130" s="2">
        <f t="shared" si="17"/>
        <v>46044</v>
      </c>
      <c r="U130" t="str">
        <f t="shared" si="18"/>
        <v>NO PRAZO</v>
      </c>
      <c r="Z130" s="5" t="s">
        <v>153</v>
      </c>
    </row>
    <row r="131" spans="1:26" hidden="1">
      <c r="A131" s="1">
        <v>21677</v>
      </c>
      <c r="B131" t="s">
        <v>23</v>
      </c>
      <c r="C131" t="s">
        <v>13</v>
      </c>
      <c r="D131" t="s">
        <v>18</v>
      </c>
      <c r="E131" s="1">
        <v>83</v>
      </c>
      <c r="F131" s="1">
        <v>2026</v>
      </c>
      <c r="G131" t="s">
        <v>11</v>
      </c>
      <c r="H131" s="2">
        <v>46038.62537037037</v>
      </c>
      <c r="I131" s="9">
        <f t="shared" si="20"/>
        <v>46044</v>
      </c>
      <c r="J131" s="2" t="str">
        <f t="shared" ref="J131:J194" si="21">IF(K131&lt;&gt;"",I131,"")</f>
        <v/>
      </c>
      <c r="L131" s="2" t="str">
        <f t="shared" ref="L131:L194" si="22">IF(J131="","",WORKDAY(J131,14,Z$2:Z$500))</f>
        <v/>
      </c>
      <c r="N131" s="10" t="str">
        <f t="shared" ref="N131:N194" si="23">IF(M131="","",MAX(0,INT(M131)-INT(L131)))</f>
        <v/>
      </c>
      <c r="O131" s="2">
        <f t="shared" ref="O131:O194" si="24">IF(L131="",I131,WORKDAY(L131,1,Z$2:Z$500))</f>
        <v>46044</v>
      </c>
      <c r="P131" s="2">
        <v>46041.802870370368</v>
      </c>
      <c r="Q131" s="2">
        <f t="shared" ref="Q131:Q194" si="25">IF(OR(D131="ORIENTAÇÃO",D131="BUG IMPEDITIVO"),WORKDAY(O131,1,Z$2:Z$500),IF(OR(D131="MELHORIA PEQUENA",D131="BUG NÃO IMPEDITIVO"),WORKDAY(O131,4,Z$2:Z$500),IF(D131="MELHORIA MÉDIA",WORKDAY(O131,19,Z$2:Z$500),"")))</f>
        <v>46050</v>
      </c>
      <c r="R131" s="2">
        <v>46043.403726851851</v>
      </c>
      <c r="S131">
        <f t="shared" ref="S131:S194" si="26">MAX(0,INT(R131)-INT(Q131))</f>
        <v>0</v>
      </c>
      <c r="T131" s="2">
        <f t="shared" ref="T131:T194" si="27">IF(D131="MELHORIA MÉDIA",IF(K131&lt;&gt;"",WORKDAY(I131,34,$Z$2:$Z$1000),WORKDAY(I131,19,$Z$2:$Z$1000)),IF(OR(D131="MELHORIA PEQUENA",D131="BUG NÃO IMPEDITIVO"),WORKDAY(I131,4,$Z$2:$Z$1000),IF(OR(D131="ORIENTAÇÃO",D131="BUG IMPEDITIVO"),WORKDAY(I131,1,$Z$2:$Z$1000),"")))</f>
        <v>46050</v>
      </c>
      <c r="U131" t="str">
        <f t="shared" ref="U131:U194" si="28">IF(INT(R131)&lt;=INT(T131),"NO PRAZO","ATRASO")</f>
        <v>NO PRAZO</v>
      </c>
      <c r="Z131" s="4" t="s">
        <v>154</v>
      </c>
    </row>
    <row r="132" spans="1:26" hidden="1">
      <c r="A132" s="1">
        <v>21670</v>
      </c>
      <c r="B132" t="s">
        <v>19</v>
      </c>
      <c r="C132" t="s">
        <v>13</v>
      </c>
      <c r="D132" t="s">
        <v>21</v>
      </c>
      <c r="E132" s="1">
        <v>76</v>
      </c>
      <c r="F132" s="1">
        <v>2026</v>
      </c>
      <c r="G132" t="s">
        <v>11</v>
      </c>
      <c r="H132" s="2">
        <v>46037.500289351854</v>
      </c>
      <c r="I132" s="9">
        <f t="shared" si="20"/>
        <v>46043</v>
      </c>
      <c r="J132" s="2" t="str">
        <f t="shared" si="21"/>
        <v/>
      </c>
      <c r="L132" s="2" t="str">
        <f t="shared" si="22"/>
        <v/>
      </c>
      <c r="N132" s="10" t="str">
        <f t="shared" si="23"/>
        <v/>
      </c>
      <c r="O132" s="2">
        <f t="shared" si="24"/>
        <v>46043</v>
      </c>
      <c r="P132" s="2">
        <v>46044.437025462961</v>
      </c>
      <c r="Q132" s="2">
        <f t="shared" si="25"/>
        <v>46073</v>
      </c>
      <c r="R132" s="2">
        <v>46062.760358796295</v>
      </c>
      <c r="S132">
        <f t="shared" si="26"/>
        <v>0</v>
      </c>
      <c r="T132" s="2">
        <f t="shared" si="27"/>
        <v>46073</v>
      </c>
      <c r="U132" t="str">
        <f t="shared" si="28"/>
        <v>NO PRAZO</v>
      </c>
      <c r="Z132" s="5" t="s">
        <v>155</v>
      </c>
    </row>
    <row r="133" spans="1:26" hidden="1">
      <c r="A133" s="1">
        <v>21666</v>
      </c>
      <c r="B133" t="s">
        <v>12</v>
      </c>
      <c r="C133" t="s">
        <v>13</v>
      </c>
      <c r="D133" t="s">
        <v>16</v>
      </c>
      <c r="E133" s="1">
        <v>72</v>
      </c>
      <c r="F133" s="1">
        <v>2026</v>
      </c>
      <c r="G133" t="s">
        <v>11</v>
      </c>
      <c r="H133" s="2">
        <v>46036.708518518521</v>
      </c>
      <c r="I133" s="9">
        <f t="shared" si="20"/>
        <v>46037</v>
      </c>
      <c r="J133" s="2" t="str">
        <f t="shared" si="21"/>
        <v/>
      </c>
      <c r="L133" s="2" t="str">
        <f t="shared" si="22"/>
        <v/>
      </c>
      <c r="N133" s="10" t="str">
        <f t="shared" si="23"/>
        <v/>
      </c>
      <c r="O133" s="2">
        <f t="shared" si="24"/>
        <v>46037</v>
      </c>
      <c r="P133" s="2">
        <v>46043.666250000002</v>
      </c>
      <c r="Q133" s="2">
        <f t="shared" si="25"/>
        <v>46044</v>
      </c>
      <c r="R133" s="2">
        <v>46043.843692129631</v>
      </c>
      <c r="S133">
        <f t="shared" si="26"/>
        <v>0</v>
      </c>
      <c r="T133" s="2">
        <f t="shared" si="27"/>
        <v>46044</v>
      </c>
      <c r="U133" t="str">
        <f t="shared" si="28"/>
        <v>NO PRAZO</v>
      </c>
      <c r="Z133" s="5" t="s">
        <v>156</v>
      </c>
    </row>
    <row r="134" spans="1:26" hidden="1">
      <c r="A134" s="1">
        <v>21653</v>
      </c>
      <c r="B134" t="s">
        <v>20</v>
      </c>
      <c r="C134" t="s">
        <v>13</v>
      </c>
      <c r="D134" t="s">
        <v>18</v>
      </c>
      <c r="E134" s="1">
        <v>59</v>
      </c>
      <c r="F134" s="1">
        <v>2026</v>
      </c>
      <c r="G134" t="s">
        <v>11</v>
      </c>
      <c r="H134" s="2">
        <v>46035.66810185185</v>
      </c>
      <c r="I134" s="9">
        <f t="shared" si="20"/>
        <v>46038</v>
      </c>
      <c r="J134" s="2" t="str">
        <f t="shared" si="21"/>
        <v/>
      </c>
      <c r="L134" s="2" t="str">
        <f t="shared" si="22"/>
        <v/>
      </c>
      <c r="N134" s="10" t="str">
        <f t="shared" si="23"/>
        <v/>
      </c>
      <c r="O134" s="2">
        <f t="shared" si="24"/>
        <v>46038</v>
      </c>
      <c r="P134" s="2">
        <v>46037.746122685188</v>
      </c>
      <c r="Q134" s="2">
        <f t="shared" si="25"/>
        <v>46045</v>
      </c>
      <c r="R134" s="2">
        <v>46038.699652777781</v>
      </c>
      <c r="S134">
        <f t="shared" si="26"/>
        <v>0</v>
      </c>
      <c r="T134" s="2">
        <f t="shared" si="27"/>
        <v>46045</v>
      </c>
      <c r="U134" t="str">
        <f t="shared" si="28"/>
        <v>NO PRAZO</v>
      </c>
      <c r="Z134" s="5" t="s">
        <v>157</v>
      </c>
    </row>
    <row r="135" spans="1:26" hidden="1">
      <c r="A135" s="1">
        <v>21648</v>
      </c>
      <c r="B135" t="s">
        <v>19</v>
      </c>
      <c r="C135" t="s">
        <v>13</v>
      </c>
      <c r="D135" t="s">
        <v>21</v>
      </c>
      <c r="E135" s="1">
        <v>54</v>
      </c>
      <c r="F135" s="1">
        <v>2026</v>
      </c>
      <c r="G135" t="s">
        <v>11</v>
      </c>
      <c r="H135" s="2">
        <v>46034.667997685188</v>
      </c>
      <c r="I135" s="9">
        <f t="shared" si="20"/>
        <v>46037</v>
      </c>
      <c r="J135" s="2" t="str">
        <f t="shared" si="21"/>
        <v/>
      </c>
      <c r="L135" s="2" t="str">
        <f t="shared" si="22"/>
        <v/>
      </c>
      <c r="N135" s="10" t="str">
        <f t="shared" si="23"/>
        <v/>
      </c>
      <c r="O135" s="2">
        <f t="shared" si="24"/>
        <v>46037</v>
      </c>
      <c r="P135" s="2">
        <v>46037.414317129631</v>
      </c>
      <c r="Q135" s="2">
        <f t="shared" si="25"/>
        <v>46065</v>
      </c>
      <c r="R135" s="2">
        <v>46041.388460648152</v>
      </c>
      <c r="S135">
        <f t="shared" si="26"/>
        <v>0</v>
      </c>
      <c r="T135" s="2">
        <f t="shared" si="27"/>
        <v>46065</v>
      </c>
      <c r="U135" t="str">
        <f t="shared" si="28"/>
        <v>NO PRAZO</v>
      </c>
      <c r="Z135" s="5" t="s">
        <v>158</v>
      </c>
    </row>
    <row r="136" spans="1:26" hidden="1">
      <c r="A136" s="1">
        <v>21646</v>
      </c>
      <c r="B136" t="s">
        <v>20</v>
      </c>
      <c r="C136" t="s">
        <v>13</v>
      </c>
      <c r="D136" t="s">
        <v>16</v>
      </c>
      <c r="E136" s="1">
        <v>52</v>
      </c>
      <c r="F136" s="1">
        <v>2026</v>
      </c>
      <c r="G136" t="s">
        <v>11</v>
      </c>
      <c r="H136" s="2">
        <v>46034.626319444447</v>
      </c>
      <c r="I136" s="9">
        <f t="shared" si="20"/>
        <v>46035</v>
      </c>
      <c r="J136" s="2" t="str">
        <f t="shared" si="21"/>
        <v/>
      </c>
      <c r="L136" s="2" t="str">
        <f t="shared" si="22"/>
        <v/>
      </c>
      <c r="N136" s="10" t="str">
        <f t="shared" si="23"/>
        <v/>
      </c>
      <c r="O136" s="2">
        <f t="shared" si="24"/>
        <v>46035</v>
      </c>
      <c r="P136" s="2">
        <v>46036.706261574072</v>
      </c>
      <c r="Q136" s="2">
        <f t="shared" si="25"/>
        <v>46041</v>
      </c>
      <c r="R136" s="2">
        <v>46038.699826388889</v>
      </c>
      <c r="S136">
        <f t="shared" si="26"/>
        <v>0</v>
      </c>
      <c r="T136" s="2">
        <f t="shared" si="27"/>
        <v>46041</v>
      </c>
      <c r="U136" t="str">
        <f t="shared" si="28"/>
        <v>NO PRAZO</v>
      </c>
      <c r="Z136" s="5" t="s">
        <v>159</v>
      </c>
    </row>
    <row r="137" spans="1:26" hidden="1">
      <c r="A137" s="1">
        <v>21644</v>
      </c>
      <c r="B137" t="s">
        <v>12</v>
      </c>
      <c r="C137" t="s">
        <v>13</v>
      </c>
      <c r="D137" t="s">
        <v>16</v>
      </c>
      <c r="E137" s="1">
        <v>50</v>
      </c>
      <c r="F137" s="1">
        <v>2026</v>
      </c>
      <c r="G137" t="s">
        <v>11</v>
      </c>
      <c r="H137" s="2">
        <v>46034.459652777776</v>
      </c>
      <c r="I137" s="9">
        <f t="shared" si="20"/>
        <v>46035</v>
      </c>
      <c r="J137" s="2" t="str">
        <f t="shared" si="21"/>
        <v/>
      </c>
      <c r="L137" s="2" t="str">
        <f t="shared" si="22"/>
        <v/>
      </c>
      <c r="N137" s="10" t="str">
        <f t="shared" si="23"/>
        <v/>
      </c>
      <c r="O137" s="2">
        <f t="shared" si="24"/>
        <v>46035</v>
      </c>
      <c r="P137" s="2">
        <v>46036.462789351855</v>
      </c>
      <c r="Q137" s="2">
        <f t="shared" si="25"/>
        <v>46041</v>
      </c>
      <c r="R137" s="2">
        <v>46036.728321759256</v>
      </c>
      <c r="S137">
        <f t="shared" si="26"/>
        <v>0</v>
      </c>
      <c r="T137" s="2">
        <f t="shared" si="27"/>
        <v>46041</v>
      </c>
      <c r="U137" t="str">
        <f t="shared" si="28"/>
        <v>NO PRAZO</v>
      </c>
      <c r="Z137" s="5" t="s">
        <v>160</v>
      </c>
    </row>
    <row r="138" spans="1:26" hidden="1">
      <c r="A138" s="1">
        <v>21643</v>
      </c>
      <c r="B138" t="s">
        <v>20</v>
      </c>
      <c r="C138" t="s">
        <v>13</v>
      </c>
      <c r="D138" t="s">
        <v>21</v>
      </c>
      <c r="E138" s="1">
        <v>49</v>
      </c>
      <c r="F138" s="1">
        <v>2026</v>
      </c>
      <c r="G138" t="s">
        <v>11</v>
      </c>
      <c r="H138" s="2">
        <v>46031.916574074072</v>
      </c>
      <c r="I138" s="9">
        <f t="shared" si="20"/>
        <v>46036</v>
      </c>
      <c r="J138" s="2" t="str">
        <f t="shared" si="21"/>
        <v/>
      </c>
      <c r="L138" s="2" t="str">
        <f t="shared" si="22"/>
        <v/>
      </c>
      <c r="N138" s="10" t="str">
        <f t="shared" si="23"/>
        <v/>
      </c>
      <c r="O138" s="2">
        <f t="shared" si="24"/>
        <v>46036</v>
      </c>
      <c r="P138" s="2">
        <v>46034.483263888891</v>
      </c>
      <c r="Q138" s="2">
        <f t="shared" si="25"/>
        <v>46064</v>
      </c>
      <c r="R138" s="2">
        <v>46055.428402777776</v>
      </c>
      <c r="S138">
        <f t="shared" si="26"/>
        <v>0</v>
      </c>
      <c r="T138" s="2">
        <f t="shared" si="27"/>
        <v>46064</v>
      </c>
      <c r="U138" t="str">
        <f t="shared" si="28"/>
        <v>NO PRAZO</v>
      </c>
      <c r="Z138" s="5" t="s">
        <v>161</v>
      </c>
    </row>
    <row r="139" spans="1:26" hidden="1">
      <c r="A139" s="1">
        <v>21640</v>
      </c>
      <c r="B139" t="s">
        <v>17</v>
      </c>
      <c r="C139" t="s">
        <v>13</v>
      </c>
      <c r="D139" t="s">
        <v>18</v>
      </c>
      <c r="E139" s="1">
        <v>46</v>
      </c>
      <c r="F139" s="1">
        <v>2026</v>
      </c>
      <c r="G139" t="s">
        <v>11</v>
      </c>
      <c r="H139" s="2">
        <v>46031.584398148145</v>
      </c>
      <c r="I139" s="9">
        <f t="shared" si="20"/>
        <v>46036</v>
      </c>
      <c r="J139" s="2" t="str">
        <f t="shared" si="21"/>
        <v/>
      </c>
      <c r="L139" s="2" t="str">
        <f t="shared" si="22"/>
        <v/>
      </c>
      <c r="N139" s="10" t="str">
        <f t="shared" si="23"/>
        <v/>
      </c>
      <c r="O139" s="2">
        <f t="shared" si="24"/>
        <v>46036</v>
      </c>
      <c r="P139" s="2">
        <v>46034.44290509259</v>
      </c>
      <c r="Q139" s="2">
        <f t="shared" si="25"/>
        <v>46043</v>
      </c>
      <c r="R139" s="2">
        <v>46034.624236111114</v>
      </c>
      <c r="S139">
        <f t="shared" si="26"/>
        <v>0</v>
      </c>
      <c r="T139" s="2">
        <f t="shared" si="27"/>
        <v>46043</v>
      </c>
      <c r="U139" t="str">
        <f t="shared" si="28"/>
        <v>NO PRAZO</v>
      </c>
      <c r="Z139" s="5" t="s">
        <v>162</v>
      </c>
    </row>
    <row r="140" spans="1:26" hidden="1">
      <c r="A140" s="1">
        <v>21637</v>
      </c>
      <c r="B140" t="s">
        <v>19</v>
      </c>
      <c r="C140" t="s">
        <v>13</v>
      </c>
      <c r="D140" t="s">
        <v>16</v>
      </c>
      <c r="E140" s="1">
        <v>43</v>
      </c>
      <c r="F140" s="1">
        <v>2026</v>
      </c>
      <c r="G140" t="s">
        <v>11</v>
      </c>
      <c r="H140" s="2">
        <v>46031.376018518517</v>
      </c>
      <c r="I140" s="9">
        <f t="shared" si="20"/>
        <v>46034</v>
      </c>
      <c r="J140" s="2" t="str">
        <f t="shared" si="21"/>
        <v/>
      </c>
      <c r="L140" s="2" t="str">
        <f t="shared" si="22"/>
        <v/>
      </c>
      <c r="N140" s="10" t="str">
        <f t="shared" si="23"/>
        <v/>
      </c>
      <c r="O140" s="2">
        <f t="shared" si="24"/>
        <v>46034</v>
      </c>
      <c r="P140" s="2">
        <v>46031.416863425926</v>
      </c>
      <c r="Q140" s="2">
        <f t="shared" si="25"/>
        <v>46038</v>
      </c>
      <c r="R140" s="2">
        <v>46037.544641203705</v>
      </c>
      <c r="S140">
        <f t="shared" si="26"/>
        <v>0</v>
      </c>
      <c r="T140" s="2">
        <f t="shared" si="27"/>
        <v>46038</v>
      </c>
      <c r="U140" t="str">
        <f t="shared" si="28"/>
        <v>NO PRAZO</v>
      </c>
      <c r="Z140" s="7" t="s">
        <v>163</v>
      </c>
    </row>
    <row r="141" spans="1:26" hidden="1">
      <c r="A141" s="1">
        <v>21626</v>
      </c>
      <c r="B141" t="s">
        <v>15</v>
      </c>
      <c r="C141" t="s">
        <v>13</v>
      </c>
      <c r="D141" t="s">
        <v>10</v>
      </c>
      <c r="E141" s="1">
        <v>32</v>
      </c>
      <c r="F141" s="1">
        <v>2026</v>
      </c>
      <c r="G141" t="s">
        <v>11</v>
      </c>
      <c r="H141" s="2">
        <v>46029.751574074071</v>
      </c>
      <c r="I141" s="9">
        <f t="shared" si="20"/>
        <v>46030</v>
      </c>
      <c r="J141" s="2" t="str">
        <f t="shared" si="21"/>
        <v/>
      </c>
      <c r="L141" s="2" t="str">
        <f t="shared" si="22"/>
        <v/>
      </c>
      <c r="N141" s="10" t="str">
        <f t="shared" si="23"/>
        <v/>
      </c>
      <c r="O141" s="2">
        <f t="shared" si="24"/>
        <v>46030</v>
      </c>
      <c r="P141" s="2">
        <v>46031.567766203705</v>
      </c>
      <c r="Q141" s="2">
        <f t="shared" si="25"/>
        <v>46031</v>
      </c>
      <c r="R141" s="2">
        <v>46031.909780092596</v>
      </c>
      <c r="S141">
        <f t="shared" si="26"/>
        <v>0</v>
      </c>
      <c r="T141" s="2">
        <f t="shared" si="27"/>
        <v>46031</v>
      </c>
      <c r="U141" t="str">
        <f t="shared" si="28"/>
        <v>NO PRAZO</v>
      </c>
      <c r="Z141" s="5" t="s">
        <v>164</v>
      </c>
    </row>
    <row r="142" spans="1:26" hidden="1">
      <c r="A142" s="1">
        <v>21624</v>
      </c>
      <c r="B142" t="s">
        <v>17</v>
      </c>
      <c r="C142" t="s">
        <v>13</v>
      </c>
      <c r="D142" t="s">
        <v>16</v>
      </c>
      <c r="E142" s="1">
        <v>30</v>
      </c>
      <c r="F142" s="1">
        <v>2026</v>
      </c>
      <c r="G142" t="s">
        <v>11</v>
      </c>
      <c r="H142" s="2">
        <v>46029.668263888889</v>
      </c>
      <c r="I142" s="9">
        <f t="shared" si="20"/>
        <v>46030</v>
      </c>
      <c r="J142" s="2" t="str">
        <f t="shared" si="21"/>
        <v/>
      </c>
      <c r="L142" s="2" t="str">
        <f t="shared" si="22"/>
        <v/>
      </c>
      <c r="N142" s="10" t="str">
        <f t="shared" si="23"/>
        <v/>
      </c>
      <c r="O142" s="2">
        <f t="shared" si="24"/>
        <v>46030</v>
      </c>
      <c r="P142" s="2">
        <v>46030.64634259259</v>
      </c>
      <c r="Q142" s="2">
        <f t="shared" si="25"/>
        <v>46036</v>
      </c>
      <c r="R142" s="2">
        <v>46031.693171296298</v>
      </c>
      <c r="S142">
        <f t="shared" si="26"/>
        <v>0</v>
      </c>
      <c r="T142" s="2">
        <f t="shared" si="27"/>
        <v>46036</v>
      </c>
      <c r="U142" t="str">
        <f t="shared" si="28"/>
        <v>NO PRAZO</v>
      </c>
      <c r="Z142" s="5" t="s">
        <v>165</v>
      </c>
    </row>
    <row r="143" spans="1:26" hidden="1">
      <c r="A143" s="1">
        <v>21617</v>
      </c>
      <c r="B143" t="s">
        <v>20</v>
      </c>
      <c r="C143" t="s">
        <v>13</v>
      </c>
      <c r="D143" t="s">
        <v>18</v>
      </c>
      <c r="E143" s="1">
        <v>23</v>
      </c>
      <c r="F143" s="1">
        <v>2026</v>
      </c>
      <c r="G143" t="s">
        <v>11</v>
      </c>
      <c r="H143" s="2">
        <v>46028.626469907409</v>
      </c>
      <c r="I143" s="9">
        <f t="shared" si="20"/>
        <v>46031</v>
      </c>
      <c r="J143" s="2" t="str">
        <f t="shared" si="21"/>
        <v/>
      </c>
      <c r="L143" s="2" t="str">
        <f t="shared" si="22"/>
        <v/>
      </c>
      <c r="N143" s="10" t="str">
        <f t="shared" si="23"/>
        <v/>
      </c>
      <c r="O143" s="2">
        <f t="shared" si="24"/>
        <v>46031</v>
      </c>
      <c r="P143" s="2">
        <v>46031.415023148147</v>
      </c>
      <c r="Q143" s="2">
        <f t="shared" si="25"/>
        <v>46037</v>
      </c>
      <c r="R143" s="2">
        <v>46034.712546296294</v>
      </c>
      <c r="S143">
        <f t="shared" si="26"/>
        <v>0</v>
      </c>
      <c r="T143" s="2">
        <f t="shared" si="27"/>
        <v>46037</v>
      </c>
      <c r="U143" t="str">
        <f t="shared" si="28"/>
        <v>NO PRAZO</v>
      </c>
      <c r="Z143" s="5" t="s">
        <v>166</v>
      </c>
    </row>
    <row r="144" spans="1:26" hidden="1">
      <c r="A144" s="1">
        <v>21616</v>
      </c>
      <c r="B144" t="s">
        <v>20</v>
      </c>
      <c r="C144" t="s">
        <v>13</v>
      </c>
      <c r="D144" t="s">
        <v>16</v>
      </c>
      <c r="E144" s="1">
        <v>22</v>
      </c>
      <c r="F144" s="1">
        <v>2026</v>
      </c>
      <c r="G144" t="s">
        <v>11</v>
      </c>
      <c r="H144" s="2">
        <v>46028.501458333332</v>
      </c>
      <c r="I144" s="9">
        <f t="shared" si="20"/>
        <v>46029</v>
      </c>
      <c r="J144" s="2" t="str">
        <f t="shared" si="21"/>
        <v/>
      </c>
      <c r="L144" s="2" t="str">
        <f t="shared" si="22"/>
        <v/>
      </c>
      <c r="N144" s="10" t="str">
        <f t="shared" si="23"/>
        <v/>
      </c>
      <c r="O144" s="2">
        <f t="shared" si="24"/>
        <v>46029</v>
      </c>
      <c r="P144" s="2">
        <v>46030.681666666664</v>
      </c>
      <c r="Q144" s="2">
        <f t="shared" si="25"/>
        <v>46035</v>
      </c>
      <c r="R144" s="2">
        <v>46031.712731481479</v>
      </c>
      <c r="S144">
        <f t="shared" si="26"/>
        <v>0</v>
      </c>
      <c r="T144" s="2">
        <f t="shared" si="27"/>
        <v>46035</v>
      </c>
      <c r="U144" t="str">
        <f t="shared" si="28"/>
        <v>NO PRAZO</v>
      </c>
      <c r="Z144" s="5" t="s">
        <v>167</v>
      </c>
    </row>
    <row r="145" spans="1:26" hidden="1">
      <c r="A145" s="1">
        <v>21613</v>
      </c>
      <c r="B145" t="s">
        <v>12</v>
      </c>
      <c r="C145" t="s">
        <v>13</v>
      </c>
      <c r="D145" t="s">
        <v>14</v>
      </c>
      <c r="E145" s="1">
        <v>19</v>
      </c>
      <c r="F145" s="1">
        <v>2026</v>
      </c>
      <c r="G145" t="s">
        <v>11</v>
      </c>
      <c r="H145" s="2">
        <v>46028.376435185186</v>
      </c>
      <c r="I145" s="9">
        <f t="shared" si="20"/>
        <v>46029</v>
      </c>
      <c r="J145" s="2" t="str">
        <f t="shared" si="21"/>
        <v/>
      </c>
      <c r="L145" s="2" t="str">
        <f t="shared" si="22"/>
        <v/>
      </c>
      <c r="N145" s="10" t="str">
        <f t="shared" si="23"/>
        <v/>
      </c>
      <c r="O145" s="2">
        <f t="shared" si="24"/>
        <v>46029</v>
      </c>
      <c r="P145" s="2">
        <v>46029.640046296299</v>
      </c>
      <c r="Q145" s="2">
        <f t="shared" si="25"/>
        <v>46030</v>
      </c>
      <c r="R145" s="2">
        <v>46029.656030092592</v>
      </c>
      <c r="S145">
        <f t="shared" si="26"/>
        <v>0</v>
      </c>
      <c r="T145" s="2">
        <f t="shared" si="27"/>
        <v>46030</v>
      </c>
      <c r="U145" t="str">
        <f t="shared" si="28"/>
        <v>NO PRAZO</v>
      </c>
      <c r="Z145" s="5" t="s">
        <v>168</v>
      </c>
    </row>
    <row r="146" spans="1:26" hidden="1">
      <c r="A146" s="1">
        <v>21610</v>
      </c>
      <c r="B146" t="s">
        <v>12</v>
      </c>
      <c r="C146" t="s">
        <v>13</v>
      </c>
      <c r="D146" t="s">
        <v>16</v>
      </c>
      <c r="E146" s="1">
        <v>16</v>
      </c>
      <c r="F146" s="1">
        <v>2026</v>
      </c>
      <c r="G146" t="s">
        <v>11</v>
      </c>
      <c r="H146" s="2">
        <v>46027.709710648145</v>
      </c>
      <c r="I146" s="9">
        <f t="shared" si="20"/>
        <v>46028</v>
      </c>
      <c r="J146" s="2" t="str">
        <f t="shared" si="21"/>
        <v/>
      </c>
      <c r="L146" s="2" t="str">
        <f t="shared" si="22"/>
        <v/>
      </c>
      <c r="N146" s="10" t="str">
        <f t="shared" si="23"/>
        <v/>
      </c>
      <c r="O146" s="2">
        <f t="shared" si="24"/>
        <v>46028</v>
      </c>
      <c r="P146" s="2">
        <v>46030.604212962964</v>
      </c>
      <c r="Q146" s="2">
        <f t="shared" si="25"/>
        <v>46034</v>
      </c>
      <c r="R146" s="2">
        <v>46031.428159722222</v>
      </c>
      <c r="S146">
        <f t="shared" si="26"/>
        <v>0</v>
      </c>
      <c r="T146" s="2">
        <f t="shared" si="27"/>
        <v>46034</v>
      </c>
      <c r="U146" t="str">
        <f t="shared" si="28"/>
        <v>NO PRAZO</v>
      </c>
      <c r="Z146" s="5" t="s">
        <v>169</v>
      </c>
    </row>
    <row r="147" spans="1:26" hidden="1">
      <c r="A147" s="1">
        <v>21607</v>
      </c>
      <c r="B147" t="s">
        <v>23</v>
      </c>
      <c r="C147" t="s">
        <v>13</v>
      </c>
      <c r="D147" t="s">
        <v>10</v>
      </c>
      <c r="E147" s="1">
        <v>13</v>
      </c>
      <c r="F147" s="1">
        <v>2026</v>
      </c>
      <c r="G147" t="s">
        <v>11</v>
      </c>
      <c r="H147" s="2">
        <v>46027.501377314817</v>
      </c>
      <c r="I147" s="9">
        <f t="shared" si="20"/>
        <v>46028</v>
      </c>
      <c r="J147" s="2" t="str">
        <f t="shared" si="21"/>
        <v/>
      </c>
      <c r="L147" s="2" t="str">
        <f t="shared" si="22"/>
        <v/>
      </c>
      <c r="N147" s="10" t="str">
        <f t="shared" si="23"/>
        <v/>
      </c>
      <c r="O147" s="2">
        <f t="shared" si="24"/>
        <v>46028</v>
      </c>
      <c r="P147" s="2">
        <v>46027.636631944442</v>
      </c>
      <c r="Q147" s="2">
        <f t="shared" si="25"/>
        <v>46029</v>
      </c>
      <c r="R147" s="2">
        <v>46027.687326388892</v>
      </c>
      <c r="S147">
        <f t="shared" si="26"/>
        <v>0</v>
      </c>
      <c r="T147" s="2">
        <f t="shared" si="27"/>
        <v>46029</v>
      </c>
      <c r="U147" t="str">
        <f t="shared" si="28"/>
        <v>NO PRAZO</v>
      </c>
      <c r="Z147" s="5" t="s">
        <v>170</v>
      </c>
    </row>
    <row r="148" spans="1:26" hidden="1">
      <c r="A148" s="1">
        <v>21602</v>
      </c>
      <c r="B148" t="s">
        <v>17</v>
      </c>
      <c r="C148" t="s">
        <v>13</v>
      </c>
      <c r="D148" t="s">
        <v>18</v>
      </c>
      <c r="E148" s="1">
        <v>8</v>
      </c>
      <c r="F148" s="1">
        <v>2026</v>
      </c>
      <c r="G148" t="s">
        <v>11</v>
      </c>
      <c r="H148" s="2">
        <v>46027.376354166663</v>
      </c>
      <c r="I148" s="9">
        <f t="shared" si="20"/>
        <v>46030</v>
      </c>
      <c r="J148" s="2" t="str">
        <f t="shared" si="21"/>
        <v/>
      </c>
      <c r="L148" s="2" t="str">
        <f t="shared" si="22"/>
        <v/>
      </c>
      <c r="N148" s="10" t="str">
        <f t="shared" si="23"/>
        <v/>
      </c>
      <c r="O148" s="2">
        <f t="shared" si="24"/>
        <v>46030</v>
      </c>
      <c r="P148" s="2">
        <v>46027.464456018519</v>
      </c>
      <c r="Q148" s="2">
        <f t="shared" si="25"/>
        <v>46036</v>
      </c>
      <c r="R148" s="2">
        <v>46028.75209490741</v>
      </c>
      <c r="S148">
        <f t="shared" si="26"/>
        <v>0</v>
      </c>
      <c r="T148" s="2">
        <f t="shared" si="27"/>
        <v>46036</v>
      </c>
      <c r="U148" t="str">
        <f t="shared" si="28"/>
        <v>NO PRAZO</v>
      </c>
      <c r="Z148" s="5" t="s">
        <v>171</v>
      </c>
    </row>
    <row r="149" spans="1:26" hidden="1">
      <c r="A149" s="1">
        <v>21601</v>
      </c>
      <c r="B149" t="s">
        <v>17</v>
      </c>
      <c r="C149" t="s">
        <v>13</v>
      </c>
      <c r="D149" t="s">
        <v>18</v>
      </c>
      <c r="E149" s="1">
        <v>7</v>
      </c>
      <c r="F149" s="1">
        <v>2026</v>
      </c>
      <c r="G149" t="s">
        <v>11</v>
      </c>
      <c r="H149" s="2">
        <v>46027.376354166663</v>
      </c>
      <c r="I149" s="9">
        <f t="shared" si="20"/>
        <v>46030</v>
      </c>
      <c r="J149" s="2" t="str">
        <f t="shared" si="21"/>
        <v/>
      </c>
      <c r="L149" s="2" t="str">
        <f t="shared" si="22"/>
        <v/>
      </c>
      <c r="N149" s="10" t="str">
        <f t="shared" si="23"/>
        <v/>
      </c>
      <c r="O149" s="2">
        <f t="shared" si="24"/>
        <v>46030</v>
      </c>
      <c r="P149" s="2">
        <v>46027.464050925926</v>
      </c>
      <c r="Q149" s="2">
        <f t="shared" si="25"/>
        <v>46036</v>
      </c>
      <c r="R149" s="2">
        <v>46027.598321759258</v>
      </c>
      <c r="S149">
        <f t="shared" si="26"/>
        <v>0</v>
      </c>
      <c r="T149" s="2">
        <f t="shared" si="27"/>
        <v>46036</v>
      </c>
      <c r="U149" t="str">
        <f t="shared" si="28"/>
        <v>NO PRAZO</v>
      </c>
      <c r="Z149" s="5" t="s">
        <v>172</v>
      </c>
    </row>
    <row r="150" spans="1:26" hidden="1">
      <c r="A150" s="1">
        <v>21599</v>
      </c>
      <c r="B150" t="s">
        <v>20</v>
      </c>
      <c r="C150" t="s">
        <v>13</v>
      </c>
      <c r="D150" t="s">
        <v>18</v>
      </c>
      <c r="E150" s="1">
        <v>5</v>
      </c>
      <c r="F150" s="1">
        <v>2026</v>
      </c>
      <c r="G150" t="s">
        <v>11</v>
      </c>
      <c r="H150" s="2">
        <v>46024.501076388886</v>
      </c>
      <c r="I150" s="9">
        <f t="shared" si="20"/>
        <v>46029</v>
      </c>
      <c r="J150" s="2" t="str">
        <f t="shared" si="21"/>
        <v/>
      </c>
      <c r="L150" s="2" t="str">
        <f t="shared" si="22"/>
        <v/>
      </c>
      <c r="N150" s="10" t="str">
        <f t="shared" si="23"/>
        <v/>
      </c>
      <c r="O150" s="2">
        <f t="shared" si="24"/>
        <v>46029</v>
      </c>
      <c r="P150" s="2">
        <v>46028.68922453704</v>
      </c>
      <c r="Q150" s="2">
        <f t="shared" si="25"/>
        <v>46035</v>
      </c>
      <c r="R150" s="2">
        <v>46029.440462962964</v>
      </c>
      <c r="S150">
        <f t="shared" si="26"/>
        <v>0</v>
      </c>
      <c r="T150" s="2">
        <f t="shared" si="27"/>
        <v>46035</v>
      </c>
      <c r="U150" t="str">
        <f t="shared" si="28"/>
        <v>NO PRAZO</v>
      </c>
      <c r="Z150" s="5" t="s">
        <v>173</v>
      </c>
    </row>
    <row r="151" spans="1:26" hidden="1">
      <c r="A151" s="1">
        <v>21596</v>
      </c>
      <c r="B151" t="s">
        <v>15</v>
      </c>
      <c r="C151" t="s">
        <v>13</v>
      </c>
      <c r="D151" t="s">
        <v>18</v>
      </c>
      <c r="E151" s="1">
        <v>2</v>
      </c>
      <c r="F151" s="1">
        <v>2026</v>
      </c>
      <c r="G151" t="s">
        <v>11</v>
      </c>
      <c r="H151" s="2">
        <v>46024.4528125</v>
      </c>
      <c r="I151" s="9">
        <f t="shared" si="20"/>
        <v>46029</v>
      </c>
      <c r="J151" s="2" t="str">
        <f t="shared" si="21"/>
        <v/>
      </c>
      <c r="L151" s="2" t="str">
        <f t="shared" si="22"/>
        <v/>
      </c>
      <c r="N151" s="10" t="str">
        <f t="shared" si="23"/>
        <v/>
      </c>
      <c r="O151" s="2">
        <f t="shared" si="24"/>
        <v>46029</v>
      </c>
      <c r="P151" s="2">
        <v>46024.459363425929</v>
      </c>
      <c r="Q151" s="2">
        <f t="shared" si="25"/>
        <v>46035</v>
      </c>
      <c r="R151" s="2">
        <v>46024.497604166667</v>
      </c>
      <c r="S151">
        <f t="shared" si="26"/>
        <v>0</v>
      </c>
      <c r="T151" s="2">
        <f t="shared" si="27"/>
        <v>46035</v>
      </c>
      <c r="U151" t="str">
        <f t="shared" si="28"/>
        <v>NO PRAZO</v>
      </c>
      <c r="Z151" s="5" t="s">
        <v>174</v>
      </c>
    </row>
    <row r="152" spans="1:26" hidden="1">
      <c r="A152" s="1">
        <v>21591</v>
      </c>
      <c r="B152" t="s">
        <v>12</v>
      </c>
      <c r="C152" t="s">
        <v>13</v>
      </c>
      <c r="D152" t="s">
        <v>16</v>
      </c>
      <c r="E152" s="1">
        <v>2503</v>
      </c>
      <c r="F152" s="1">
        <v>2025</v>
      </c>
      <c r="G152" t="s">
        <v>11</v>
      </c>
      <c r="H152" s="2">
        <v>46021.41746527778</v>
      </c>
      <c r="I152" s="9">
        <f t="shared" si="20"/>
        <v>46022</v>
      </c>
      <c r="J152" s="2" t="str">
        <f t="shared" si="21"/>
        <v/>
      </c>
      <c r="L152" s="2" t="str">
        <f t="shared" si="22"/>
        <v/>
      </c>
      <c r="N152" s="10" t="str">
        <f t="shared" si="23"/>
        <v/>
      </c>
      <c r="O152" s="2">
        <f t="shared" si="24"/>
        <v>46022</v>
      </c>
      <c r="P152" s="2">
        <v>46024.66202546296</v>
      </c>
      <c r="Q152" s="2">
        <f t="shared" si="25"/>
        <v>46029</v>
      </c>
      <c r="R152" s="2">
        <v>46024.666307870371</v>
      </c>
      <c r="S152">
        <f t="shared" si="26"/>
        <v>0</v>
      </c>
      <c r="T152" s="2">
        <f t="shared" si="27"/>
        <v>46029</v>
      </c>
      <c r="U152" t="str">
        <f t="shared" si="28"/>
        <v>NO PRAZO</v>
      </c>
      <c r="Z152" s="5" t="s">
        <v>175</v>
      </c>
    </row>
    <row r="153" spans="1:26" hidden="1">
      <c r="A153" s="1">
        <v>21581</v>
      </c>
      <c r="B153" t="s">
        <v>23</v>
      </c>
      <c r="C153" t="s">
        <v>13</v>
      </c>
      <c r="D153" t="s">
        <v>16</v>
      </c>
      <c r="E153" s="1">
        <v>2493</v>
      </c>
      <c r="F153" s="1">
        <v>2025</v>
      </c>
      <c r="G153" t="s">
        <v>11</v>
      </c>
      <c r="H153" s="2">
        <v>46017.41778935185</v>
      </c>
      <c r="I153" s="9">
        <f t="shared" si="20"/>
        <v>46020</v>
      </c>
      <c r="J153" s="2" t="str">
        <f t="shared" si="21"/>
        <v/>
      </c>
      <c r="L153" s="2" t="str">
        <f t="shared" si="22"/>
        <v/>
      </c>
      <c r="N153" s="10" t="str">
        <f t="shared" si="23"/>
        <v/>
      </c>
      <c r="O153" s="2">
        <f t="shared" si="24"/>
        <v>46020</v>
      </c>
      <c r="P153" s="2">
        <v>46020.470138888886</v>
      </c>
      <c r="Q153" s="2">
        <f t="shared" si="25"/>
        <v>46027</v>
      </c>
      <c r="R153" s="2">
        <v>46021.717615740738</v>
      </c>
      <c r="S153">
        <f t="shared" si="26"/>
        <v>0</v>
      </c>
      <c r="T153" s="2">
        <f t="shared" si="27"/>
        <v>46027</v>
      </c>
      <c r="U153" t="str">
        <f t="shared" si="28"/>
        <v>NO PRAZO</v>
      </c>
      <c r="Z153" s="5" t="s">
        <v>176</v>
      </c>
    </row>
    <row r="154" spans="1:26" hidden="1">
      <c r="A154" s="1">
        <v>21567</v>
      </c>
      <c r="B154" t="s">
        <v>15</v>
      </c>
      <c r="C154" t="s">
        <v>13</v>
      </c>
      <c r="D154" t="s">
        <v>10</v>
      </c>
      <c r="E154" s="1">
        <v>2479</v>
      </c>
      <c r="F154" s="1">
        <v>2025</v>
      </c>
      <c r="G154" t="s">
        <v>11</v>
      </c>
      <c r="H154" s="2">
        <v>46013.459120370368</v>
      </c>
      <c r="I154" s="9">
        <f t="shared" si="20"/>
        <v>46014</v>
      </c>
      <c r="J154" s="2" t="str">
        <f t="shared" si="21"/>
        <v/>
      </c>
      <c r="L154" s="2" t="str">
        <f t="shared" si="22"/>
        <v/>
      </c>
      <c r="N154" s="10" t="str">
        <f t="shared" si="23"/>
        <v/>
      </c>
      <c r="O154" s="2">
        <f t="shared" si="24"/>
        <v>46014</v>
      </c>
      <c r="P154" s="2">
        <v>46014.463043981479</v>
      </c>
      <c r="Q154" s="2">
        <f t="shared" si="25"/>
        <v>46015</v>
      </c>
      <c r="R154" s="2">
        <v>46014.557175925926</v>
      </c>
      <c r="S154">
        <f t="shared" si="26"/>
        <v>0</v>
      </c>
      <c r="T154" s="2">
        <f t="shared" si="27"/>
        <v>46015</v>
      </c>
      <c r="U154" t="str">
        <f t="shared" si="28"/>
        <v>NO PRAZO</v>
      </c>
      <c r="Z154" s="5" t="s">
        <v>177</v>
      </c>
    </row>
    <row r="155" spans="1:26" hidden="1">
      <c r="A155" s="1">
        <v>21561</v>
      </c>
      <c r="B155" t="s">
        <v>17</v>
      </c>
      <c r="C155" t="s">
        <v>9</v>
      </c>
      <c r="D155" t="s">
        <v>14</v>
      </c>
      <c r="E155" s="1">
        <v>2473</v>
      </c>
      <c r="F155" s="1">
        <v>2025</v>
      </c>
      <c r="G155" t="s">
        <v>11</v>
      </c>
      <c r="H155" s="2">
        <v>46010.417187500003</v>
      </c>
      <c r="I155" s="9">
        <f t="shared" si="20"/>
        <v>46013</v>
      </c>
      <c r="J155" s="2" t="str">
        <f t="shared" si="21"/>
        <v/>
      </c>
      <c r="L155" s="2" t="str">
        <f t="shared" si="22"/>
        <v/>
      </c>
      <c r="N155" s="10" t="str">
        <f t="shared" si="23"/>
        <v/>
      </c>
      <c r="O155" s="2">
        <f t="shared" si="24"/>
        <v>46013</v>
      </c>
      <c r="P155" s="2">
        <v>46010.443460648145</v>
      </c>
      <c r="Q155" s="2">
        <f t="shared" si="25"/>
        <v>46014</v>
      </c>
      <c r="R155" s="2">
        <v>46014.415752314817</v>
      </c>
      <c r="S155">
        <f t="shared" si="26"/>
        <v>0</v>
      </c>
      <c r="T155" s="2">
        <f t="shared" si="27"/>
        <v>46014</v>
      </c>
      <c r="U155" t="str">
        <f t="shared" si="28"/>
        <v>NO PRAZO</v>
      </c>
      <c r="Z155" s="5" t="s">
        <v>178</v>
      </c>
    </row>
    <row r="156" spans="1:26" hidden="1">
      <c r="A156" s="1">
        <v>21560</v>
      </c>
      <c r="B156" t="s">
        <v>20</v>
      </c>
      <c r="C156" t="s">
        <v>13</v>
      </c>
      <c r="D156" t="s">
        <v>21</v>
      </c>
      <c r="E156" s="1">
        <v>2472</v>
      </c>
      <c r="F156" s="1">
        <v>2025</v>
      </c>
      <c r="G156" t="s">
        <v>11</v>
      </c>
      <c r="H156" s="2">
        <v>46009.79215277778</v>
      </c>
      <c r="I156" s="9">
        <f t="shared" si="20"/>
        <v>46014</v>
      </c>
      <c r="J156" s="2" t="str">
        <f t="shared" si="21"/>
        <v/>
      </c>
      <c r="L156" s="2" t="str">
        <f t="shared" si="22"/>
        <v/>
      </c>
      <c r="N156" s="10" t="str">
        <f t="shared" si="23"/>
        <v/>
      </c>
      <c r="O156" s="2">
        <f t="shared" si="24"/>
        <v>46014</v>
      </c>
      <c r="P156" s="2">
        <v>46028.422129629631</v>
      </c>
      <c r="Q156" s="2">
        <f t="shared" si="25"/>
        <v>46044</v>
      </c>
      <c r="R156" s="2">
        <v>46037.914282407408</v>
      </c>
      <c r="S156">
        <f t="shared" si="26"/>
        <v>0</v>
      </c>
      <c r="T156" s="2">
        <f t="shared" si="27"/>
        <v>46044</v>
      </c>
      <c r="U156" t="str">
        <f t="shared" si="28"/>
        <v>NO PRAZO</v>
      </c>
      <c r="Z156" s="5" t="s">
        <v>179</v>
      </c>
    </row>
    <row r="157" spans="1:26" hidden="1">
      <c r="A157" s="1">
        <v>21558</v>
      </c>
      <c r="B157" t="s">
        <v>15</v>
      </c>
      <c r="C157" t="s">
        <v>13</v>
      </c>
      <c r="D157" t="s">
        <v>10</v>
      </c>
      <c r="E157" s="1">
        <v>2470</v>
      </c>
      <c r="F157" s="1">
        <v>2025</v>
      </c>
      <c r="G157" t="s">
        <v>11</v>
      </c>
      <c r="H157" s="2">
        <v>46009.583819444444</v>
      </c>
      <c r="I157" s="9">
        <f t="shared" si="20"/>
        <v>46010</v>
      </c>
      <c r="J157" s="2" t="str">
        <f t="shared" si="21"/>
        <v/>
      </c>
      <c r="L157" s="2" t="str">
        <f t="shared" si="22"/>
        <v/>
      </c>
      <c r="N157" s="10" t="str">
        <f t="shared" si="23"/>
        <v/>
      </c>
      <c r="O157" s="2">
        <f t="shared" si="24"/>
        <v>46010</v>
      </c>
      <c r="P157" s="2">
        <v>46010.45585648148</v>
      </c>
      <c r="Q157" s="2">
        <f t="shared" si="25"/>
        <v>46013</v>
      </c>
      <c r="R157" s="2">
        <v>46010.625462962962</v>
      </c>
      <c r="S157">
        <f t="shared" si="26"/>
        <v>0</v>
      </c>
      <c r="T157" s="2">
        <f t="shared" si="27"/>
        <v>46013</v>
      </c>
      <c r="U157" t="str">
        <f t="shared" si="28"/>
        <v>NO PRAZO</v>
      </c>
      <c r="Z157" s="5" t="s">
        <v>180</v>
      </c>
    </row>
    <row r="158" spans="1:26" hidden="1">
      <c r="A158" s="1">
        <v>21557</v>
      </c>
      <c r="B158" t="s">
        <v>15</v>
      </c>
      <c r="C158" t="s">
        <v>13</v>
      </c>
      <c r="D158" t="s">
        <v>10</v>
      </c>
      <c r="E158" s="1">
        <v>2469</v>
      </c>
      <c r="F158" s="1">
        <v>2025</v>
      </c>
      <c r="G158" t="s">
        <v>11</v>
      </c>
      <c r="H158" s="2">
        <v>46009.583819444444</v>
      </c>
      <c r="I158" s="9">
        <f t="shared" si="20"/>
        <v>46010</v>
      </c>
      <c r="J158" s="2" t="str">
        <f t="shared" si="21"/>
        <v/>
      </c>
      <c r="L158" s="2" t="str">
        <f t="shared" si="22"/>
        <v/>
      </c>
      <c r="N158" s="10" t="str">
        <f t="shared" si="23"/>
        <v/>
      </c>
      <c r="O158" s="2">
        <f t="shared" si="24"/>
        <v>46010</v>
      </c>
      <c r="P158" s="2">
        <v>46013.428715277776</v>
      </c>
      <c r="Q158" s="2">
        <f t="shared" si="25"/>
        <v>46013</v>
      </c>
      <c r="R158" s="2">
        <v>46013.433275462965</v>
      </c>
      <c r="S158">
        <f t="shared" si="26"/>
        <v>0</v>
      </c>
      <c r="T158" s="2">
        <f t="shared" si="27"/>
        <v>46013</v>
      </c>
      <c r="U158" t="str">
        <f t="shared" si="28"/>
        <v>NO PRAZO</v>
      </c>
      <c r="Z158" s="5" t="s">
        <v>181</v>
      </c>
    </row>
    <row r="159" spans="1:26" hidden="1">
      <c r="A159" s="1">
        <v>21555</v>
      </c>
      <c r="B159" t="s">
        <v>8</v>
      </c>
      <c r="C159" t="s">
        <v>13</v>
      </c>
      <c r="D159" t="s">
        <v>10</v>
      </c>
      <c r="E159" s="1">
        <v>2467</v>
      </c>
      <c r="F159" s="1">
        <v>2025</v>
      </c>
      <c r="G159" t="s">
        <v>11</v>
      </c>
      <c r="H159" s="2">
        <v>46009.500462962962</v>
      </c>
      <c r="I159" s="9">
        <f t="shared" si="20"/>
        <v>46010</v>
      </c>
      <c r="J159" s="2" t="str">
        <f t="shared" si="21"/>
        <v/>
      </c>
      <c r="L159" s="2" t="str">
        <f t="shared" si="22"/>
        <v/>
      </c>
      <c r="N159" s="10" t="str">
        <f t="shared" si="23"/>
        <v/>
      </c>
      <c r="O159" s="2">
        <f t="shared" si="24"/>
        <v>46010</v>
      </c>
      <c r="P159" s="2">
        <v>46013.477986111109</v>
      </c>
      <c r="Q159" s="2">
        <f t="shared" si="25"/>
        <v>46013</v>
      </c>
      <c r="R159" s="2">
        <v>46013.509444444448</v>
      </c>
      <c r="S159">
        <f t="shared" si="26"/>
        <v>0</v>
      </c>
      <c r="T159" s="2">
        <f t="shared" si="27"/>
        <v>46013</v>
      </c>
      <c r="U159" t="str">
        <f t="shared" si="28"/>
        <v>NO PRAZO</v>
      </c>
      <c r="Z159" s="5" t="s">
        <v>182</v>
      </c>
    </row>
    <row r="160" spans="1:26" hidden="1">
      <c r="A160" s="1">
        <v>21551</v>
      </c>
      <c r="B160" t="s">
        <v>20</v>
      </c>
      <c r="C160" t="s">
        <v>13</v>
      </c>
      <c r="D160" t="s">
        <v>21</v>
      </c>
      <c r="E160" s="1">
        <v>2463</v>
      </c>
      <c r="F160" s="1">
        <v>2025</v>
      </c>
      <c r="G160" t="s">
        <v>11</v>
      </c>
      <c r="H160" s="2">
        <v>46008.67759259259</v>
      </c>
      <c r="I160" s="9">
        <f t="shared" si="20"/>
        <v>46013</v>
      </c>
      <c r="J160" s="2">
        <f t="shared" si="21"/>
        <v>46013</v>
      </c>
      <c r="K160" s="2">
        <v>46008.739201388889</v>
      </c>
      <c r="L160" s="2">
        <f t="shared" si="22"/>
        <v>46035</v>
      </c>
      <c r="M160" s="2">
        <v>46010.384062500001</v>
      </c>
      <c r="N160" s="10">
        <f t="shared" si="23"/>
        <v>0</v>
      </c>
      <c r="O160" s="2">
        <f t="shared" si="24"/>
        <v>46036</v>
      </c>
      <c r="P160" s="2">
        <v>46014.424016203702</v>
      </c>
      <c r="Q160" s="2">
        <f t="shared" si="25"/>
        <v>46064</v>
      </c>
      <c r="R160" s="2">
        <v>46036.712118055555</v>
      </c>
      <c r="S160">
        <f t="shared" si="26"/>
        <v>0</v>
      </c>
      <c r="T160" s="2">
        <f t="shared" si="27"/>
        <v>46064</v>
      </c>
      <c r="U160" t="str">
        <f t="shared" si="28"/>
        <v>NO PRAZO</v>
      </c>
      <c r="Z160" s="5" t="s">
        <v>183</v>
      </c>
    </row>
    <row r="161" spans="1:26" hidden="1">
      <c r="A161" s="1">
        <v>21549</v>
      </c>
      <c r="B161" t="s">
        <v>15</v>
      </c>
      <c r="C161" t="s">
        <v>13</v>
      </c>
      <c r="D161" t="s">
        <v>10</v>
      </c>
      <c r="E161" s="1">
        <v>2461</v>
      </c>
      <c r="F161" s="1">
        <v>2025</v>
      </c>
      <c r="G161" t="s">
        <v>11</v>
      </c>
      <c r="H161" s="2">
        <v>46008.500416666669</v>
      </c>
      <c r="I161" s="9">
        <f t="shared" si="20"/>
        <v>46009</v>
      </c>
      <c r="J161" s="2" t="str">
        <f t="shared" si="21"/>
        <v/>
      </c>
      <c r="L161" s="2" t="str">
        <f t="shared" si="22"/>
        <v/>
      </c>
      <c r="N161" s="10" t="str">
        <f t="shared" si="23"/>
        <v/>
      </c>
      <c r="O161" s="2">
        <f t="shared" si="24"/>
        <v>46009</v>
      </c>
      <c r="P161" s="2">
        <v>46009.72146990741</v>
      </c>
      <c r="Q161" s="2">
        <f t="shared" si="25"/>
        <v>46010</v>
      </c>
      <c r="R161" s="2">
        <v>46010.438680555555</v>
      </c>
      <c r="S161">
        <f t="shared" si="26"/>
        <v>0</v>
      </c>
      <c r="T161" s="2">
        <f t="shared" si="27"/>
        <v>46010</v>
      </c>
      <c r="U161" t="str">
        <f t="shared" si="28"/>
        <v>NO PRAZO</v>
      </c>
      <c r="Z161" s="5" t="s">
        <v>184</v>
      </c>
    </row>
    <row r="162" spans="1:26" hidden="1">
      <c r="A162" s="1">
        <v>21543</v>
      </c>
      <c r="B162" t="s">
        <v>20</v>
      </c>
      <c r="C162" t="s">
        <v>13</v>
      </c>
      <c r="D162" t="s">
        <v>18</v>
      </c>
      <c r="E162" s="1">
        <v>2455</v>
      </c>
      <c r="F162" s="1">
        <v>2025</v>
      </c>
      <c r="G162" t="s">
        <v>11</v>
      </c>
      <c r="H162" s="2">
        <v>46007.708726851852</v>
      </c>
      <c r="I162" s="9">
        <f t="shared" ref="I162:I181" si="29">IF(OR(D162="ORIENTAÇÃO",D162="BUG IMPEDITIVO",D162="BUG NÃO IMPEDITIVO"),WORKDAY(H162,1,Z$2:Z$500),IF(OR(D162="MELHORIA PEQUENA",D162="MELHORIA MÉDIA"),WORKDAY(H162,3,Z$2:Z$500),""))</f>
        <v>46010</v>
      </c>
      <c r="J162" s="2" t="str">
        <f t="shared" si="21"/>
        <v/>
      </c>
      <c r="L162" s="2" t="str">
        <f t="shared" si="22"/>
        <v/>
      </c>
      <c r="N162" s="10" t="str">
        <f t="shared" si="23"/>
        <v/>
      </c>
      <c r="O162" s="2">
        <f t="shared" si="24"/>
        <v>46010</v>
      </c>
      <c r="P162" s="2">
        <v>46010.44902777778</v>
      </c>
      <c r="Q162" s="2">
        <f t="shared" si="25"/>
        <v>46017</v>
      </c>
      <c r="R162" s="2">
        <v>46010.558125000003</v>
      </c>
      <c r="S162">
        <f t="shared" si="26"/>
        <v>0</v>
      </c>
      <c r="T162" s="2">
        <f t="shared" si="27"/>
        <v>46017</v>
      </c>
      <c r="U162" t="str">
        <f t="shared" si="28"/>
        <v>NO PRAZO</v>
      </c>
      <c r="Z162" s="5" t="s">
        <v>185</v>
      </c>
    </row>
    <row r="163" spans="1:26" hidden="1">
      <c r="A163" s="1">
        <v>21540</v>
      </c>
      <c r="B163" t="s">
        <v>8</v>
      </c>
      <c r="C163" t="s">
        <v>13</v>
      </c>
      <c r="D163" t="s">
        <v>18</v>
      </c>
      <c r="E163" s="1">
        <v>2452</v>
      </c>
      <c r="F163" s="1">
        <v>2025</v>
      </c>
      <c r="G163" t="s">
        <v>11</v>
      </c>
      <c r="H163" s="2">
        <v>46007.667083333334</v>
      </c>
      <c r="I163" s="9">
        <f t="shared" si="29"/>
        <v>46010</v>
      </c>
      <c r="J163" s="2" t="str">
        <f t="shared" si="21"/>
        <v/>
      </c>
      <c r="L163" s="2" t="str">
        <f t="shared" si="22"/>
        <v/>
      </c>
      <c r="N163" s="10" t="str">
        <f t="shared" si="23"/>
        <v/>
      </c>
      <c r="O163" s="2">
        <f t="shared" si="24"/>
        <v>46010</v>
      </c>
      <c r="P163" s="2">
        <v>46008.438113425924</v>
      </c>
      <c r="Q163" s="2">
        <f t="shared" si="25"/>
        <v>46017</v>
      </c>
      <c r="R163" s="2">
        <v>46010.742303240739</v>
      </c>
      <c r="S163">
        <f t="shared" si="26"/>
        <v>0</v>
      </c>
      <c r="T163" s="2">
        <f t="shared" si="27"/>
        <v>46017</v>
      </c>
      <c r="U163" t="str">
        <f t="shared" si="28"/>
        <v>NO PRAZO</v>
      </c>
      <c r="Z163" s="5" t="s">
        <v>186</v>
      </c>
    </row>
    <row r="164" spans="1:26" hidden="1">
      <c r="A164" s="1">
        <v>21539</v>
      </c>
      <c r="B164" t="s">
        <v>19</v>
      </c>
      <c r="C164" t="s">
        <v>13</v>
      </c>
      <c r="D164" t="s">
        <v>18</v>
      </c>
      <c r="E164" s="1">
        <v>2451</v>
      </c>
      <c r="F164" s="1">
        <v>2025</v>
      </c>
      <c r="G164" t="s">
        <v>11</v>
      </c>
      <c r="H164" s="2">
        <v>46007.625393518516</v>
      </c>
      <c r="I164" s="9">
        <f t="shared" si="29"/>
        <v>46010</v>
      </c>
      <c r="J164" s="2" t="str">
        <f t="shared" si="21"/>
        <v/>
      </c>
      <c r="L164" s="2" t="str">
        <f t="shared" si="22"/>
        <v/>
      </c>
      <c r="N164" s="10" t="str">
        <f t="shared" si="23"/>
        <v/>
      </c>
      <c r="O164" s="2">
        <f t="shared" si="24"/>
        <v>46010</v>
      </c>
      <c r="P164" s="2">
        <v>46009.583333333336</v>
      </c>
      <c r="Q164" s="2">
        <f t="shared" si="25"/>
        <v>46017</v>
      </c>
      <c r="R164" s="2">
        <v>46013.678541666668</v>
      </c>
      <c r="S164">
        <f t="shared" si="26"/>
        <v>0</v>
      </c>
      <c r="T164" s="2">
        <f t="shared" si="27"/>
        <v>46017</v>
      </c>
      <c r="U164" t="str">
        <f t="shared" si="28"/>
        <v>NO PRAZO</v>
      </c>
      <c r="Z164" s="5" t="s">
        <v>187</v>
      </c>
    </row>
    <row r="165" spans="1:26" hidden="1">
      <c r="A165" s="1">
        <v>21531</v>
      </c>
      <c r="B165" t="s">
        <v>17</v>
      </c>
      <c r="C165" t="s">
        <v>13</v>
      </c>
      <c r="D165" t="s">
        <v>18</v>
      </c>
      <c r="E165" s="1">
        <v>2443</v>
      </c>
      <c r="F165" s="1">
        <v>2025</v>
      </c>
      <c r="G165" t="s">
        <v>11</v>
      </c>
      <c r="H165" s="2">
        <v>46007.417060185187</v>
      </c>
      <c r="I165" s="9">
        <f t="shared" si="29"/>
        <v>46010</v>
      </c>
      <c r="J165" s="2" t="str">
        <f t="shared" si="21"/>
        <v/>
      </c>
      <c r="L165" s="2" t="str">
        <f t="shared" si="22"/>
        <v/>
      </c>
      <c r="N165" s="10" t="str">
        <f t="shared" si="23"/>
        <v/>
      </c>
      <c r="O165" s="2">
        <f t="shared" si="24"/>
        <v>46010</v>
      </c>
      <c r="P165" s="2">
        <v>46009.690879629627</v>
      </c>
      <c r="Q165" s="2">
        <f t="shared" si="25"/>
        <v>46017</v>
      </c>
      <c r="R165" s="2">
        <v>46010.455509259256</v>
      </c>
      <c r="S165">
        <f t="shared" si="26"/>
        <v>0</v>
      </c>
      <c r="T165" s="2">
        <f t="shared" si="27"/>
        <v>46017</v>
      </c>
      <c r="U165" t="str">
        <f t="shared" si="28"/>
        <v>NO PRAZO</v>
      </c>
      <c r="Z165" s="5" t="s">
        <v>188</v>
      </c>
    </row>
    <row r="166" spans="1:26" hidden="1">
      <c r="A166" s="1">
        <v>21530</v>
      </c>
      <c r="B166" t="s">
        <v>17</v>
      </c>
      <c r="C166" t="s">
        <v>13</v>
      </c>
      <c r="D166" t="s">
        <v>18</v>
      </c>
      <c r="E166" s="1">
        <v>2442</v>
      </c>
      <c r="F166" s="1">
        <v>2025</v>
      </c>
      <c r="G166" t="s">
        <v>11</v>
      </c>
      <c r="H166" s="2">
        <v>46007.417060185187</v>
      </c>
      <c r="I166" s="9">
        <f t="shared" si="29"/>
        <v>46010</v>
      </c>
      <c r="J166" s="2" t="str">
        <f t="shared" si="21"/>
        <v/>
      </c>
      <c r="L166" s="2" t="str">
        <f t="shared" si="22"/>
        <v/>
      </c>
      <c r="N166" s="10" t="str">
        <f t="shared" si="23"/>
        <v/>
      </c>
      <c r="O166" s="2">
        <f t="shared" si="24"/>
        <v>46010</v>
      </c>
      <c r="P166" s="2">
        <v>46009.40966435185</v>
      </c>
      <c r="Q166" s="2">
        <f t="shared" si="25"/>
        <v>46017</v>
      </c>
      <c r="R166" s="2">
        <v>46009.482025462959</v>
      </c>
      <c r="S166">
        <f t="shared" si="26"/>
        <v>0</v>
      </c>
      <c r="T166" s="2">
        <f t="shared" si="27"/>
        <v>46017</v>
      </c>
      <c r="U166" t="str">
        <f t="shared" si="28"/>
        <v>NO PRAZO</v>
      </c>
      <c r="Z166" s="5" t="s">
        <v>189</v>
      </c>
    </row>
    <row r="167" spans="1:26" hidden="1">
      <c r="A167" s="1">
        <v>21523</v>
      </c>
      <c r="B167" t="s">
        <v>15</v>
      </c>
      <c r="C167" t="s">
        <v>13</v>
      </c>
      <c r="D167" t="s">
        <v>10</v>
      </c>
      <c r="E167" s="1">
        <v>2435</v>
      </c>
      <c r="F167" s="1">
        <v>2025</v>
      </c>
      <c r="G167" t="s">
        <v>11</v>
      </c>
      <c r="H167" s="2">
        <v>46006.583692129629</v>
      </c>
      <c r="I167" s="9">
        <f t="shared" si="29"/>
        <v>46007</v>
      </c>
      <c r="J167" s="2" t="str">
        <f t="shared" si="21"/>
        <v/>
      </c>
      <c r="L167" s="2" t="str">
        <f t="shared" si="22"/>
        <v/>
      </c>
      <c r="N167" s="10" t="str">
        <f t="shared" si="23"/>
        <v/>
      </c>
      <c r="O167" s="2">
        <f t="shared" si="24"/>
        <v>46007</v>
      </c>
      <c r="P167" s="2">
        <v>46007.399722222224</v>
      </c>
      <c r="Q167" s="2">
        <f t="shared" si="25"/>
        <v>46008</v>
      </c>
      <c r="R167" s="2">
        <v>46007.738680555558</v>
      </c>
      <c r="S167">
        <f t="shared" si="26"/>
        <v>0</v>
      </c>
      <c r="T167" s="2">
        <f t="shared" si="27"/>
        <v>46008</v>
      </c>
      <c r="U167" t="str">
        <f t="shared" si="28"/>
        <v>NO PRAZO</v>
      </c>
      <c r="Z167" s="5" t="s">
        <v>190</v>
      </c>
    </row>
    <row r="168" spans="1:26">
      <c r="A168" s="1">
        <v>21522</v>
      </c>
      <c r="B168" t="s">
        <v>12</v>
      </c>
      <c r="C168" t="s">
        <v>9</v>
      </c>
      <c r="D168" t="s">
        <v>18</v>
      </c>
      <c r="E168" s="1">
        <v>2434</v>
      </c>
      <c r="F168" s="1">
        <v>2025</v>
      </c>
      <c r="G168" t="s">
        <v>11</v>
      </c>
      <c r="H168" s="2">
        <v>46006.500381944446</v>
      </c>
      <c r="I168" s="9">
        <f t="shared" si="29"/>
        <v>46009</v>
      </c>
      <c r="J168" s="2" t="str">
        <f t="shared" si="21"/>
        <v/>
      </c>
      <c r="L168" s="2" t="str">
        <f t="shared" si="22"/>
        <v/>
      </c>
      <c r="N168" s="10" t="str">
        <f t="shared" si="23"/>
        <v/>
      </c>
      <c r="O168" s="2">
        <f t="shared" si="24"/>
        <v>46009</v>
      </c>
      <c r="P168" s="2">
        <v>46010.451840277776</v>
      </c>
      <c r="Q168" s="2">
        <f t="shared" si="25"/>
        <v>46015</v>
      </c>
      <c r="R168" s="2">
        <v>46017.525104166663</v>
      </c>
      <c r="S168">
        <f t="shared" si="26"/>
        <v>2</v>
      </c>
      <c r="T168" s="2">
        <f t="shared" si="27"/>
        <v>46015</v>
      </c>
      <c r="U168" t="str">
        <f t="shared" si="28"/>
        <v>ATRASO</v>
      </c>
      <c r="Z168" s="5" t="s">
        <v>191</v>
      </c>
    </row>
    <row r="169" spans="1:26" hidden="1">
      <c r="A169" s="1">
        <v>21518</v>
      </c>
      <c r="B169" t="s">
        <v>17</v>
      </c>
      <c r="C169" t="s">
        <v>13</v>
      </c>
      <c r="D169" t="s">
        <v>18</v>
      </c>
      <c r="E169" s="1">
        <v>2430</v>
      </c>
      <c r="F169" s="1">
        <v>2025</v>
      </c>
      <c r="G169" t="s">
        <v>11</v>
      </c>
      <c r="H169" s="2">
        <v>46003.708611111113</v>
      </c>
      <c r="I169" s="9">
        <f t="shared" si="29"/>
        <v>46008</v>
      </c>
      <c r="J169" s="2" t="str">
        <f t="shared" si="21"/>
        <v/>
      </c>
      <c r="L169" s="2" t="str">
        <f t="shared" si="22"/>
        <v/>
      </c>
      <c r="N169" s="10" t="str">
        <f t="shared" si="23"/>
        <v/>
      </c>
      <c r="O169" s="2">
        <f t="shared" si="24"/>
        <v>46008</v>
      </c>
      <c r="P169" s="2">
        <v>46007.701979166668</v>
      </c>
      <c r="Q169" s="2">
        <f t="shared" si="25"/>
        <v>46014</v>
      </c>
      <c r="R169" s="2">
        <v>46008.572523148148</v>
      </c>
      <c r="S169">
        <f t="shared" si="26"/>
        <v>0</v>
      </c>
      <c r="T169" s="2">
        <f t="shared" si="27"/>
        <v>46014</v>
      </c>
      <c r="U169" t="str">
        <f t="shared" si="28"/>
        <v>NO PRAZO</v>
      </c>
      <c r="Z169" s="6" t="s">
        <v>192</v>
      </c>
    </row>
    <row r="170" spans="1:26" hidden="1">
      <c r="A170" s="1">
        <v>21516</v>
      </c>
      <c r="B170" t="s">
        <v>15</v>
      </c>
      <c r="C170" t="s">
        <v>13</v>
      </c>
      <c r="D170" t="s">
        <v>10</v>
      </c>
      <c r="E170" s="1">
        <v>2428</v>
      </c>
      <c r="F170" s="1">
        <v>2025</v>
      </c>
      <c r="G170" t="s">
        <v>11</v>
      </c>
      <c r="H170" s="2">
        <v>46003.583622685182</v>
      </c>
      <c r="I170" s="9">
        <f t="shared" si="29"/>
        <v>46006</v>
      </c>
      <c r="J170" s="2" t="str">
        <f t="shared" si="21"/>
        <v/>
      </c>
      <c r="L170" s="2" t="str">
        <f t="shared" si="22"/>
        <v/>
      </c>
      <c r="N170" s="10" t="str">
        <f t="shared" si="23"/>
        <v/>
      </c>
      <c r="O170" s="2">
        <f t="shared" si="24"/>
        <v>46006</v>
      </c>
      <c r="P170" s="2">
        <v>46007.490266203706</v>
      </c>
      <c r="Q170" s="2">
        <f t="shared" si="25"/>
        <v>46007</v>
      </c>
      <c r="R170" s="2">
        <v>46007.738807870373</v>
      </c>
      <c r="S170">
        <f t="shared" si="26"/>
        <v>0</v>
      </c>
      <c r="T170" s="2">
        <f t="shared" si="27"/>
        <v>46007</v>
      </c>
      <c r="U170" t="str">
        <f t="shared" si="28"/>
        <v>NO PRAZO</v>
      </c>
      <c r="Z170" s="5" t="s">
        <v>193</v>
      </c>
    </row>
    <row r="171" spans="1:26" hidden="1">
      <c r="A171" s="1">
        <v>21513</v>
      </c>
      <c r="B171" t="s">
        <v>15</v>
      </c>
      <c r="C171" t="s">
        <v>13</v>
      </c>
      <c r="D171" t="s">
        <v>16</v>
      </c>
      <c r="E171" s="1">
        <v>2425</v>
      </c>
      <c r="F171" s="1">
        <v>2025</v>
      </c>
      <c r="G171" t="s">
        <v>11</v>
      </c>
      <c r="H171" s="2">
        <v>46002.584282407406</v>
      </c>
      <c r="I171" s="9">
        <f t="shared" si="29"/>
        <v>46003</v>
      </c>
      <c r="J171" s="2" t="str">
        <f t="shared" si="21"/>
        <v/>
      </c>
      <c r="L171" s="2" t="str">
        <f t="shared" si="22"/>
        <v/>
      </c>
      <c r="N171" s="10" t="str">
        <f t="shared" si="23"/>
        <v/>
      </c>
      <c r="O171" s="2">
        <f t="shared" si="24"/>
        <v>46003</v>
      </c>
      <c r="P171" s="2">
        <v>46006.652743055558</v>
      </c>
      <c r="Q171" s="2">
        <f t="shared" si="25"/>
        <v>46009</v>
      </c>
      <c r="R171" s="2">
        <v>46006.726134259261</v>
      </c>
      <c r="S171">
        <f t="shared" si="26"/>
        <v>0</v>
      </c>
      <c r="T171" s="2">
        <f t="shared" si="27"/>
        <v>46009</v>
      </c>
      <c r="U171" t="str">
        <f t="shared" si="28"/>
        <v>NO PRAZO</v>
      </c>
      <c r="Z171" s="5" t="s">
        <v>194</v>
      </c>
    </row>
    <row r="172" spans="1:26" hidden="1">
      <c r="A172" s="1">
        <v>21508</v>
      </c>
      <c r="B172" t="s">
        <v>12</v>
      </c>
      <c r="C172" t="s">
        <v>13</v>
      </c>
      <c r="D172" t="s">
        <v>21</v>
      </c>
      <c r="E172" s="1">
        <v>2420</v>
      </c>
      <c r="F172" s="1">
        <v>2025</v>
      </c>
      <c r="G172" t="s">
        <v>11</v>
      </c>
      <c r="H172" s="2">
        <v>46001.709224537037</v>
      </c>
      <c r="I172" s="9">
        <f t="shared" si="29"/>
        <v>46006</v>
      </c>
      <c r="J172" s="2">
        <f t="shared" si="21"/>
        <v>46006</v>
      </c>
      <c r="K172" s="2">
        <v>46003.499479166669</v>
      </c>
      <c r="L172" s="2">
        <f t="shared" si="22"/>
        <v>46028</v>
      </c>
      <c r="M172" s="2">
        <v>46017.632939814815</v>
      </c>
      <c r="N172" s="10">
        <f t="shared" si="23"/>
        <v>0</v>
      </c>
      <c r="O172" s="2">
        <f t="shared" si="24"/>
        <v>46029</v>
      </c>
      <c r="P172" s="2">
        <v>46006.475995370369</v>
      </c>
      <c r="Q172" s="2">
        <f t="shared" si="25"/>
        <v>46057</v>
      </c>
      <c r="R172" s="2">
        <v>46034.567870370367</v>
      </c>
      <c r="S172">
        <f t="shared" si="26"/>
        <v>0</v>
      </c>
      <c r="T172" s="2">
        <f t="shared" si="27"/>
        <v>46057</v>
      </c>
      <c r="U172" t="str">
        <f t="shared" si="28"/>
        <v>NO PRAZO</v>
      </c>
      <c r="Z172" s="5" t="s">
        <v>195</v>
      </c>
    </row>
    <row r="173" spans="1:26" hidden="1">
      <c r="A173" s="1">
        <v>21502</v>
      </c>
      <c r="B173" t="s">
        <v>15</v>
      </c>
      <c r="C173" t="s">
        <v>13</v>
      </c>
      <c r="D173" t="s">
        <v>10</v>
      </c>
      <c r="E173" s="1">
        <v>2414</v>
      </c>
      <c r="F173" s="1">
        <v>2025</v>
      </c>
      <c r="G173" t="s">
        <v>11</v>
      </c>
      <c r="H173" s="2">
        <v>46001.625891203701</v>
      </c>
      <c r="I173" s="9">
        <f t="shared" si="29"/>
        <v>46002</v>
      </c>
      <c r="J173" s="2" t="str">
        <f t="shared" si="21"/>
        <v/>
      </c>
      <c r="L173" s="2" t="str">
        <f t="shared" si="22"/>
        <v/>
      </c>
      <c r="N173" s="10" t="str">
        <f t="shared" si="23"/>
        <v/>
      </c>
      <c r="O173" s="2">
        <f t="shared" si="24"/>
        <v>46002</v>
      </c>
      <c r="P173" s="2">
        <v>46003.625775462962</v>
      </c>
      <c r="Q173" s="2">
        <f t="shared" si="25"/>
        <v>46003</v>
      </c>
      <c r="R173" s="2">
        <v>46003.708564814813</v>
      </c>
      <c r="S173">
        <f t="shared" si="26"/>
        <v>0</v>
      </c>
      <c r="T173" s="2">
        <f t="shared" si="27"/>
        <v>46003</v>
      </c>
      <c r="U173" t="str">
        <f t="shared" si="28"/>
        <v>NO PRAZO</v>
      </c>
      <c r="Z173" s="5" t="s">
        <v>196</v>
      </c>
    </row>
    <row r="174" spans="1:26" hidden="1">
      <c r="A174" s="1">
        <v>21501</v>
      </c>
      <c r="B174" t="s">
        <v>12</v>
      </c>
      <c r="C174" t="s">
        <v>13</v>
      </c>
      <c r="D174" t="s">
        <v>18</v>
      </c>
      <c r="E174" s="1">
        <v>2413</v>
      </c>
      <c r="F174" s="1">
        <v>2025</v>
      </c>
      <c r="G174" t="s">
        <v>11</v>
      </c>
      <c r="H174" s="2">
        <v>46001.594467592593</v>
      </c>
      <c r="I174" s="9">
        <f t="shared" si="29"/>
        <v>46006</v>
      </c>
      <c r="J174" s="2" t="str">
        <f t="shared" si="21"/>
        <v/>
      </c>
      <c r="L174" s="2" t="str">
        <f t="shared" si="22"/>
        <v/>
      </c>
      <c r="N174" s="10" t="str">
        <f t="shared" si="23"/>
        <v/>
      </c>
      <c r="O174" s="2">
        <f t="shared" si="24"/>
        <v>46006</v>
      </c>
      <c r="P174" s="2">
        <v>46001.696099537039</v>
      </c>
      <c r="Q174" s="2">
        <f t="shared" si="25"/>
        <v>46010</v>
      </c>
      <c r="R174" s="2">
        <v>46006.622708333336</v>
      </c>
      <c r="S174">
        <f t="shared" si="26"/>
        <v>0</v>
      </c>
      <c r="T174" s="2">
        <f t="shared" si="27"/>
        <v>46010</v>
      </c>
      <c r="U174" t="str">
        <f t="shared" si="28"/>
        <v>NO PRAZO</v>
      </c>
      <c r="Z174" s="5" t="s">
        <v>197</v>
      </c>
    </row>
    <row r="175" spans="1:26" hidden="1">
      <c r="A175" s="1">
        <v>21500</v>
      </c>
      <c r="B175" t="s">
        <v>15</v>
      </c>
      <c r="C175" t="s">
        <v>13</v>
      </c>
      <c r="D175" t="s">
        <v>16</v>
      </c>
      <c r="E175" s="1">
        <v>2412</v>
      </c>
      <c r="F175" s="1">
        <v>2025</v>
      </c>
      <c r="G175" t="s">
        <v>11</v>
      </c>
      <c r="H175" s="2">
        <v>46001.58421296296</v>
      </c>
      <c r="I175" s="9">
        <f t="shared" si="29"/>
        <v>46002</v>
      </c>
      <c r="J175" s="2" t="str">
        <f t="shared" si="21"/>
        <v/>
      </c>
      <c r="L175" s="2" t="str">
        <f t="shared" si="22"/>
        <v/>
      </c>
      <c r="N175" s="10" t="str">
        <f t="shared" si="23"/>
        <v/>
      </c>
      <c r="O175" s="2">
        <f t="shared" si="24"/>
        <v>46002</v>
      </c>
      <c r="P175" s="2">
        <v>46006.591180555559</v>
      </c>
      <c r="Q175" s="2">
        <f t="shared" si="25"/>
        <v>46008</v>
      </c>
      <c r="R175" s="2">
        <v>46006.726527777777</v>
      </c>
      <c r="S175">
        <f t="shared" si="26"/>
        <v>0</v>
      </c>
      <c r="T175" s="2">
        <f t="shared" si="27"/>
        <v>46008</v>
      </c>
      <c r="U175" t="str">
        <f t="shared" si="28"/>
        <v>NO PRAZO</v>
      </c>
      <c r="Z175" s="5" t="s">
        <v>198</v>
      </c>
    </row>
    <row r="176" spans="1:26" hidden="1">
      <c r="A176" s="1">
        <v>21499</v>
      </c>
      <c r="B176" t="s">
        <v>12</v>
      </c>
      <c r="C176" t="s">
        <v>13</v>
      </c>
      <c r="D176" t="s">
        <v>18</v>
      </c>
      <c r="E176" s="1">
        <v>2411</v>
      </c>
      <c r="F176" s="1">
        <v>2025</v>
      </c>
      <c r="G176" t="s">
        <v>11</v>
      </c>
      <c r="H176" s="2">
        <v>46001.459201388891</v>
      </c>
      <c r="I176" s="9">
        <f t="shared" si="29"/>
        <v>46006</v>
      </c>
      <c r="J176" s="2" t="str">
        <f t="shared" si="21"/>
        <v/>
      </c>
      <c r="L176" s="2" t="str">
        <f t="shared" si="22"/>
        <v/>
      </c>
      <c r="N176" s="10" t="str">
        <f t="shared" si="23"/>
        <v/>
      </c>
      <c r="O176" s="2">
        <f t="shared" si="24"/>
        <v>46006</v>
      </c>
      <c r="P176" s="2">
        <v>46006.64984953704</v>
      </c>
      <c r="Q176" s="2">
        <f t="shared" si="25"/>
        <v>46010</v>
      </c>
      <c r="R176" s="2">
        <v>46006.726087962961</v>
      </c>
      <c r="S176">
        <f t="shared" si="26"/>
        <v>0</v>
      </c>
      <c r="T176" s="2">
        <f t="shared" si="27"/>
        <v>46010</v>
      </c>
      <c r="U176" t="str">
        <f t="shared" si="28"/>
        <v>NO PRAZO</v>
      </c>
      <c r="Z176" s="5" t="s">
        <v>199</v>
      </c>
    </row>
    <row r="177" spans="1:26" hidden="1">
      <c r="A177" s="1">
        <v>21498</v>
      </c>
      <c r="B177" t="s">
        <v>12</v>
      </c>
      <c r="C177" t="s">
        <v>13</v>
      </c>
      <c r="D177" t="s">
        <v>18</v>
      </c>
      <c r="E177" s="1">
        <v>2410</v>
      </c>
      <c r="F177" s="1">
        <v>2025</v>
      </c>
      <c r="G177" t="s">
        <v>11</v>
      </c>
      <c r="H177" s="2">
        <v>46001.448530092595</v>
      </c>
      <c r="I177" s="9">
        <f t="shared" si="29"/>
        <v>46006</v>
      </c>
      <c r="J177" s="2" t="str">
        <f t="shared" si="21"/>
        <v/>
      </c>
      <c r="L177" s="2" t="str">
        <f t="shared" si="22"/>
        <v/>
      </c>
      <c r="N177" s="10" t="str">
        <f t="shared" si="23"/>
        <v/>
      </c>
      <c r="O177" s="2">
        <f t="shared" si="24"/>
        <v>46006</v>
      </c>
      <c r="P177" s="2">
        <v>46001.452743055554</v>
      </c>
      <c r="Q177" s="2">
        <f t="shared" si="25"/>
        <v>46010</v>
      </c>
      <c r="R177" s="2">
        <v>46006.631909722222</v>
      </c>
      <c r="S177">
        <f t="shared" si="26"/>
        <v>0</v>
      </c>
      <c r="T177" s="2">
        <f t="shared" si="27"/>
        <v>46010</v>
      </c>
      <c r="U177" t="str">
        <f t="shared" si="28"/>
        <v>NO PRAZO</v>
      </c>
      <c r="Z177" s="5" t="s">
        <v>200</v>
      </c>
    </row>
    <row r="178" spans="1:26" hidden="1">
      <c r="A178" s="1">
        <v>21495</v>
      </c>
      <c r="B178" t="s">
        <v>17</v>
      </c>
      <c r="C178" t="s">
        <v>13</v>
      </c>
      <c r="D178" t="s">
        <v>18</v>
      </c>
      <c r="E178" s="1">
        <v>2407</v>
      </c>
      <c r="F178" s="1">
        <v>2025</v>
      </c>
      <c r="G178" t="s">
        <v>11</v>
      </c>
      <c r="H178" s="2">
        <v>46000.709131944444</v>
      </c>
      <c r="I178" s="9">
        <f t="shared" si="29"/>
        <v>46003</v>
      </c>
      <c r="J178" s="2" t="str">
        <f t="shared" si="21"/>
        <v/>
      </c>
      <c r="L178" s="2" t="str">
        <f t="shared" si="22"/>
        <v/>
      </c>
      <c r="N178" s="10" t="str">
        <f t="shared" si="23"/>
        <v/>
      </c>
      <c r="O178" s="2">
        <f t="shared" si="24"/>
        <v>46003</v>
      </c>
      <c r="P178" s="2">
        <v>46006.661192129628</v>
      </c>
      <c r="Q178" s="2">
        <f t="shared" si="25"/>
        <v>46009</v>
      </c>
      <c r="R178" s="2">
        <v>46006.661365740743</v>
      </c>
      <c r="S178">
        <f t="shared" si="26"/>
        <v>0</v>
      </c>
      <c r="T178" s="2">
        <f t="shared" si="27"/>
        <v>46009</v>
      </c>
      <c r="U178" t="str">
        <f t="shared" si="28"/>
        <v>NO PRAZO</v>
      </c>
      <c r="Z178" s="5" t="s">
        <v>201</v>
      </c>
    </row>
    <row r="179" spans="1:26" hidden="1">
      <c r="A179" s="1">
        <v>21491</v>
      </c>
      <c r="B179" t="s">
        <v>15</v>
      </c>
      <c r="C179" t="s">
        <v>13</v>
      </c>
      <c r="D179" t="s">
        <v>14</v>
      </c>
      <c r="E179" s="1">
        <v>2403</v>
      </c>
      <c r="F179" s="1">
        <v>2025</v>
      </c>
      <c r="G179" t="s">
        <v>11</v>
      </c>
      <c r="H179" s="2">
        <v>46000.66746527778</v>
      </c>
      <c r="I179" s="9">
        <f t="shared" si="29"/>
        <v>46001</v>
      </c>
      <c r="J179" s="2" t="str">
        <f t="shared" si="21"/>
        <v/>
      </c>
      <c r="L179" s="2" t="str">
        <f t="shared" si="22"/>
        <v/>
      </c>
      <c r="N179" s="10" t="str">
        <f t="shared" si="23"/>
        <v/>
      </c>
      <c r="O179" s="2">
        <f t="shared" si="24"/>
        <v>46001</v>
      </c>
      <c r="P179" s="2">
        <v>46001.451921296299</v>
      </c>
      <c r="Q179" s="2">
        <f t="shared" si="25"/>
        <v>46002</v>
      </c>
      <c r="R179" s="2">
        <v>46001.511944444443</v>
      </c>
      <c r="S179">
        <f t="shared" si="26"/>
        <v>0</v>
      </c>
      <c r="T179" s="2">
        <f t="shared" si="27"/>
        <v>46002</v>
      </c>
      <c r="U179" t="str">
        <f t="shared" si="28"/>
        <v>NO PRAZO</v>
      </c>
      <c r="Z179" s="6" t="s">
        <v>202</v>
      </c>
    </row>
    <row r="180" spans="1:26" hidden="1">
      <c r="A180" s="1">
        <v>21488</v>
      </c>
      <c r="B180" t="s">
        <v>19</v>
      </c>
      <c r="C180" t="s">
        <v>13</v>
      </c>
      <c r="D180" t="s">
        <v>18</v>
      </c>
      <c r="E180" s="1">
        <v>2400</v>
      </c>
      <c r="F180" s="1">
        <v>2025</v>
      </c>
      <c r="G180" t="s">
        <v>11</v>
      </c>
      <c r="H180" s="2">
        <v>46000.375810185185</v>
      </c>
      <c r="I180" s="9">
        <f t="shared" si="29"/>
        <v>46003</v>
      </c>
      <c r="J180" s="2" t="str">
        <f t="shared" si="21"/>
        <v/>
      </c>
      <c r="L180" s="2" t="str">
        <f t="shared" si="22"/>
        <v/>
      </c>
      <c r="N180" s="10" t="str">
        <f t="shared" si="23"/>
        <v/>
      </c>
      <c r="O180" s="2">
        <f t="shared" si="24"/>
        <v>46003</v>
      </c>
      <c r="P180" s="2">
        <v>46001.510358796295</v>
      </c>
      <c r="Q180" s="2">
        <f t="shared" si="25"/>
        <v>46009</v>
      </c>
      <c r="R180" s="2">
        <v>46002.724687499998</v>
      </c>
      <c r="S180">
        <f t="shared" si="26"/>
        <v>0</v>
      </c>
      <c r="T180" s="2">
        <f t="shared" si="27"/>
        <v>46009</v>
      </c>
      <c r="U180" t="str">
        <f t="shared" si="28"/>
        <v>NO PRAZO</v>
      </c>
      <c r="Z180" s="5" t="s">
        <v>203</v>
      </c>
    </row>
    <row r="181" spans="1:26" hidden="1">
      <c r="A181" s="1">
        <v>21484</v>
      </c>
      <c r="B181" t="s">
        <v>8</v>
      </c>
      <c r="C181" t="s">
        <v>13</v>
      </c>
      <c r="D181" t="s">
        <v>21</v>
      </c>
      <c r="E181" s="1">
        <v>2396</v>
      </c>
      <c r="F181" s="1">
        <v>2025</v>
      </c>
      <c r="G181" t="s">
        <v>11</v>
      </c>
      <c r="H181" s="2">
        <v>45996.688668981478</v>
      </c>
      <c r="I181" s="9">
        <f t="shared" si="29"/>
        <v>46002</v>
      </c>
      <c r="J181" s="2" t="str">
        <f t="shared" si="21"/>
        <v/>
      </c>
      <c r="L181" s="2" t="str">
        <f t="shared" si="22"/>
        <v/>
      </c>
      <c r="N181" s="10" t="str">
        <f t="shared" si="23"/>
        <v/>
      </c>
      <c r="O181" s="2">
        <f t="shared" si="24"/>
        <v>46002</v>
      </c>
      <c r="P181" s="2">
        <v>45996.712581018517</v>
      </c>
      <c r="Q181" s="2">
        <f t="shared" si="25"/>
        <v>46031</v>
      </c>
      <c r="R181" s="2">
        <v>46021.646562499998</v>
      </c>
      <c r="S181">
        <f t="shared" si="26"/>
        <v>0</v>
      </c>
      <c r="T181" s="2">
        <f t="shared" si="27"/>
        <v>46031</v>
      </c>
      <c r="U181" t="str">
        <f t="shared" si="28"/>
        <v>NO PRAZO</v>
      </c>
      <c r="Z181" s="5" t="s">
        <v>204</v>
      </c>
    </row>
    <row r="182" spans="1:26" hidden="1">
      <c r="A182" s="1">
        <v>21482</v>
      </c>
      <c r="B182" t="s">
        <v>17</v>
      </c>
      <c r="C182" t="s">
        <v>13</v>
      </c>
      <c r="D182" t="s">
        <v>18</v>
      </c>
      <c r="E182" s="1">
        <v>2394</v>
      </c>
      <c r="F182" s="1">
        <v>2025</v>
      </c>
      <c r="G182" t="s">
        <v>11</v>
      </c>
      <c r="H182" s="2">
        <v>45996.626099537039</v>
      </c>
      <c r="I182" s="9">
        <f t="shared" ref="I182:I245" si="30">IF(OR(D182="ORIENTAÇÃO",D182="BUG IMPEDITIVO",D182="BUG NÃO IMPEDITIVO"),WORKDAY(H182,1,Z$2:Z$500),IF(OR(D182="MELHORIA PEQUENA",D182="MELHORIA MÉDIA"),WORKDAY(H182,3,Z$2:Z$500),""))</f>
        <v>46002</v>
      </c>
      <c r="J182" s="2" t="str">
        <f t="shared" si="21"/>
        <v/>
      </c>
      <c r="L182" s="2" t="str">
        <f t="shared" si="22"/>
        <v/>
      </c>
      <c r="N182" s="10" t="str">
        <f t="shared" si="23"/>
        <v/>
      </c>
      <c r="O182" s="2">
        <f t="shared" si="24"/>
        <v>46002</v>
      </c>
      <c r="P182" s="2">
        <v>45999.617303240739</v>
      </c>
      <c r="Q182" s="2">
        <f t="shared" si="25"/>
        <v>46008</v>
      </c>
      <c r="R182" s="2">
        <v>45999.695138888892</v>
      </c>
      <c r="S182">
        <f t="shared" si="26"/>
        <v>0</v>
      </c>
      <c r="T182" s="2">
        <f t="shared" si="27"/>
        <v>46008</v>
      </c>
      <c r="U182" t="str">
        <f t="shared" si="28"/>
        <v>NO PRAZO</v>
      </c>
      <c r="Z182" s="5" t="s">
        <v>205</v>
      </c>
    </row>
    <row r="183" spans="1:26" hidden="1">
      <c r="A183" s="1">
        <v>21481</v>
      </c>
      <c r="B183" t="s">
        <v>19</v>
      </c>
      <c r="C183" t="s">
        <v>13</v>
      </c>
      <c r="D183" t="s">
        <v>18</v>
      </c>
      <c r="E183" s="1">
        <v>2393</v>
      </c>
      <c r="F183" s="1">
        <v>2025</v>
      </c>
      <c r="G183" t="s">
        <v>11</v>
      </c>
      <c r="H183" s="2">
        <v>45996.626099537039</v>
      </c>
      <c r="I183" s="9">
        <f t="shared" si="30"/>
        <v>46002</v>
      </c>
      <c r="J183" s="2" t="str">
        <f t="shared" si="21"/>
        <v/>
      </c>
      <c r="L183" s="2" t="str">
        <f t="shared" si="22"/>
        <v/>
      </c>
      <c r="N183" s="10" t="str">
        <f t="shared" si="23"/>
        <v/>
      </c>
      <c r="O183" s="2">
        <f t="shared" si="24"/>
        <v>46002</v>
      </c>
      <c r="P183" s="2">
        <v>46001.466886574075</v>
      </c>
      <c r="Q183" s="2">
        <f t="shared" si="25"/>
        <v>46008</v>
      </c>
      <c r="R183" s="2">
        <v>46002.347303240742</v>
      </c>
      <c r="S183">
        <f t="shared" si="26"/>
        <v>0</v>
      </c>
      <c r="T183" s="2">
        <f t="shared" si="27"/>
        <v>46008</v>
      </c>
      <c r="U183" t="str">
        <f t="shared" si="28"/>
        <v>NO PRAZO</v>
      </c>
      <c r="Z183" s="5" t="s">
        <v>206</v>
      </c>
    </row>
    <row r="184" spans="1:26" hidden="1">
      <c r="A184" s="1">
        <v>21480</v>
      </c>
      <c r="B184" t="s">
        <v>15</v>
      </c>
      <c r="C184" t="s">
        <v>13</v>
      </c>
      <c r="D184" t="s">
        <v>10</v>
      </c>
      <c r="E184" s="1">
        <v>2392</v>
      </c>
      <c r="F184" s="1">
        <v>2025</v>
      </c>
      <c r="G184" t="s">
        <v>11</v>
      </c>
      <c r="H184" s="2">
        <v>45996.584456018521</v>
      </c>
      <c r="I184" s="9">
        <f t="shared" si="30"/>
        <v>46000</v>
      </c>
      <c r="J184" s="2" t="str">
        <f t="shared" si="21"/>
        <v/>
      </c>
      <c r="L184" s="2" t="str">
        <f t="shared" si="22"/>
        <v/>
      </c>
      <c r="N184" s="10" t="str">
        <f t="shared" si="23"/>
        <v/>
      </c>
      <c r="O184" s="2">
        <f t="shared" si="24"/>
        <v>46000</v>
      </c>
      <c r="P184" s="2">
        <v>46000.642291666663</v>
      </c>
      <c r="Q184" s="2">
        <f t="shared" si="25"/>
        <v>46001</v>
      </c>
      <c r="R184" s="2">
        <v>46000.736597222225</v>
      </c>
      <c r="S184">
        <f t="shared" si="26"/>
        <v>0</v>
      </c>
      <c r="T184" s="2">
        <f t="shared" si="27"/>
        <v>46001</v>
      </c>
      <c r="U184" t="str">
        <f t="shared" si="28"/>
        <v>NO PRAZO</v>
      </c>
      <c r="Z184" s="5" t="s">
        <v>207</v>
      </c>
    </row>
    <row r="185" spans="1:26" hidden="1">
      <c r="A185" s="1">
        <v>21475</v>
      </c>
      <c r="B185" t="s">
        <v>15</v>
      </c>
      <c r="C185" t="s">
        <v>13</v>
      </c>
      <c r="D185" t="s">
        <v>16</v>
      </c>
      <c r="E185" s="1">
        <v>2387</v>
      </c>
      <c r="F185" s="1">
        <v>2025</v>
      </c>
      <c r="G185" t="s">
        <v>11</v>
      </c>
      <c r="H185" s="2">
        <v>45996.459432870368</v>
      </c>
      <c r="I185" s="9">
        <f t="shared" si="30"/>
        <v>46000</v>
      </c>
      <c r="J185" s="2" t="str">
        <f t="shared" si="21"/>
        <v/>
      </c>
      <c r="L185" s="2" t="str">
        <f t="shared" si="22"/>
        <v/>
      </c>
      <c r="N185" s="10" t="str">
        <f t="shared" si="23"/>
        <v/>
      </c>
      <c r="O185" s="2">
        <f t="shared" si="24"/>
        <v>46000</v>
      </c>
      <c r="P185" s="2">
        <v>46000.408587962964</v>
      </c>
      <c r="Q185" s="2">
        <f t="shared" si="25"/>
        <v>46006</v>
      </c>
      <c r="R185" s="2">
        <v>46000.735810185186</v>
      </c>
      <c r="S185">
        <f t="shared" si="26"/>
        <v>0</v>
      </c>
      <c r="T185" s="2">
        <f t="shared" si="27"/>
        <v>46006</v>
      </c>
      <c r="U185" t="str">
        <f t="shared" si="28"/>
        <v>NO PRAZO</v>
      </c>
      <c r="Z185" s="6" t="s">
        <v>208</v>
      </c>
    </row>
    <row r="186" spans="1:26" hidden="1">
      <c r="A186" s="1">
        <v>21474</v>
      </c>
      <c r="B186" t="s">
        <v>19</v>
      </c>
      <c r="C186" t="s">
        <v>13</v>
      </c>
      <c r="D186" t="s">
        <v>18</v>
      </c>
      <c r="E186" s="1">
        <v>2386</v>
      </c>
      <c r="F186" s="1">
        <v>2025</v>
      </c>
      <c r="G186" t="s">
        <v>11</v>
      </c>
      <c r="H186" s="2">
        <v>45996.459432870368</v>
      </c>
      <c r="I186" s="9">
        <f t="shared" si="30"/>
        <v>46002</v>
      </c>
      <c r="J186" s="2" t="str">
        <f t="shared" si="21"/>
        <v/>
      </c>
      <c r="L186" s="2" t="str">
        <f t="shared" si="22"/>
        <v/>
      </c>
      <c r="N186" s="10" t="str">
        <f t="shared" si="23"/>
        <v/>
      </c>
      <c r="O186" s="2">
        <f t="shared" si="24"/>
        <v>46002</v>
      </c>
      <c r="P186" s="2">
        <v>46001.466180555559</v>
      </c>
      <c r="Q186" s="2">
        <f t="shared" si="25"/>
        <v>46008</v>
      </c>
      <c r="R186" s="2">
        <v>46002.346898148149</v>
      </c>
      <c r="S186">
        <f t="shared" si="26"/>
        <v>0</v>
      </c>
      <c r="T186" s="2">
        <f t="shared" si="27"/>
        <v>46008</v>
      </c>
      <c r="U186" t="str">
        <f t="shared" si="28"/>
        <v>NO PRAZO</v>
      </c>
      <c r="Z186" s="5" t="s">
        <v>209</v>
      </c>
    </row>
    <row r="187" spans="1:26" hidden="1">
      <c r="A187" s="1">
        <v>21462</v>
      </c>
      <c r="B187" t="s">
        <v>19</v>
      </c>
      <c r="C187" t="s">
        <v>13</v>
      </c>
      <c r="D187" t="s">
        <v>18</v>
      </c>
      <c r="E187" s="1">
        <v>2374</v>
      </c>
      <c r="F187" s="1">
        <v>2025</v>
      </c>
      <c r="G187" t="s">
        <v>11</v>
      </c>
      <c r="H187" s="2">
        <v>45995.375983796293</v>
      </c>
      <c r="I187" s="9">
        <f t="shared" si="30"/>
        <v>46001</v>
      </c>
      <c r="J187" s="2" t="str">
        <f t="shared" si="21"/>
        <v/>
      </c>
      <c r="L187" s="2" t="str">
        <f t="shared" si="22"/>
        <v/>
      </c>
      <c r="N187" s="10" t="str">
        <f t="shared" si="23"/>
        <v/>
      </c>
      <c r="O187" s="2">
        <f t="shared" si="24"/>
        <v>46001</v>
      </c>
      <c r="P187" s="2">
        <v>46001.465266203704</v>
      </c>
      <c r="Q187" s="2">
        <f t="shared" si="25"/>
        <v>46007</v>
      </c>
      <c r="R187" s="2">
        <v>46002.34652777778</v>
      </c>
      <c r="S187">
        <f t="shared" si="26"/>
        <v>0</v>
      </c>
      <c r="T187" s="2">
        <f t="shared" si="27"/>
        <v>46007</v>
      </c>
      <c r="U187" t="str">
        <f t="shared" si="28"/>
        <v>NO PRAZO</v>
      </c>
      <c r="Z187" s="5" t="s">
        <v>210</v>
      </c>
    </row>
    <row r="188" spans="1:26" hidden="1">
      <c r="A188" s="1">
        <v>21458</v>
      </c>
      <c r="B188" t="s">
        <v>15</v>
      </c>
      <c r="C188" t="s">
        <v>13</v>
      </c>
      <c r="D188" t="s">
        <v>10</v>
      </c>
      <c r="E188" s="1">
        <v>2370</v>
      </c>
      <c r="F188" s="1">
        <v>2025</v>
      </c>
      <c r="G188" t="s">
        <v>11</v>
      </c>
      <c r="H188" s="2">
        <v>45994.667604166665</v>
      </c>
      <c r="I188" s="9">
        <f t="shared" si="30"/>
        <v>45995</v>
      </c>
      <c r="J188" s="2" t="str">
        <f t="shared" si="21"/>
        <v/>
      </c>
      <c r="L188" s="2" t="str">
        <f t="shared" si="22"/>
        <v/>
      </c>
      <c r="N188" s="10" t="str">
        <f t="shared" si="23"/>
        <v/>
      </c>
      <c r="O188" s="2">
        <f t="shared" si="24"/>
        <v>45995</v>
      </c>
      <c r="P188" s="2">
        <v>45996.736759259256</v>
      </c>
      <c r="Q188" s="2">
        <f t="shared" si="25"/>
        <v>45996</v>
      </c>
      <c r="R188" s="2">
        <v>45996.740844907406</v>
      </c>
      <c r="S188">
        <f t="shared" si="26"/>
        <v>0</v>
      </c>
      <c r="T188" s="2">
        <f t="shared" si="27"/>
        <v>45996</v>
      </c>
      <c r="U188" t="str">
        <f t="shared" si="28"/>
        <v>NO PRAZO</v>
      </c>
      <c r="Z188" s="5" t="s">
        <v>211</v>
      </c>
    </row>
    <row r="189" spans="1:26" hidden="1">
      <c r="A189" s="1">
        <v>21455</v>
      </c>
      <c r="B189" t="s">
        <v>12</v>
      </c>
      <c r="C189" t="s">
        <v>13</v>
      </c>
      <c r="D189" t="s">
        <v>18</v>
      </c>
      <c r="E189" s="1">
        <v>2367</v>
      </c>
      <c r="F189" s="1">
        <v>2025</v>
      </c>
      <c r="G189" t="s">
        <v>11</v>
      </c>
      <c r="H189" s="2">
        <v>45994.590624999997</v>
      </c>
      <c r="I189" s="9">
        <f t="shared" si="30"/>
        <v>46000</v>
      </c>
      <c r="J189" s="2" t="str">
        <f t="shared" si="21"/>
        <v/>
      </c>
      <c r="L189" s="2" t="str">
        <f t="shared" si="22"/>
        <v/>
      </c>
      <c r="N189" s="10" t="str">
        <f t="shared" si="23"/>
        <v/>
      </c>
      <c r="O189" s="2">
        <f t="shared" si="24"/>
        <v>46000</v>
      </c>
      <c r="P189" s="2">
        <v>45994.602233796293</v>
      </c>
      <c r="Q189" s="2">
        <f t="shared" si="25"/>
        <v>46006</v>
      </c>
      <c r="R189" s="2">
        <v>45995.412453703706</v>
      </c>
      <c r="S189">
        <f t="shared" si="26"/>
        <v>0</v>
      </c>
      <c r="T189" s="2">
        <f t="shared" si="27"/>
        <v>46006</v>
      </c>
      <c r="U189" t="str">
        <f t="shared" si="28"/>
        <v>NO PRAZO</v>
      </c>
      <c r="Z189" s="4" t="s">
        <v>212</v>
      </c>
    </row>
    <row r="190" spans="1:26" hidden="1">
      <c r="A190" s="1">
        <v>21454</v>
      </c>
      <c r="B190" t="s">
        <v>24</v>
      </c>
      <c r="C190" t="s">
        <v>13</v>
      </c>
      <c r="D190" t="s">
        <v>14</v>
      </c>
      <c r="E190" s="1">
        <v>2366</v>
      </c>
      <c r="F190" s="1">
        <v>2025</v>
      </c>
      <c r="G190" t="s">
        <v>11</v>
      </c>
      <c r="H190" s="2">
        <v>45994.58425925926</v>
      </c>
      <c r="I190" s="9">
        <f t="shared" si="30"/>
        <v>45995</v>
      </c>
      <c r="J190" s="2" t="str">
        <f t="shared" si="21"/>
        <v/>
      </c>
      <c r="L190" s="2" t="str">
        <f t="shared" si="22"/>
        <v/>
      </c>
      <c r="N190" s="10" t="str">
        <f t="shared" si="23"/>
        <v/>
      </c>
      <c r="O190" s="2">
        <f t="shared" si="24"/>
        <v>45995</v>
      </c>
      <c r="P190" s="2">
        <v>45996.574479166666</v>
      </c>
      <c r="Q190" s="2">
        <f t="shared" si="25"/>
        <v>45996</v>
      </c>
      <c r="R190" s="2">
        <v>45996.608206018522</v>
      </c>
      <c r="S190">
        <f t="shared" si="26"/>
        <v>0</v>
      </c>
      <c r="T190" s="2">
        <f t="shared" si="27"/>
        <v>45996</v>
      </c>
      <c r="U190" t="str">
        <f t="shared" si="28"/>
        <v>NO PRAZO</v>
      </c>
      <c r="Z190" s="5" t="s">
        <v>213</v>
      </c>
    </row>
    <row r="191" spans="1:26" hidden="1">
      <c r="A191" s="1">
        <v>21453</v>
      </c>
      <c r="B191" t="s">
        <v>15</v>
      </c>
      <c r="C191" t="s">
        <v>13</v>
      </c>
      <c r="D191" t="s">
        <v>10</v>
      </c>
      <c r="E191" s="1">
        <v>2365</v>
      </c>
      <c r="F191" s="1">
        <v>2025</v>
      </c>
      <c r="G191" t="s">
        <v>11</v>
      </c>
      <c r="H191" s="2">
        <v>45994.58425925926</v>
      </c>
      <c r="I191" s="9">
        <f t="shared" si="30"/>
        <v>45995</v>
      </c>
      <c r="J191" s="2" t="str">
        <f t="shared" si="21"/>
        <v/>
      </c>
      <c r="L191" s="2" t="str">
        <f t="shared" si="22"/>
        <v/>
      </c>
      <c r="N191" s="10" t="str">
        <f t="shared" si="23"/>
        <v/>
      </c>
      <c r="O191" s="2">
        <f t="shared" si="24"/>
        <v>45995</v>
      </c>
      <c r="P191" s="2">
        <v>45996.662789351853</v>
      </c>
      <c r="Q191" s="2">
        <f t="shared" si="25"/>
        <v>45996</v>
      </c>
      <c r="R191" s="2">
        <v>45996.734270833331</v>
      </c>
      <c r="S191">
        <f t="shared" si="26"/>
        <v>0</v>
      </c>
      <c r="T191" s="2">
        <f t="shared" si="27"/>
        <v>45996</v>
      </c>
      <c r="U191" t="str">
        <f t="shared" si="28"/>
        <v>NO PRAZO</v>
      </c>
      <c r="Z191" s="5" t="s">
        <v>214</v>
      </c>
    </row>
    <row r="192" spans="1:26" hidden="1">
      <c r="A192" s="1">
        <v>21452</v>
      </c>
      <c r="B192" t="s">
        <v>20</v>
      </c>
      <c r="C192" t="s">
        <v>13</v>
      </c>
      <c r="D192" t="s">
        <v>21</v>
      </c>
      <c r="E192" s="1">
        <v>2364</v>
      </c>
      <c r="F192" s="1">
        <v>2025</v>
      </c>
      <c r="G192" t="s">
        <v>11</v>
      </c>
      <c r="H192" s="2">
        <v>45994.500914351855</v>
      </c>
      <c r="I192" s="9">
        <f t="shared" si="30"/>
        <v>46000</v>
      </c>
      <c r="J192" s="2">
        <f t="shared" si="21"/>
        <v>46000</v>
      </c>
      <c r="K192" s="2">
        <v>46001.709432870368</v>
      </c>
      <c r="L192" s="2">
        <f t="shared" si="22"/>
        <v>46021</v>
      </c>
      <c r="M192" s="2">
        <v>46015.396898148145</v>
      </c>
      <c r="N192" s="10">
        <f t="shared" si="23"/>
        <v>0</v>
      </c>
      <c r="O192" s="2">
        <f t="shared" si="24"/>
        <v>46022</v>
      </c>
      <c r="P192" s="2">
        <v>45999.660428240742</v>
      </c>
      <c r="Q192" s="2">
        <f t="shared" si="25"/>
        <v>46051</v>
      </c>
      <c r="R192" s="2">
        <v>46021.440115740741</v>
      </c>
      <c r="S192">
        <f t="shared" si="26"/>
        <v>0</v>
      </c>
      <c r="T192" s="2">
        <f t="shared" si="27"/>
        <v>46051</v>
      </c>
      <c r="U192" t="str">
        <f t="shared" si="28"/>
        <v>NO PRAZO</v>
      </c>
      <c r="Z192" s="4" t="s">
        <v>215</v>
      </c>
    </row>
    <row r="193" spans="1:26" hidden="1">
      <c r="A193" s="1">
        <v>21445</v>
      </c>
      <c r="B193" t="s">
        <v>15</v>
      </c>
      <c r="C193" t="s">
        <v>13</v>
      </c>
      <c r="D193" t="s">
        <v>16</v>
      </c>
      <c r="E193" s="1">
        <v>2357</v>
      </c>
      <c r="F193" s="1">
        <v>2025</v>
      </c>
      <c r="G193" t="s">
        <v>11</v>
      </c>
      <c r="H193" s="2">
        <v>45993.625844907408</v>
      </c>
      <c r="I193" s="9">
        <f t="shared" si="30"/>
        <v>45994</v>
      </c>
      <c r="J193" s="2" t="str">
        <f t="shared" si="21"/>
        <v/>
      </c>
      <c r="L193" s="2" t="str">
        <f t="shared" si="22"/>
        <v/>
      </c>
      <c r="N193" s="10" t="str">
        <f t="shared" si="23"/>
        <v/>
      </c>
      <c r="O193" s="2">
        <f t="shared" si="24"/>
        <v>45994</v>
      </c>
      <c r="P193" s="2">
        <v>46000.750185185185</v>
      </c>
      <c r="Q193" s="2">
        <f t="shared" si="25"/>
        <v>46001</v>
      </c>
      <c r="R193" s="2">
        <v>46000.757928240739</v>
      </c>
      <c r="S193">
        <f t="shared" si="26"/>
        <v>0</v>
      </c>
      <c r="T193" s="2">
        <f t="shared" si="27"/>
        <v>46001</v>
      </c>
      <c r="U193" t="str">
        <f t="shared" si="28"/>
        <v>NO PRAZO</v>
      </c>
      <c r="Z193" s="5" t="s">
        <v>216</v>
      </c>
    </row>
    <row r="194" spans="1:26" hidden="1">
      <c r="A194" s="1">
        <v>21442</v>
      </c>
      <c r="B194" t="s">
        <v>17</v>
      </c>
      <c r="C194" t="s">
        <v>13</v>
      </c>
      <c r="D194" t="s">
        <v>18</v>
      </c>
      <c r="E194" s="1">
        <v>2354</v>
      </c>
      <c r="F194" s="1">
        <v>2025</v>
      </c>
      <c r="G194" t="s">
        <v>11</v>
      </c>
      <c r="H194" s="2">
        <v>45993.375821759262</v>
      </c>
      <c r="I194" s="9">
        <f t="shared" si="30"/>
        <v>45996</v>
      </c>
      <c r="J194" s="2" t="str">
        <f t="shared" si="21"/>
        <v/>
      </c>
      <c r="L194" s="2" t="str">
        <f t="shared" si="22"/>
        <v/>
      </c>
      <c r="N194" s="10" t="str">
        <f t="shared" si="23"/>
        <v/>
      </c>
      <c r="O194" s="2">
        <f t="shared" si="24"/>
        <v>45996</v>
      </c>
      <c r="P194" s="2">
        <v>45993.449641203704</v>
      </c>
      <c r="Q194" s="2">
        <f t="shared" si="25"/>
        <v>46003</v>
      </c>
      <c r="R194" s="2">
        <v>45994.518379629626</v>
      </c>
      <c r="S194">
        <f t="shared" si="26"/>
        <v>0</v>
      </c>
      <c r="T194" s="2">
        <f t="shared" si="27"/>
        <v>46003</v>
      </c>
      <c r="U194" t="str">
        <f t="shared" si="28"/>
        <v>NO PRAZO</v>
      </c>
      <c r="Z194" s="5" t="s">
        <v>217</v>
      </c>
    </row>
    <row r="195" spans="1:26" hidden="1">
      <c r="A195" s="1">
        <v>21441</v>
      </c>
      <c r="B195" t="s">
        <v>12</v>
      </c>
      <c r="C195" t="s">
        <v>13</v>
      </c>
      <c r="D195" t="s">
        <v>10</v>
      </c>
      <c r="E195" s="1">
        <v>2353</v>
      </c>
      <c r="F195" s="1">
        <v>2025</v>
      </c>
      <c r="G195" t="s">
        <v>11</v>
      </c>
      <c r="H195" s="2">
        <v>45992.709074074075</v>
      </c>
      <c r="I195" s="9">
        <f t="shared" si="30"/>
        <v>45993</v>
      </c>
      <c r="J195" s="2" t="str">
        <f t="shared" ref="J195:J258" si="31">IF(K195&lt;&gt;"",I195,"")</f>
        <v/>
      </c>
      <c r="L195" s="2" t="str">
        <f t="shared" ref="L195:L258" si="32">IF(J195="","",WORKDAY(J195,14,Z$2:Z$500))</f>
        <v/>
      </c>
      <c r="N195" s="10" t="str">
        <f t="shared" ref="N195:N258" si="33">IF(M195="","",MAX(0,INT(M195)-INT(L195)))</f>
        <v/>
      </c>
      <c r="O195" s="2">
        <f t="shared" ref="O195:O258" si="34">IF(L195="",I195,WORKDAY(L195,1,Z$2:Z$500))</f>
        <v>45993</v>
      </c>
      <c r="P195" s="2">
        <v>45995.433946759258</v>
      </c>
      <c r="Q195" s="2">
        <f t="shared" ref="Q195:Q258" si="35">IF(OR(D195="ORIENTAÇÃO",D195="BUG IMPEDITIVO"),WORKDAY(O195,1,Z$2:Z$500),IF(OR(D195="MELHORIA PEQUENA",D195="BUG NÃO IMPEDITIVO"),WORKDAY(O195,4,Z$2:Z$500),IF(D195="MELHORIA MÉDIA",WORKDAY(O195,19,Z$2:Z$500),"")))</f>
        <v>45994</v>
      </c>
      <c r="R195" s="2">
        <v>45994.653703703705</v>
      </c>
      <c r="S195">
        <f t="shared" ref="S195:S258" si="36">MAX(0,INT(R195)-INT(Q195))</f>
        <v>0</v>
      </c>
      <c r="T195" s="2">
        <f t="shared" ref="T195:T258" si="37">IF(D195="MELHORIA MÉDIA",IF(K195&lt;&gt;"",WORKDAY(I195,34,$Z$2:$Z$1000),WORKDAY(I195,19,$Z$2:$Z$1000)),IF(OR(D195="MELHORIA PEQUENA",D195="BUG NÃO IMPEDITIVO"),WORKDAY(I195,4,$Z$2:$Z$1000),IF(OR(D195="ORIENTAÇÃO",D195="BUG IMPEDITIVO"),WORKDAY(I195,1,$Z$2:$Z$1000),"")))</f>
        <v>45994</v>
      </c>
      <c r="U195" t="str">
        <f t="shared" ref="U195:U258" si="38">IF(INT(R195)&lt;=INT(T195),"NO PRAZO","ATRASO")</f>
        <v>NO PRAZO</v>
      </c>
      <c r="Z195" s="5" t="s">
        <v>218</v>
      </c>
    </row>
    <row r="196" spans="1:26" hidden="1">
      <c r="A196" s="1">
        <v>21439</v>
      </c>
      <c r="B196" t="s">
        <v>20</v>
      </c>
      <c r="C196" t="s">
        <v>13</v>
      </c>
      <c r="D196" t="s">
        <v>16</v>
      </c>
      <c r="E196" s="1">
        <v>2351</v>
      </c>
      <c r="F196" s="1">
        <v>2025</v>
      </c>
      <c r="G196" t="s">
        <v>11</v>
      </c>
      <c r="H196" s="2">
        <v>45992.500740740739</v>
      </c>
      <c r="I196" s="9">
        <f t="shared" si="30"/>
        <v>45993</v>
      </c>
      <c r="J196" s="2" t="str">
        <f t="shared" si="31"/>
        <v/>
      </c>
      <c r="L196" s="2" t="str">
        <f t="shared" si="32"/>
        <v/>
      </c>
      <c r="N196" s="10" t="str">
        <f t="shared" si="33"/>
        <v/>
      </c>
      <c r="O196" s="2">
        <f t="shared" si="34"/>
        <v>45993</v>
      </c>
      <c r="P196" s="2">
        <v>45995.661597222221</v>
      </c>
      <c r="Q196" s="2">
        <f t="shared" si="35"/>
        <v>46000</v>
      </c>
      <c r="R196" s="2">
        <v>45999.35361111111</v>
      </c>
      <c r="S196">
        <f t="shared" si="36"/>
        <v>0</v>
      </c>
      <c r="T196" s="2">
        <f t="shared" si="37"/>
        <v>46000</v>
      </c>
      <c r="U196" t="str">
        <f t="shared" si="38"/>
        <v>NO PRAZO</v>
      </c>
      <c r="Z196" s="5" t="s">
        <v>219</v>
      </c>
    </row>
    <row r="197" spans="1:26" hidden="1">
      <c r="A197" s="1">
        <v>21438</v>
      </c>
      <c r="B197" t="s">
        <v>20</v>
      </c>
      <c r="C197" t="s">
        <v>13</v>
      </c>
      <c r="D197" t="s">
        <v>16</v>
      </c>
      <c r="E197" s="1">
        <v>2350</v>
      </c>
      <c r="F197" s="1">
        <v>2025</v>
      </c>
      <c r="G197" t="s">
        <v>11</v>
      </c>
      <c r="H197" s="2">
        <v>45992.500740740739</v>
      </c>
      <c r="I197" s="9">
        <f t="shared" si="30"/>
        <v>45993</v>
      </c>
      <c r="J197" s="2" t="str">
        <f t="shared" si="31"/>
        <v/>
      </c>
      <c r="L197" s="2" t="str">
        <f t="shared" si="32"/>
        <v/>
      </c>
      <c r="N197" s="10" t="str">
        <f t="shared" si="33"/>
        <v/>
      </c>
      <c r="O197" s="2">
        <f t="shared" si="34"/>
        <v>45993</v>
      </c>
      <c r="P197" s="2">
        <v>45995.659525462965</v>
      </c>
      <c r="Q197" s="2">
        <f t="shared" si="35"/>
        <v>46000</v>
      </c>
      <c r="R197" s="2">
        <v>45999.353182870371</v>
      </c>
      <c r="S197">
        <f t="shared" si="36"/>
        <v>0</v>
      </c>
      <c r="T197" s="2">
        <f t="shared" si="37"/>
        <v>46000</v>
      </c>
      <c r="U197" t="str">
        <f t="shared" si="38"/>
        <v>NO PRAZO</v>
      </c>
      <c r="Z197" s="5" t="s">
        <v>220</v>
      </c>
    </row>
    <row r="198" spans="1:26" hidden="1">
      <c r="A198" s="1">
        <v>21437</v>
      </c>
      <c r="B198" t="s">
        <v>15</v>
      </c>
      <c r="C198" t="s">
        <v>13</v>
      </c>
      <c r="D198" t="s">
        <v>18</v>
      </c>
      <c r="E198" s="1">
        <v>2349</v>
      </c>
      <c r="F198" s="1">
        <v>2025</v>
      </c>
      <c r="G198" t="s">
        <v>11</v>
      </c>
      <c r="H198" s="2">
        <v>45992.404918981483</v>
      </c>
      <c r="I198" s="9">
        <f t="shared" si="30"/>
        <v>45995</v>
      </c>
      <c r="J198" s="2" t="str">
        <f t="shared" si="31"/>
        <v/>
      </c>
      <c r="L198" s="2" t="str">
        <f t="shared" si="32"/>
        <v/>
      </c>
      <c r="N198" s="10" t="str">
        <f t="shared" si="33"/>
        <v/>
      </c>
      <c r="O198" s="2">
        <f t="shared" si="34"/>
        <v>45995</v>
      </c>
      <c r="P198" s="2">
        <v>45992.407442129632</v>
      </c>
      <c r="Q198" s="2">
        <f t="shared" si="35"/>
        <v>46002</v>
      </c>
      <c r="R198" s="2">
        <v>45992.602916666663</v>
      </c>
      <c r="S198">
        <f t="shared" si="36"/>
        <v>0</v>
      </c>
      <c r="T198" s="2">
        <f t="shared" si="37"/>
        <v>46002</v>
      </c>
      <c r="U198" t="str">
        <f t="shared" si="38"/>
        <v>NO PRAZO</v>
      </c>
      <c r="Z198" s="6" t="s">
        <v>221</v>
      </c>
    </row>
    <row r="199" spans="1:26" hidden="1">
      <c r="A199" s="1">
        <v>21432</v>
      </c>
      <c r="B199" t="s">
        <v>20</v>
      </c>
      <c r="C199" t="s">
        <v>13</v>
      </c>
      <c r="D199" t="s">
        <v>21</v>
      </c>
      <c r="E199" s="1">
        <v>2344</v>
      </c>
      <c r="F199" s="1">
        <v>2025</v>
      </c>
      <c r="G199" t="s">
        <v>11</v>
      </c>
      <c r="H199" s="2">
        <v>45989.500625000001</v>
      </c>
      <c r="I199" s="9">
        <f t="shared" si="30"/>
        <v>45994</v>
      </c>
      <c r="J199" s="2" t="str">
        <f t="shared" si="31"/>
        <v/>
      </c>
      <c r="L199" s="2" t="str">
        <f t="shared" si="32"/>
        <v/>
      </c>
      <c r="N199" s="10" t="str">
        <f t="shared" si="33"/>
        <v/>
      </c>
      <c r="O199" s="2">
        <f t="shared" si="34"/>
        <v>45994</v>
      </c>
      <c r="P199" s="2">
        <v>45992.419942129629</v>
      </c>
      <c r="Q199" s="2">
        <f t="shared" si="35"/>
        <v>46024</v>
      </c>
      <c r="R199" s="2">
        <v>46014.42392361111</v>
      </c>
      <c r="S199">
        <f t="shared" si="36"/>
        <v>0</v>
      </c>
      <c r="T199" s="2">
        <f t="shared" si="37"/>
        <v>46024</v>
      </c>
      <c r="U199" t="str">
        <f t="shared" si="38"/>
        <v>NO PRAZO</v>
      </c>
      <c r="Z199" s="5" t="s">
        <v>222</v>
      </c>
    </row>
    <row r="200" spans="1:26" hidden="1">
      <c r="A200" s="1">
        <v>21431</v>
      </c>
      <c r="B200" t="s">
        <v>20</v>
      </c>
      <c r="C200" t="s">
        <v>13</v>
      </c>
      <c r="D200" t="s">
        <v>21</v>
      </c>
      <c r="E200" s="1">
        <v>2343</v>
      </c>
      <c r="F200" s="1">
        <v>2025</v>
      </c>
      <c r="G200" t="s">
        <v>11</v>
      </c>
      <c r="H200" s="2">
        <v>45989.500625000001</v>
      </c>
      <c r="I200" s="9">
        <f t="shared" si="30"/>
        <v>45994</v>
      </c>
      <c r="J200" s="2" t="str">
        <f t="shared" si="31"/>
        <v/>
      </c>
      <c r="L200" s="2" t="str">
        <f t="shared" si="32"/>
        <v/>
      </c>
      <c r="N200" s="10" t="str">
        <f t="shared" si="33"/>
        <v/>
      </c>
      <c r="O200" s="2">
        <f t="shared" si="34"/>
        <v>45994</v>
      </c>
      <c r="P200" s="2">
        <v>46006.667638888888</v>
      </c>
      <c r="Q200" s="2">
        <f t="shared" si="35"/>
        <v>46024</v>
      </c>
      <c r="R200" s="2">
        <v>46014.423877314817</v>
      </c>
      <c r="S200">
        <f t="shared" si="36"/>
        <v>0</v>
      </c>
      <c r="T200" s="2">
        <f t="shared" si="37"/>
        <v>46024</v>
      </c>
      <c r="U200" t="str">
        <f t="shared" si="38"/>
        <v>NO PRAZO</v>
      </c>
      <c r="Z200" s="5" t="s">
        <v>223</v>
      </c>
    </row>
    <row r="201" spans="1:26" hidden="1">
      <c r="A201" s="1">
        <v>21429</v>
      </c>
      <c r="B201" t="s">
        <v>17</v>
      </c>
      <c r="C201" t="s">
        <v>13</v>
      </c>
      <c r="D201" t="s">
        <v>18</v>
      </c>
      <c r="E201" s="1">
        <v>2341</v>
      </c>
      <c r="F201" s="1">
        <v>2025</v>
      </c>
      <c r="G201" t="s">
        <v>11</v>
      </c>
      <c r="H201" s="2">
        <v>45989.458958333336</v>
      </c>
      <c r="I201" s="9">
        <f t="shared" si="30"/>
        <v>45994</v>
      </c>
      <c r="J201" s="2" t="str">
        <f t="shared" si="31"/>
        <v/>
      </c>
      <c r="L201" s="2" t="str">
        <f t="shared" si="32"/>
        <v/>
      </c>
      <c r="N201" s="10" t="str">
        <f t="shared" si="33"/>
        <v/>
      </c>
      <c r="O201" s="2">
        <f t="shared" si="34"/>
        <v>45994</v>
      </c>
      <c r="P201" s="2">
        <v>45992.43310185185</v>
      </c>
      <c r="Q201" s="2">
        <f t="shared" si="35"/>
        <v>46001</v>
      </c>
      <c r="R201" s="2">
        <v>45992.812384259261</v>
      </c>
      <c r="S201">
        <f t="shared" si="36"/>
        <v>0</v>
      </c>
      <c r="T201" s="2">
        <f t="shared" si="37"/>
        <v>46001</v>
      </c>
      <c r="U201" t="str">
        <f t="shared" si="38"/>
        <v>NO PRAZO</v>
      </c>
      <c r="Z201" s="5" t="s">
        <v>224</v>
      </c>
    </row>
    <row r="202" spans="1:26" hidden="1">
      <c r="A202" s="1">
        <v>21428</v>
      </c>
      <c r="B202" t="s">
        <v>17</v>
      </c>
      <c r="C202" t="s">
        <v>13</v>
      </c>
      <c r="D202" t="s">
        <v>18</v>
      </c>
      <c r="E202" s="1">
        <v>2340</v>
      </c>
      <c r="F202" s="1">
        <v>2025</v>
      </c>
      <c r="G202" t="s">
        <v>11</v>
      </c>
      <c r="H202" s="2">
        <v>45989.458958333336</v>
      </c>
      <c r="I202" s="9">
        <f t="shared" si="30"/>
        <v>45994</v>
      </c>
      <c r="J202" s="2" t="str">
        <f t="shared" si="31"/>
        <v/>
      </c>
      <c r="L202" s="2" t="str">
        <f t="shared" si="32"/>
        <v/>
      </c>
      <c r="N202" s="10" t="str">
        <f t="shared" si="33"/>
        <v/>
      </c>
      <c r="O202" s="2">
        <f t="shared" si="34"/>
        <v>45994</v>
      </c>
      <c r="P202" s="2">
        <v>45992.353796296295</v>
      </c>
      <c r="Q202" s="2">
        <f t="shared" si="35"/>
        <v>46001</v>
      </c>
      <c r="R202" s="2">
        <v>45992.810393518521</v>
      </c>
      <c r="S202">
        <f t="shared" si="36"/>
        <v>0</v>
      </c>
      <c r="T202" s="2">
        <f t="shared" si="37"/>
        <v>46001</v>
      </c>
      <c r="U202" t="str">
        <f t="shared" si="38"/>
        <v>NO PRAZO</v>
      </c>
      <c r="Z202" s="5" t="s">
        <v>225</v>
      </c>
    </row>
    <row r="203" spans="1:26" hidden="1">
      <c r="A203" s="1">
        <v>21425</v>
      </c>
      <c r="B203" t="s">
        <v>20</v>
      </c>
      <c r="C203" t="s">
        <v>13</v>
      </c>
      <c r="D203" t="s">
        <v>18</v>
      </c>
      <c r="E203" s="1">
        <v>2337</v>
      </c>
      <c r="F203" s="1">
        <v>2025</v>
      </c>
      <c r="G203" t="s">
        <v>11</v>
      </c>
      <c r="H203" s="2">
        <v>45988.667245370372</v>
      </c>
      <c r="I203" s="9">
        <f t="shared" si="30"/>
        <v>45993</v>
      </c>
      <c r="J203" s="2" t="str">
        <f t="shared" si="31"/>
        <v/>
      </c>
      <c r="L203" s="2" t="str">
        <f t="shared" si="32"/>
        <v/>
      </c>
      <c r="N203" s="10" t="str">
        <f t="shared" si="33"/>
        <v/>
      </c>
      <c r="O203" s="2">
        <f t="shared" si="34"/>
        <v>45993</v>
      </c>
      <c r="P203" s="2">
        <v>45989.577673611115</v>
      </c>
      <c r="Q203" s="2">
        <f t="shared" si="35"/>
        <v>46000</v>
      </c>
      <c r="R203" s="2">
        <v>45993.66978009259</v>
      </c>
      <c r="S203">
        <f t="shared" si="36"/>
        <v>0</v>
      </c>
      <c r="T203" s="2">
        <f t="shared" si="37"/>
        <v>46000</v>
      </c>
      <c r="U203" t="str">
        <f t="shared" si="38"/>
        <v>NO PRAZO</v>
      </c>
      <c r="Z203" s="4" t="s">
        <v>226</v>
      </c>
    </row>
    <row r="204" spans="1:26" hidden="1">
      <c r="A204" s="1">
        <v>21424</v>
      </c>
      <c r="B204" t="s">
        <v>15</v>
      </c>
      <c r="C204" t="s">
        <v>13</v>
      </c>
      <c r="D204" t="s">
        <v>16</v>
      </c>
      <c r="E204" s="1">
        <v>2336</v>
      </c>
      <c r="F204" s="1">
        <v>2025</v>
      </c>
      <c r="G204" t="s">
        <v>11</v>
      </c>
      <c r="H204" s="2">
        <v>45988.583923611113</v>
      </c>
      <c r="I204" s="9">
        <f t="shared" si="30"/>
        <v>45989</v>
      </c>
      <c r="J204" s="2" t="str">
        <f t="shared" si="31"/>
        <v/>
      </c>
      <c r="L204" s="2" t="str">
        <f t="shared" si="32"/>
        <v/>
      </c>
      <c r="N204" s="10" t="str">
        <f t="shared" si="33"/>
        <v/>
      </c>
      <c r="O204" s="2">
        <f t="shared" si="34"/>
        <v>45989</v>
      </c>
      <c r="P204" s="2">
        <v>45994.669062499997</v>
      </c>
      <c r="Q204" s="2">
        <f t="shared" si="35"/>
        <v>45995</v>
      </c>
      <c r="R204" s="2">
        <v>45994.757048611114</v>
      </c>
      <c r="S204">
        <f t="shared" si="36"/>
        <v>0</v>
      </c>
      <c r="T204" s="2">
        <f t="shared" si="37"/>
        <v>45995</v>
      </c>
      <c r="U204" t="str">
        <f t="shared" si="38"/>
        <v>NO PRAZO</v>
      </c>
      <c r="Z204" s="5" t="s">
        <v>227</v>
      </c>
    </row>
    <row r="205" spans="1:26" hidden="1">
      <c r="A205" s="1">
        <v>21423</v>
      </c>
      <c r="B205" t="s">
        <v>20</v>
      </c>
      <c r="C205" t="s">
        <v>13</v>
      </c>
      <c r="D205" t="s">
        <v>18</v>
      </c>
      <c r="E205" s="1">
        <v>2335</v>
      </c>
      <c r="F205" s="1">
        <v>2025</v>
      </c>
      <c r="G205" t="s">
        <v>11</v>
      </c>
      <c r="H205" s="2">
        <v>45988.500590277778</v>
      </c>
      <c r="I205" s="9">
        <f t="shared" si="30"/>
        <v>45993</v>
      </c>
      <c r="J205" s="2" t="str">
        <f t="shared" si="31"/>
        <v/>
      </c>
      <c r="L205" s="2" t="str">
        <f t="shared" si="32"/>
        <v/>
      </c>
      <c r="N205" s="10" t="str">
        <f t="shared" si="33"/>
        <v/>
      </c>
      <c r="O205" s="2">
        <f t="shared" si="34"/>
        <v>45993</v>
      </c>
      <c r="P205" s="2">
        <v>45994.688842592594</v>
      </c>
      <c r="Q205" s="2">
        <f t="shared" si="35"/>
        <v>46000</v>
      </c>
      <c r="R205" s="2">
        <v>45995.476354166669</v>
      </c>
      <c r="S205">
        <f t="shared" si="36"/>
        <v>0</v>
      </c>
      <c r="T205" s="2">
        <f t="shared" si="37"/>
        <v>46000</v>
      </c>
      <c r="U205" t="str">
        <f t="shared" si="38"/>
        <v>NO PRAZO</v>
      </c>
      <c r="Z205" s="5" t="s">
        <v>228</v>
      </c>
    </row>
    <row r="206" spans="1:26">
      <c r="A206" s="1">
        <v>21415</v>
      </c>
      <c r="B206" t="s">
        <v>12</v>
      </c>
      <c r="C206" t="s">
        <v>13</v>
      </c>
      <c r="D206" t="s">
        <v>16</v>
      </c>
      <c r="E206" s="1">
        <v>2327</v>
      </c>
      <c r="F206" s="1">
        <v>2025</v>
      </c>
      <c r="G206" t="s">
        <v>11</v>
      </c>
      <c r="H206" s="2">
        <v>45987.583877314813</v>
      </c>
      <c r="I206" s="9">
        <f>IF(OR(D206="ORIENTAÇÃO",D206="BUG IMPEDITIVO",D206="BUG NÃO IMPEDITIVO"),WORKDAY(H206,1,Z$2:Z$500),IF(OR(D206="MELHORIA PEQUENA",D206="MELHORIA MÉDIA"),WORKDAY(H206,3,Z$2:Z$500),""))</f>
        <v>45988</v>
      </c>
      <c r="J206" s="2" t="str">
        <f t="shared" si="31"/>
        <v/>
      </c>
      <c r="L206" s="2" t="str">
        <f t="shared" si="32"/>
        <v/>
      </c>
      <c r="N206" s="10" t="str">
        <f t="shared" si="33"/>
        <v/>
      </c>
      <c r="O206" s="2">
        <f t="shared" si="34"/>
        <v>45988</v>
      </c>
      <c r="P206" s="2">
        <v>45994.608043981483</v>
      </c>
      <c r="Q206" s="2">
        <f t="shared" si="35"/>
        <v>45994</v>
      </c>
      <c r="R206" s="2">
        <v>45999.695659722223</v>
      </c>
      <c r="S206">
        <f t="shared" si="36"/>
        <v>5</v>
      </c>
      <c r="T206" s="2">
        <f t="shared" si="37"/>
        <v>45994</v>
      </c>
      <c r="U206" t="str">
        <f t="shared" si="38"/>
        <v>ATRASO</v>
      </c>
      <c r="Z206" s="4" t="s">
        <v>229</v>
      </c>
    </row>
    <row r="207" spans="1:26" hidden="1">
      <c r="A207" s="1">
        <v>21414</v>
      </c>
      <c r="B207" t="s">
        <v>20</v>
      </c>
      <c r="C207" t="s">
        <v>13</v>
      </c>
      <c r="D207" t="s">
        <v>21</v>
      </c>
      <c r="E207" s="1">
        <v>2326</v>
      </c>
      <c r="F207" s="1">
        <v>2025</v>
      </c>
      <c r="G207" t="s">
        <v>11</v>
      </c>
      <c r="H207" s="2">
        <v>45987.375555555554</v>
      </c>
      <c r="I207" s="9">
        <f t="shared" si="30"/>
        <v>45992</v>
      </c>
      <c r="J207" s="2" t="str">
        <f t="shared" si="31"/>
        <v/>
      </c>
      <c r="L207" s="2" t="str">
        <f t="shared" si="32"/>
        <v/>
      </c>
      <c r="N207" s="10" t="str">
        <f t="shared" si="33"/>
        <v/>
      </c>
      <c r="O207" s="2">
        <f t="shared" si="34"/>
        <v>45992</v>
      </c>
      <c r="P207" s="2">
        <v>45988.77925925926</v>
      </c>
      <c r="Q207" s="2">
        <f t="shared" si="35"/>
        <v>46021</v>
      </c>
      <c r="R207" s="2">
        <v>45994.424791666665</v>
      </c>
      <c r="S207">
        <f t="shared" si="36"/>
        <v>0</v>
      </c>
      <c r="T207" s="2">
        <f t="shared" si="37"/>
        <v>46021</v>
      </c>
      <c r="U207" t="str">
        <f t="shared" si="38"/>
        <v>NO PRAZO</v>
      </c>
      <c r="Z207" s="5" t="s">
        <v>230</v>
      </c>
    </row>
    <row r="208" spans="1:26" hidden="1">
      <c r="A208" s="1">
        <v>21403</v>
      </c>
      <c r="B208" t="s">
        <v>19</v>
      </c>
      <c r="C208" t="s">
        <v>13</v>
      </c>
      <c r="D208" t="s">
        <v>18</v>
      </c>
      <c r="E208" s="1">
        <v>2315</v>
      </c>
      <c r="F208" s="1">
        <v>2025</v>
      </c>
      <c r="G208" t="s">
        <v>11</v>
      </c>
      <c r="H208" s="2">
        <v>45985.583784722221</v>
      </c>
      <c r="I208" s="9">
        <f t="shared" si="30"/>
        <v>45988</v>
      </c>
      <c r="J208" s="2" t="str">
        <f t="shared" si="31"/>
        <v/>
      </c>
      <c r="L208" s="2" t="str">
        <f t="shared" si="32"/>
        <v/>
      </c>
      <c r="N208" s="10" t="str">
        <f t="shared" si="33"/>
        <v/>
      </c>
      <c r="O208" s="2">
        <f t="shared" si="34"/>
        <v>45988</v>
      </c>
      <c r="P208" s="2">
        <v>45989.409398148149</v>
      </c>
      <c r="Q208" s="2">
        <f t="shared" si="35"/>
        <v>45994</v>
      </c>
      <c r="R208" s="2">
        <v>45989.562627314815</v>
      </c>
      <c r="S208">
        <f t="shared" si="36"/>
        <v>0</v>
      </c>
      <c r="T208" s="2">
        <f t="shared" si="37"/>
        <v>45994</v>
      </c>
      <c r="U208" t="str">
        <f t="shared" si="38"/>
        <v>NO PRAZO</v>
      </c>
      <c r="Z208" s="5" t="s">
        <v>231</v>
      </c>
    </row>
    <row r="209" spans="1:26" hidden="1">
      <c r="A209" s="1">
        <v>21402</v>
      </c>
      <c r="B209" t="s">
        <v>19</v>
      </c>
      <c r="C209" t="s">
        <v>13</v>
      </c>
      <c r="D209" t="s">
        <v>18</v>
      </c>
      <c r="E209" s="1">
        <v>2314</v>
      </c>
      <c r="F209" s="1">
        <v>2025</v>
      </c>
      <c r="G209" t="s">
        <v>11</v>
      </c>
      <c r="H209" s="2">
        <v>45985.583784722221</v>
      </c>
      <c r="I209" s="9">
        <f t="shared" si="30"/>
        <v>45988</v>
      </c>
      <c r="J209" s="2" t="str">
        <f t="shared" si="31"/>
        <v/>
      </c>
      <c r="L209" s="2" t="str">
        <f t="shared" si="32"/>
        <v/>
      </c>
      <c r="N209" s="10" t="str">
        <f t="shared" si="33"/>
        <v/>
      </c>
      <c r="O209" s="2">
        <f t="shared" si="34"/>
        <v>45988</v>
      </c>
      <c r="P209" s="2">
        <v>45989.408842592595</v>
      </c>
      <c r="Q209" s="2">
        <f t="shared" si="35"/>
        <v>45994</v>
      </c>
      <c r="R209" s="2">
        <v>45989.5621875</v>
      </c>
      <c r="S209">
        <f t="shared" si="36"/>
        <v>0</v>
      </c>
      <c r="T209" s="2">
        <f t="shared" si="37"/>
        <v>45994</v>
      </c>
      <c r="U209" t="str">
        <f t="shared" si="38"/>
        <v>NO PRAZO</v>
      </c>
      <c r="Z209" s="5" t="s">
        <v>232</v>
      </c>
    </row>
    <row r="210" spans="1:26" hidden="1">
      <c r="A210" s="1">
        <v>21395</v>
      </c>
      <c r="B210" t="s">
        <v>23</v>
      </c>
      <c r="C210" t="s">
        <v>13</v>
      </c>
      <c r="D210" t="s">
        <v>14</v>
      </c>
      <c r="E210" s="1">
        <v>2307</v>
      </c>
      <c r="F210" s="1">
        <v>2025</v>
      </c>
      <c r="G210" t="s">
        <v>11</v>
      </c>
      <c r="H210" s="2">
        <v>45985.458784722221</v>
      </c>
      <c r="I210" s="9">
        <f t="shared" si="30"/>
        <v>45986</v>
      </c>
      <c r="J210" s="2" t="str">
        <f t="shared" si="31"/>
        <v/>
      </c>
      <c r="L210" s="2" t="str">
        <f t="shared" si="32"/>
        <v/>
      </c>
      <c r="N210" s="10" t="str">
        <f t="shared" si="33"/>
        <v/>
      </c>
      <c r="O210" s="2">
        <f t="shared" si="34"/>
        <v>45986</v>
      </c>
      <c r="P210" s="2">
        <v>45987.490300925929</v>
      </c>
      <c r="Q210" s="2">
        <f t="shared" si="35"/>
        <v>45987</v>
      </c>
      <c r="R210" s="2">
        <v>45987.490567129629</v>
      </c>
      <c r="S210">
        <f t="shared" si="36"/>
        <v>0</v>
      </c>
      <c r="T210" s="2">
        <f t="shared" si="37"/>
        <v>45987</v>
      </c>
      <c r="U210" t="str">
        <f t="shared" si="38"/>
        <v>NO PRAZO</v>
      </c>
      <c r="Z210" s="5" t="s">
        <v>233</v>
      </c>
    </row>
    <row r="211" spans="1:26" hidden="1">
      <c r="A211" s="1">
        <v>21394</v>
      </c>
      <c r="B211" t="s">
        <v>20</v>
      </c>
      <c r="C211" t="s">
        <v>13</v>
      </c>
      <c r="D211" t="s">
        <v>16</v>
      </c>
      <c r="E211" s="1">
        <v>2306</v>
      </c>
      <c r="F211" s="1">
        <v>2025</v>
      </c>
      <c r="G211" t="s">
        <v>11</v>
      </c>
      <c r="H211" s="2">
        <v>45985.375439814816</v>
      </c>
      <c r="I211" s="9">
        <f t="shared" si="30"/>
        <v>45986</v>
      </c>
      <c r="J211" s="2" t="str">
        <f t="shared" si="31"/>
        <v/>
      </c>
      <c r="L211" s="2" t="str">
        <f t="shared" si="32"/>
        <v/>
      </c>
      <c r="N211" s="10" t="str">
        <f t="shared" si="33"/>
        <v/>
      </c>
      <c r="O211" s="2">
        <f t="shared" si="34"/>
        <v>45986</v>
      </c>
      <c r="P211" s="2">
        <v>45986.652453703704</v>
      </c>
      <c r="Q211" s="2">
        <f t="shared" si="35"/>
        <v>45992</v>
      </c>
      <c r="R211" s="2">
        <v>45989.383171296293</v>
      </c>
      <c r="S211">
        <f t="shared" si="36"/>
        <v>0</v>
      </c>
      <c r="T211" s="2">
        <f t="shared" si="37"/>
        <v>45992</v>
      </c>
      <c r="U211" t="str">
        <f t="shared" si="38"/>
        <v>NO PRAZO</v>
      </c>
      <c r="Z211" s="5" t="s">
        <v>234</v>
      </c>
    </row>
    <row r="212" spans="1:26" hidden="1">
      <c r="A212" s="1">
        <v>21393</v>
      </c>
      <c r="B212" t="s">
        <v>20</v>
      </c>
      <c r="C212" t="s">
        <v>13</v>
      </c>
      <c r="D212" t="s">
        <v>16</v>
      </c>
      <c r="E212" s="1">
        <v>2305</v>
      </c>
      <c r="F212" s="1">
        <v>2025</v>
      </c>
      <c r="G212" t="s">
        <v>11</v>
      </c>
      <c r="H212" s="2">
        <v>45985.375439814816</v>
      </c>
      <c r="I212" s="9">
        <f t="shared" si="30"/>
        <v>45986</v>
      </c>
      <c r="J212" s="2" t="str">
        <f t="shared" si="31"/>
        <v/>
      </c>
      <c r="L212" s="2" t="str">
        <f t="shared" si="32"/>
        <v/>
      </c>
      <c r="N212" s="10" t="str">
        <f t="shared" si="33"/>
        <v/>
      </c>
      <c r="O212" s="2">
        <f t="shared" si="34"/>
        <v>45986</v>
      </c>
      <c r="P212" s="2">
        <v>45986.651400462964</v>
      </c>
      <c r="Q212" s="2">
        <f t="shared" si="35"/>
        <v>45992</v>
      </c>
      <c r="R212" s="2">
        <v>45989.381388888891</v>
      </c>
      <c r="S212">
        <f t="shared" si="36"/>
        <v>0</v>
      </c>
      <c r="T212" s="2">
        <f t="shared" si="37"/>
        <v>45992</v>
      </c>
      <c r="U212" t="str">
        <f t="shared" si="38"/>
        <v>NO PRAZO</v>
      </c>
      <c r="Z212" s="5" t="s">
        <v>235</v>
      </c>
    </row>
    <row r="213" spans="1:26" hidden="1">
      <c r="A213" s="1">
        <v>21392</v>
      </c>
      <c r="B213" t="s">
        <v>8</v>
      </c>
      <c r="C213" t="s">
        <v>9</v>
      </c>
      <c r="D213" t="s">
        <v>18</v>
      </c>
      <c r="E213" s="1">
        <v>2304</v>
      </c>
      <c r="F213" s="1">
        <v>2025</v>
      </c>
      <c r="G213" t="s">
        <v>11</v>
      </c>
      <c r="H213" s="2">
        <v>45982.708680555559</v>
      </c>
      <c r="I213" s="9">
        <f t="shared" si="30"/>
        <v>45987</v>
      </c>
      <c r="J213" s="2" t="str">
        <f t="shared" si="31"/>
        <v/>
      </c>
      <c r="L213" s="2" t="str">
        <f t="shared" si="32"/>
        <v/>
      </c>
      <c r="N213" s="10" t="str">
        <f t="shared" si="33"/>
        <v/>
      </c>
      <c r="O213" s="2">
        <f t="shared" si="34"/>
        <v>45987</v>
      </c>
      <c r="P213" s="2">
        <v>45989.484849537039</v>
      </c>
      <c r="Q213" s="2">
        <f t="shared" si="35"/>
        <v>45993</v>
      </c>
      <c r="R213" s="2">
        <v>45989.701365740744</v>
      </c>
      <c r="S213">
        <f t="shared" si="36"/>
        <v>0</v>
      </c>
      <c r="T213" s="2">
        <f t="shared" si="37"/>
        <v>45993</v>
      </c>
      <c r="U213" t="str">
        <f t="shared" si="38"/>
        <v>NO PRAZO</v>
      </c>
      <c r="Z213" s="7" t="s">
        <v>236</v>
      </c>
    </row>
    <row r="214" spans="1:26" hidden="1">
      <c r="A214" s="1">
        <v>21390</v>
      </c>
      <c r="B214" t="s">
        <v>22</v>
      </c>
      <c r="C214" t="s">
        <v>13</v>
      </c>
      <c r="D214" t="s">
        <v>21</v>
      </c>
      <c r="E214" s="1">
        <v>2302</v>
      </c>
      <c r="F214" s="1">
        <v>2025</v>
      </c>
      <c r="G214" t="s">
        <v>11</v>
      </c>
      <c r="H214" s="2">
        <v>45982.597962962966</v>
      </c>
      <c r="I214" s="9">
        <f t="shared" si="30"/>
        <v>45987</v>
      </c>
      <c r="J214" s="2" t="str">
        <f t="shared" si="31"/>
        <v/>
      </c>
      <c r="L214" s="2" t="str">
        <f t="shared" si="32"/>
        <v/>
      </c>
      <c r="N214" s="10" t="str">
        <f t="shared" si="33"/>
        <v/>
      </c>
      <c r="O214" s="2">
        <f t="shared" si="34"/>
        <v>45987</v>
      </c>
      <c r="P214" s="2">
        <v>45985.401585648149</v>
      </c>
      <c r="Q214" s="2">
        <f t="shared" si="35"/>
        <v>46015</v>
      </c>
      <c r="R214" s="2">
        <v>46010.766458333332</v>
      </c>
      <c r="S214">
        <f t="shared" si="36"/>
        <v>0</v>
      </c>
      <c r="T214" s="2">
        <f t="shared" si="37"/>
        <v>46015</v>
      </c>
      <c r="U214" t="str">
        <f t="shared" si="38"/>
        <v>NO PRAZO</v>
      </c>
      <c r="Z214" s="5" t="s">
        <v>237</v>
      </c>
    </row>
    <row r="215" spans="1:26" hidden="1">
      <c r="A215" s="1">
        <v>21389</v>
      </c>
      <c r="B215" t="s">
        <v>20</v>
      </c>
      <c r="C215" t="s">
        <v>13</v>
      </c>
      <c r="D215" t="s">
        <v>21</v>
      </c>
      <c r="E215" s="1">
        <v>2301</v>
      </c>
      <c r="F215" s="1">
        <v>2025</v>
      </c>
      <c r="G215" t="s">
        <v>11</v>
      </c>
      <c r="H215" s="2">
        <v>45982.594618055555</v>
      </c>
      <c r="I215" s="9">
        <f t="shared" si="30"/>
        <v>45987</v>
      </c>
      <c r="J215" s="2" t="str">
        <f t="shared" si="31"/>
        <v/>
      </c>
      <c r="L215" s="2" t="str">
        <f t="shared" si="32"/>
        <v/>
      </c>
      <c r="N215" s="10" t="str">
        <f t="shared" si="33"/>
        <v/>
      </c>
      <c r="O215" s="2">
        <f t="shared" si="34"/>
        <v>45987</v>
      </c>
      <c r="P215" s="2">
        <v>45982.630069444444</v>
      </c>
      <c r="Q215" s="2">
        <f t="shared" si="35"/>
        <v>46015</v>
      </c>
      <c r="R215" s="2">
        <v>46010.765532407408</v>
      </c>
      <c r="S215">
        <f t="shared" si="36"/>
        <v>0</v>
      </c>
      <c r="T215" s="2">
        <f t="shared" si="37"/>
        <v>46015</v>
      </c>
      <c r="U215" t="str">
        <f t="shared" si="38"/>
        <v>NO PRAZO</v>
      </c>
      <c r="Z215" s="5" t="s">
        <v>238</v>
      </c>
    </row>
    <row r="216" spans="1:26">
      <c r="A216" s="1">
        <v>21387</v>
      </c>
      <c r="B216" t="s">
        <v>19</v>
      </c>
      <c r="C216" t="s">
        <v>13</v>
      </c>
      <c r="D216" t="s">
        <v>16</v>
      </c>
      <c r="E216" s="1">
        <v>2299</v>
      </c>
      <c r="F216" s="1">
        <v>2025</v>
      </c>
      <c r="G216" t="s">
        <v>11</v>
      </c>
      <c r="H216" s="2">
        <v>45982.583680555559</v>
      </c>
      <c r="I216" s="9">
        <f t="shared" si="30"/>
        <v>45985</v>
      </c>
      <c r="J216" s="2" t="str">
        <f t="shared" si="31"/>
        <v/>
      </c>
      <c r="L216" s="2" t="str">
        <f t="shared" si="32"/>
        <v/>
      </c>
      <c r="N216" s="10" t="str">
        <f t="shared" si="33"/>
        <v/>
      </c>
      <c r="O216" s="2">
        <f t="shared" si="34"/>
        <v>45985</v>
      </c>
      <c r="P216" s="2">
        <v>45989.793414351851</v>
      </c>
      <c r="Q216" s="2">
        <f t="shared" si="35"/>
        <v>45989</v>
      </c>
      <c r="R216" s="2">
        <v>45999.378958333335</v>
      </c>
      <c r="S216">
        <f t="shared" si="36"/>
        <v>10</v>
      </c>
      <c r="T216" s="2">
        <f t="shared" si="37"/>
        <v>45989</v>
      </c>
      <c r="U216" t="str">
        <f t="shared" si="38"/>
        <v>ATRASO</v>
      </c>
      <c r="Z216" s="5" t="s">
        <v>239</v>
      </c>
    </row>
    <row r="217" spans="1:26" hidden="1">
      <c r="A217" s="1">
        <v>21385</v>
      </c>
      <c r="B217" t="s">
        <v>20</v>
      </c>
      <c r="C217" t="s">
        <v>13</v>
      </c>
      <c r="D217" t="s">
        <v>10</v>
      </c>
      <c r="E217" s="1">
        <v>2297</v>
      </c>
      <c r="F217" s="1">
        <v>2025</v>
      </c>
      <c r="G217" t="s">
        <v>11</v>
      </c>
      <c r="H217" s="2">
        <v>45982.50037037037</v>
      </c>
      <c r="I217" s="9">
        <f t="shared" si="30"/>
        <v>45985</v>
      </c>
      <c r="J217" s="2" t="str">
        <f t="shared" si="31"/>
        <v/>
      </c>
      <c r="L217" s="2" t="str">
        <f t="shared" si="32"/>
        <v/>
      </c>
      <c r="N217" s="10" t="str">
        <f t="shared" si="33"/>
        <v/>
      </c>
      <c r="O217" s="2">
        <f t="shared" si="34"/>
        <v>45985</v>
      </c>
      <c r="P217" s="2">
        <v>45982.596296296295</v>
      </c>
      <c r="Q217" s="2">
        <f t="shared" si="35"/>
        <v>45986</v>
      </c>
      <c r="R217" s="2">
        <v>45982.763726851852</v>
      </c>
      <c r="S217">
        <f t="shared" si="36"/>
        <v>0</v>
      </c>
      <c r="T217" s="2">
        <f t="shared" si="37"/>
        <v>45986</v>
      </c>
      <c r="U217" t="str">
        <f t="shared" si="38"/>
        <v>NO PRAZO</v>
      </c>
      <c r="Z217" s="5" t="s">
        <v>240</v>
      </c>
    </row>
    <row r="218" spans="1:26" hidden="1">
      <c r="A218" s="1">
        <v>21384</v>
      </c>
      <c r="B218" t="s">
        <v>24</v>
      </c>
      <c r="C218" t="s">
        <v>13</v>
      </c>
      <c r="D218" t="s">
        <v>16</v>
      </c>
      <c r="E218" s="1">
        <v>2296</v>
      </c>
      <c r="F218" s="1">
        <v>2025</v>
      </c>
      <c r="G218" t="s">
        <v>11</v>
      </c>
      <c r="H218" s="2">
        <v>45982.417013888888</v>
      </c>
      <c r="I218" s="9">
        <f t="shared" si="30"/>
        <v>45985</v>
      </c>
      <c r="J218" s="2" t="str">
        <f t="shared" si="31"/>
        <v/>
      </c>
      <c r="L218" s="2" t="str">
        <f t="shared" si="32"/>
        <v/>
      </c>
      <c r="N218" s="10" t="str">
        <f t="shared" si="33"/>
        <v/>
      </c>
      <c r="O218" s="2">
        <f t="shared" si="34"/>
        <v>45985</v>
      </c>
      <c r="P218" s="2">
        <v>45988.667673611111</v>
      </c>
      <c r="Q218" s="2">
        <f t="shared" si="35"/>
        <v>45989</v>
      </c>
      <c r="R218" s="2">
        <v>45989.753645833334</v>
      </c>
      <c r="S218">
        <f t="shared" si="36"/>
        <v>0</v>
      </c>
      <c r="T218" s="2">
        <f t="shared" si="37"/>
        <v>45989</v>
      </c>
      <c r="U218" t="str">
        <f t="shared" si="38"/>
        <v>NO PRAZO</v>
      </c>
      <c r="Z218" s="5" t="s">
        <v>241</v>
      </c>
    </row>
    <row r="219" spans="1:26" hidden="1">
      <c r="A219" s="1">
        <v>21380</v>
      </c>
      <c r="B219" t="s">
        <v>19</v>
      </c>
      <c r="C219" t="s">
        <v>13</v>
      </c>
      <c r="D219" t="s">
        <v>10</v>
      </c>
      <c r="E219" s="1">
        <v>2292</v>
      </c>
      <c r="F219" s="1">
        <v>2025</v>
      </c>
      <c r="G219" t="s">
        <v>11</v>
      </c>
      <c r="H219" s="2">
        <v>45980.375254629631</v>
      </c>
      <c r="I219" s="9">
        <f t="shared" si="30"/>
        <v>45982</v>
      </c>
      <c r="J219" s="2" t="str">
        <f t="shared" si="31"/>
        <v/>
      </c>
      <c r="L219" s="2" t="str">
        <f t="shared" si="32"/>
        <v/>
      </c>
      <c r="N219" s="10" t="str">
        <f t="shared" si="33"/>
        <v/>
      </c>
      <c r="O219" s="2">
        <f t="shared" si="34"/>
        <v>45982</v>
      </c>
      <c r="P219" s="2">
        <v>45982.620810185188</v>
      </c>
      <c r="Q219" s="2">
        <f t="shared" si="35"/>
        <v>45985</v>
      </c>
      <c r="R219" s="2">
        <v>45982.757835648146</v>
      </c>
      <c r="S219">
        <f t="shared" si="36"/>
        <v>0</v>
      </c>
      <c r="T219" s="2">
        <f t="shared" si="37"/>
        <v>45985</v>
      </c>
      <c r="U219" t="str">
        <f t="shared" si="38"/>
        <v>NO PRAZO</v>
      </c>
      <c r="Z219" s="5" t="s">
        <v>242</v>
      </c>
    </row>
    <row r="220" spans="1:26" hidden="1">
      <c r="A220" s="1">
        <v>21379</v>
      </c>
      <c r="B220" t="s">
        <v>17</v>
      </c>
      <c r="C220" t="s">
        <v>13</v>
      </c>
      <c r="D220" t="s">
        <v>14</v>
      </c>
      <c r="E220" s="1">
        <v>2291</v>
      </c>
      <c r="F220" s="1">
        <v>2025</v>
      </c>
      <c r="G220" t="s">
        <v>11</v>
      </c>
      <c r="H220" s="2">
        <v>45980.375254629631</v>
      </c>
      <c r="I220" s="9">
        <f t="shared" si="30"/>
        <v>45982</v>
      </c>
      <c r="J220" s="2" t="str">
        <f t="shared" si="31"/>
        <v/>
      </c>
      <c r="L220" s="2" t="str">
        <f t="shared" si="32"/>
        <v/>
      </c>
      <c r="N220" s="10" t="str">
        <f t="shared" si="33"/>
        <v/>
      </c>
      <c r="O220" s="2">
        <f t="shared" si="34"/>
        <v>45982</v>
      </c>
      <c r="P220" s="2">
        <v>45980.46366898148</v>
      </c>
      <c r="Q220" s="2">
        <f t="shared" si="35"/>
        <v>45985</v>
      </c>
      <c r="R220" s="2">
        <v>45982.589502314811</v>
      </c>
      <c r="S220">
        <f t="shared" si="36"/>
        <v>0</v>
      </c>
      <c r="T220" s="2">
        <f t="shared" si="37"/>
        <v>45985</v>
      </c>
      <c r="U220" t="str">
        <f t="shared" si="38"/>
        <v>NO PRAZO</v>
      </c>
      <c r="Z220" s="5" t="s">
        <v>243</v>
      </c>
    </row>
    <row r="221" spans="1:26" hidden="1">
      <c r="A221" s="1">
        <v>21376</v>
      </c>
      <c r="B221" t="s">
        <v>20</v>
      </c>
      <c r="C221" t="s">
        <v>13</v>
      </c>
      <c r="D221" t="s">
        <v>16</v>
      </c>
      <c r="E221" s="1">
        <v>2288</v>
      </c>
      <c r="F221" s="1">
        <v>2025</v>
      </c>
      <c r="G221" t="s">
        <v>11</v>
      </c>
      <c r="H221" s="2">
        <v>45979.708425925928</v>
      </c>
      <c r="I221" s="9">
        <f t="shared" si="30"/>
        <v>45980</v>
      </c>
      <c r="J221" s="2" t="str">
        <f t="shared" si="31"/>
        <v/>
      </c>
      <c r="L221" s="2" t="str">
        <f t="shared" si="32"/>
        <v/>
      </c>
      <c r="N221" s="10" t="str">
        <f t="shared" si="33"/>
        <v/>
      </c>
      <c r="O221" s="2">
        <f t="shared" si="34"/>
        <v>45980</v>
      </c>
      <c r="P221" s="2">
        <v>45986.720185185186</v>
      </c>
      <c r="Q221" s="2">
        <f t="shared" si="35"/>
        <v>45987</v>
      </c>
      <c r="R221" s="2">
        <v>45986.762314814812</v>
      </c>
      <c r="S221">
        <f t="shared" si="36"/>
        <v>0</v>
      </c>
      <c r="T221" s="2">
        <f t="shared" si="37"/>
        <v>45987</v>
      </c>
      <c r="U221" t="str">
        <f t="shared" si="38"/>
        <v>NO PRAZO</v>
      </c>
      <c r="Z221" s="5" t="s">
        <v>244</v>
      </c>
    </row>
    <row r="222" spans="1:26" hidden="1">
      <c r="A222" s="1">
        <v>21368</v>
      </c>
      <c r="B222" t="s">
        <v>17</v>
      </c>
      <c r="C222" t="s">
        <v>13</v>
      </c>
      <c r="D222" t="s">
        <v>18</v>
      </c>
      <c r="E222" s="1">
        <v>2280</v>
      </c>
      <c r="F222" s="1">
        <v>2025</v>
      </c>
      <c r="G222" t="s">
        <v>11</v>
      </c>
      <c r="H222" s="2">
        <v>45978.833483796298</v>
      </c>
      <c r="I222" s="9">
        <f t="shared" si="30"/>
        <v>45982</v>
      </c>
      <c r="J222" s="2" t="str">
        <f t="shared" si="31"/>
        <v/>
      </c>
      <c r="L222" s="2" t="str">
        <f t="shared" si="32"/>
        <v/>
      </c>
      <c r="N222" s="10" t="str">
        <f t="shared" si="33"/>
        <v/>
      </c>
      <c r="O222" s="2">
        <f t="shared" si="34"/>
        <v>45982</v>
      </c>
      <c r="P222" s="2">
        <v>45985.421539351853</v>
      </c>
      <c r="Q222" s="2">
        <f t="shared" si="35"/>
        <v>45988</v>
      </c>
      <c r="R222" s="2">
        <v>45985.422766203701</v>
      </c>
      <c r="S222">
        <f t="shared" si="36"/>
        <v>0</v>
      </c>
      <c r="T222" s="2">
        <f t="shared" si="37"/>
        <v>45988</v>
      </c>
      <c r="U222" t="str">
        <f t="shared" si="38"/>
        <v>NO PRAZO</v>
      </c>
      <c r="Z222" s="5" t="s">
        <v>245</v>
      </c>
    </row>
    <row r="223" spans="1:26" hidden="1">
      <c r="A223" s="1">
        <v>21367</v>
      </c>
      <c r="B223" t="s">
        <v>17</v>
      </c>
      <c r="C223" t="s">
        <v>13</v>
      </c>
      <c r="D223" t="s">
        <v>18</v>
      </c>
      <c r="E223" s="1">
        <v>2279</v>
      </c>
      <c r="F223" s="1">
        <v>2025</v>
      </c>
      <c r="G223" t="s">
        <v>11</v>
      </c>
      <c r="H223" s="2">
        <v>45978.833483796298</v>
      </c>
      <c r="I223" s="9">
        <f t="shared" si="30"/>
        <v>45982</v>
      </c>
      <c r="J223" s="2" t="str">
        <f t="shared" si="31"/>
        <v/>
      </c>
      <c r="L223" s="2" t="str">
        <f t="shared" si="32"/>
        <v/>
      </c>
      <c r="N223" s="10" t="str">
        <f t="shared" si="33"/>
        <v/>
      </c>
      <c r="O223" s="2">
        <f t="shared" si="34"/>
        <v>45982</v>
      </c>
      <c r="P223" s="2">
        <v>45985.420208333337</v>
      </c>
      <c r="Q223" s="2">
        <f t="shared" si="35"/>
        <v>45988</v>
      </c>
      <c r="R223" s="2">
        <v>45985.420405092591</v>
      </c>
      <c r="S223">
        <f t="shared" si="36"/>
        <v>0</v>
      </c>
      <c r="T223" s="2">
        <f t="shared" si="37"/>
        <v>45988</v>
      </c>
      <c r="U223" t="str">
        <f t="shared" si="38"/>
        <v>NO PRAZO</v>
      </c>
      <c r="Z223" s="5" t="s">
        <v>246</v>
      </c>
    </row>
    <row r="224" spans="1:26" hidden="1">
      <c r="A224" s="1">
        <v>21363</v>
      </c>
      <c r="B224" t="s">
        <v>20</v>
      </c>
      <c r="C224" t="s">
        <v>13</v>
      </c>
      <c r="D224" t="s">
        <v>16</v>
      </c>
      <c r="E224" s="1">
        <v>2275</v>
      </c>
      <c r="F224" s="1">
        <v>2025</v>
      </c>
      <c r="G224" t="s">
        <v>11</v>
      </c>
      <c r="H224" s="2">
        <v>45978.625844907408</v>
      </c>
      <c r="I224" s="9">
        <f t="shared" si="30"/>
        <v>45979</v>
      </c>
      <c r="J224" s="2" t="str">
        <f t="shared" si="31"/>
        <v/>
      </c>
      <c r="L224" s="2" t="str">
        <f t="shared" si="32"/>
        <v/>
      </c>
      <c r="N224" s="10" t="str">
        <f t="shared" si="33"/>
        <v/>
      </c>
      <c r="O224" s="2">
        <f t="shared" si="34"/>
        <v>45979</v>
      </c>
      <c r="P224" s="2">
        <v>45982.632800925923</v>
      </c>
      <c r="Q224" s="2">
        <f t="shared" si="35"/>
        <v>45986</v>
      </c>
      <c r="R224" s="2">
        <v>45986.705590277779</v>
      </c>
      <c r="S224">
        <f t="shared" si="36"/>
        <v>0</v>
      </c>
      <c r="T224" s="2">
        <f t="shared" si="37"/>
        <v>45986</v>
      </c>
      <c r="U224" t="str">
        <f t="shared" si="38"/>
        <v>NO PRAZO</v>
      </c>
      <c r="Z224" s="5" t="s">
        <v>247</v>
      </c>
    </row>
    <row r="225" spans="1:26" hidden="1">
      <c r="A225" s="1">
        <v>21351</v>
      </c>
      <c r="B225" t="s">
        <v>19</v>
      </c>
      <c r="C225" t="s">
        <v>13</v>
      </c>
      <c r="D225" t="s">
        <v>18</v>
      </c>
      <c r="E225" s="1">
        <v>2263</v>
      </c>
      <c r="F225" s="1">
        <v>2025</v>
      </c>
      <c r="G225" t="s">
        <v>11</v>
      </c>
      <c r="H225" s="2">
        <v>45975.459074074075</v>
      </c>
      <c r="I225" s="9">
        <f t="shared" si="30"/>
        <v>45980</v>
      </c>
      <c r="J225" s="2" t="str">
        <f t="shared" si="31"/>
        <v/>
      </c>
      <c r="L225" s="2" t="str">
        <f t="shared" si="32"/>
        <v/>
      </c>
      <c r="N225" s="10" t="str">
        <f t="shared" si="33"/>
        <v/>
      </c>
      <c r="O225" s="2">
        <f t="shared" si="34"/>
        <v>45980</v>
      </c>
      <c r="P225" s="2">
        <v>45978.680358796293</v>
      </c>
      <c r="Q225" s="2">
        <f t="shared" si="35"/>
        <v>45987</v>
      </c>
      <c r="R225" s="2">
        <v>45980.330231481479</v>
      </c>
      <c r="S225">
        <f t="shared" si="36"/>
        <v>0</v>
      </c>
      <c r="T225" s="2">
        <f t="shared" si="37"/>
        <v>45987</v>
      </c>
      <c r="U225" t="str">
        <f t="shared" si="38"/>
        <v>NO PRAZO</v>
      </c>
      <c r="Z225" s="5" t="s">
        <v>248</v>
      </c>
    </row>
    <row r="226" spans="1:26" hidden="1">
      <c r="A226" s="1">
        <v>21350</v>
      </c>
      <c r="B226" t="s">
        <v>19</v>
      </c>
      <c r="C226" t="s">
        <v>13</v>
      </c>
      <c r="D226" t="s">
        <v>18</v>
      </c>
      <c r="E226" s="1">
        <v>2262</v>
      </c>
      <c r="F226" s="1">
        <v>2025</v>
      </c>
      <c r="G226" t="s">
        <v>11</v>
      </c>
      <c r="H226" s="2">
        <v>45975.459074074075</v>
      </c>
      <c r="I226" s="9">
        <f t="shared" si="30"/>
        <v>45980</v>
      </c>
      <c r="J226" s="2" t="str">
        <f t="shared" si="31"/>
        <v/>
      </c>
      <c r="L226" s="2" t="str">
        <f t="shared" si="32"/>
        <v/>
      </c>
      <c r="N226" s="10" t="str">
        <f t="shared" si="33"/>
        <v/>
      </c>
      <c r="O226" s="2">
        <f t="shared" si="34"/>
        <v>45980</v>
      </c>
      <c r="P226" s="2">
        <v>45978.677777777775</v>
      </c>
      <c r="Q226" s="2">
        <f t="shared" si="35"/>
        <v>45987</v>
      </c>
      <c r="R226" s="2">
        <v>45980.329571759263</v>
      </c>
      <c r="S226">
        <f t="shared" si="36"/>
        <v>0</v>
      </c>
      <c r="T226" s="2">
        <f t="shared" si="37"/>
        <v>45987</v>
      </c>
      <c r="U226" t="str">
        <f t="shared" si="38"/>
        <v>NO PRAZO</v>
      </c>
      <c r="Z226" s="7" t="s">
        <v>249</v>
      </c>
    </row>
    <row r="227" spans="1:26" hidden="1">
      <c r="A227" s="1">
        <v>21349</v>
      </c>
      <c r="B227" t="s">
        <v>19</v>
      </c>
      <c r="C227" t="s">
        <v>13</v>
      </c>
      <c r="D227" t="s">
        <v>18</v>
      </c>
      <c r="E227" s="1">
        <v>2261</v>
      </c>
      <c r="F227" s="1">
        <v>2025</v>
      </c>
      <c r="G227" t="s">
        <v>11</v>
      </c>
      <c r="H227" s="2">
        <v>45975.459074074075</v>
      </c>
      <c r="I227" s="9">
        <f t="shared" si="30"/>
        <v>45980</v>
      </c>
      <c r="J227" s="2" t="str">
        <f t="shared" si="31"/>
        <v/>
      </c>
      <c r="L227" s="2" t="str">
        <f t="shared" si="32"/>
        <v/>
      </c>
      <c r="N227" s="10" t="str">
        <f t="shared" si="33"/>
        <v/>
      </c>
      <c r="O227" s="2">
        <f t="shared" si="34"/>
        <v>45980</v>
      </c>
      <c r="P227" s="2">
        <v>45978.675717592596</v>
      </c>
      <c r="Q227" s="2">
        <f t="shared" si="35"/>
        <v>45987</v>
      </c>
      <c r="R227" s="2">
        <v>45980.337245370371</v>
      </c>
      <c r="S227">
        <f t="shared" si="36"/>
        <v>0</v>
      </c>
      <c r="T227" s="2">
        <f t="shared" si="37"/>
        <v>45987</v>
      </c>
      <c r="U227" t="str">
        <f t="shared" si="38"/>
        <v>NO PRAZO</v>
      </c>
      <c r="Z227" s="7" t="s">
        <v>250</v>
      </c>
    </row>
    <row r="228" spans="1:26" hidden="1">
      <c r="A228" s="1">
        <v>21348</v>
      </c>
      <c r="B228" t="s">
        <v>19</v>
      </c>
      <c r="C228" t="s">
        <v>13</v>
      </c>
      <c r="D228" t="s">
        <v>18</v>
      </c>
      <c r="E228" s="1">
        <v>2260</v>
      </c>
      <c r="F228" s="1">
        <v>2025</v>
      </c>
      <c r="G228" t="s">
        <v>11</v>
      </c>
      <c r="H228" s="2">
        <v>45975.459074074075</v>
      </c>
      <c r="I228" s="9">
        <f>IF(OR(D228="ORIENTAÇÃO",D228="BUG IMPEDITIVO",D228="BUG NÃO IMPEDITIVO"),WORKDAY(H228,1,Z$2:Z$500),IF(OR(D228="MELHORIA PEQUENA",D228="MELHORIA MÉDIA"),WORKDAY(H228,3,Z$2:Z$500),""))</f>
        <v>45980</v>
      </c>
      <c r="J228" s="2" t="str">
        <f t="shared" si="31"/>
        <v/>
      </c>
      <c r="L228" s="2" t="str">
        <f t="shared" si="32"/>
        <v/>
      </c>
      <c r="N228" s="10" t="str">
        <f t="shared" si="33"/>
        <v/>
      </c>
      <c r="O228" s="2">
        <f t="shared" si="34"/>
        <v>45980</v>
      </c>
      <c r="P228" s="2">
        <v>45978.674687500003</v>
      </c>
      <c r="Q228" s="2">
        <f t="shared" si="35"/>
        <v>45987</v>
      </c>
      <c r="R228" s="2">
        <v>45980.328425925924</v>
      </c>
      <c r="S228">
        <f t="shared" si="36"/>
        <v>0</v>
      </c>
      <c r="T228" s="2">
        <f t="shared" si="37"/>
        <v>45987</v>
      </c>
      <c r="U228" t="str">
        <f t="shared" si="38"/>
        <v>NO PRAZO</v>
      </c>
      <c r="Z228" s="7" t="s">
        <v>251</v>
      </c>
    </row>
    <row r="229" spans="1:26" hidden="1">
      <c r="A229" s="1">
        <v>21347</v>
      </c>
      <c r="B229" t="s">
        <v>19</v>
      </c>
      <c r="C229" t="s">
        <v>13</v>
      </c>
      <c r="D229" t="s">
        <v>18</v>
      </c>
      <c r="E229" s="1">
        <v>2259</v>
      </c>
      <c r="F229" s="1">
        <v>2025</v>
      </c>
      <c r="G229" t="s">
        <v>11</v>
      </c>
      <c r="H229" s="2">
        <v>45975.459074074075</v>
      </c>
      <c r="I229" s="9">
        <f t="shared" si="30"/>
        <v>45980</v>
      </c>
      <c r="J229" s="2" t="str">
        <f t="shared" si="31"/>
        <v/>
      </c>
      <c r="L229" s="2" t="str">
        <f t="shared" si="32"/>
        <v/>
      </c>
      <c r="N229" s="10" t="str">
        <f t="shared" si="33"/>
        <v/>
      </c>
      <c r="O229" s="2">
        <f t="shared" si="34"/>
        <v>45980</v>
      </c>
      <c r="P229" s="2">
        <v>45978.672164351854</v>
      </c>
      <c r="Q229" s="2">
        <f t="shared" si="35"/>
        <v>45987</v>
      </c>
      <c r="R229" s="2">
        <v>45980.326354166667</v>
      </c>
      <c r="S229">
        <f t="shared" si="36"/>
        <v>0</v>
      </c>
      <c r="T229" s="2">
        <f t="shared" si="37"/>
        <v>45987</v>
      </c>
      <c r="U229" t="str">
        <f t="shared" si="38"/>
        <v>NO PRAZO</v>
      </c>
      <c r="Z229" s="5" t="s">
        <v>252</v>
      </c>
    </row>
    <row r="230" spans="1:26" hidden="1">
      <c r="A230" s="1">
        <v>21346</v>
      </c>
      <c r="B230" t="s">
        <v>19</v>
      </c>
      <c r="C230" t="s">
        <v>13</v>
      </c>
      <c r="D230" t="s">
        <v>18</v>
      </c>
      <c r="E230" s="1">
        <v>2258</v>
      </c>
      <c r="F230" s="1">
        <v>2025</v>
      </c>
      <c r="G230" t="s">
        <v>11</v>
      </c>
      <c r="H230" s="2">
        <v>45975.459074074075</v>
      </c>
      <c r="I230" s="9">
        <f t="shared" si="30"/>
        <v>45980</v>
      </c>
      <c r="J230" s="2" t="str">
        <f t="shared" si="31"/>
        <v/>
      </c>
      <c r="L230" s="2" t="str">
        <f t="shared" si="32"/>
        <v/>
      </c>
      <c r="N230" s="10" t="str">
        <f t="shared" si="33"/>
        <v/>
      </c>
      <c r="O230" s="2">
        <f t="shared" si="34"/>
        <v>45980</v>
      </c>
      <c r="P230" s="2">
        <v>45978.666342592594</v>
      </c>
      <c r="Q230" s="2">
        <f t="shared" si="35"/>
        <v>45987</v>
      </c>
      <c r="R230" s="2">
        <v>45980.325868055559</v>
      </c>
      <c r="S230">
        <f t="shared" si="36"/>
        <v>0</v>
      </c>
      <c r="T230" s="2">
        <f t="shared" si="37"/>
        <v>45987</v>
      </c>
      <c r="U230" t="str">
        <f t="shared" si="38"/>
        <v>NO PRAZO</v>
      </c>
      <c r="Z230" s="5" t="s">
        <v>253</v>
      </c>
    </row>
    <row r="231" spans="1:26" hidden="1">
      <c r="A231" s="1">
        <v>21341</v>
      </c>
      <c r="B231" t="s">
        <v>19</v>
      </c>
      <c r="C231" t="s">
        <v>13</v>
      </c>
      <c r="D231" t="s">
        <v>16</v>
      </c>
      <c r="E231" s="1">
        <v>2253</v>
      </c>
      <c r="F231" s="1">
        <v>2025</v>
      </c>
      <c r="G231" t="s">
        <v>11</v>
      </c>
      <c r="H231" s="2">
        <v>45974.500706018516</v>
      </c>
      <c r="I231" s="9">
        <f t="shared" si="30"/>
        <v>45975</v>
      </c>
      <c r="J231" s="2" t="str">
        <f t="shared" si="31"/>
        <v/>
      </c>
      <c r="L231" s="2" t="str">
        <f t="shared" si="32"/>
        <v/>
      </c>
      <c r="N231" s="10" t="str">
        <f t="shared" si="33"/>
        <v/>
      </c>
      <c r="O231" s="2">
        <f t="shared" si="34"/>
        <v>45975</v>
      </c>
      <c r="P231" s="2">
        <v>45982.503217592595</v>
      </c>
      <c r="Q231" s="2">
        <f t="shared" si="35"/>
        <v>45982</v>
      </c>
      <c r="R231" s="2">
        <v>45982.754907407405</v>
      </c>
      <c r="S231">
        <f t="shared" si="36"/>
        <v>0</v>
      </c>
      <c r="T231" s="2">
        <f t="shared" si="37"/>
        <v>45982</v>
      </c>
      <c r="U231" t="str">
        <f t="shared" si="38"/>
        <v>NO PRAZO</v>
      </c>
      <c r="Z231" s="5" t="s">
        <v>254</v>
      </c>
    </row>
    <row r="232" spans="1:26" hidden="1">
      <c r="A232" s="1">
        <v>21319</v>
      </c>
      <c r="B232" t="s">
        <v>12</v>
      </c>
      <c r="C232" t="s">
        <v>13</v>
      </c>
      <c r="D232" t="s">
        <v>16</v>
      </c>
      <c r="E232" s="1">
        <v>2231</v>
      </c>
      <c r="F232" s="1">
        <v>2025</v>
      </c>
      <c r="G232" t="s">
        <v>11</v>
      </c>
      <c r="H232" s="2">
        <v>45971.58390046296</v>
      </c>
      <c r="I232" s="9">
        <f t="shared" si="30"/>
        <v>45972</v>
      </c>
      <c r="J232" s="2" t="str">
        <f t="shared" si="31"/>
        <v/>
      </c>
      <c r="L232" s="2" t="str">
        <f t="shared" si="32"/>
        <v/>
      </c>
      <c r="N232" s="10" t="str">
        <f t="shared" si="33"/>
        <v/>
      </c>
      <c r="O232" s="2">
        <f t="shared" si="34"/>
        <v>45972</v>
      </c>
      <c r="P232" s="2">
        <v>45975.444282407407</v>
      </c>
      <c r="Q232" s="2">
        <f t="shared" si="35"/>
        <v>45978</v>
      </c>
      <c r="R232" s="2">
        <v>45975.643182870372</v>
      </c>
      <c r="S232">
        <f t="shared" si="36"/>
        <v>0</v>
      </c>
      <c r="T232" s="2">
        <f t="shared" si="37"/>
        <v>45978</v>
      </c>
      <c r="U232" t="str">
        <f t="shared" si="38"/>
        <v>NO PRAZO</v>
      </c>
      <c r="Z232" s="5" t="s">
        <v>255</v>
      </c>
    </row>
    <row r="233" spans="1:26" hidden="1">
      <c r="A233" s="1">
        <v>21312</v>
      </c>
      <c r="B233" t="s">
        <v>20</v>
      </c>
      <c r="C233" t="s">
        <v>13</v>
      </c>
      <c r="D233" t="s">
        <v>18</v>
      </c>
      <c r="E233" s="1">
        <v>2224</v>
      </c>
      <c r="F233" s="1">
        <v>2025</v>
      </c>
      <c r="G233" t="s">
        <v>11</v>
      </c>
      <c r="H233" s="2">
        <v>45968.792141203703</v>
      </c>
      <c r="I233" s="9">
        <f t="shared" si="30"/>
        <v>45973</v>
      </c>
      <c r="J233" s="2" t="str">
        <f t="shared" si="31"/>
        <v/>
      </c>
      <c r="L233" s="2" t="str">
        <f t="shared" si="32"/>
        <v/>
      </c>
      <c r="N233" s="10" t="str">
        <f t="shared" si="33"/>
        <v/>
      </c>
      <c r="O233" s="2">
        <f t="shared" si="34"/>
        <v>45973</v>
      </c>
      <c r="P233" s="2">
        <v>45972.346655092595</v>
      </c>
      <c r="Q233" s="2">
        <f t="shared" si="35"/>
        <v>45979</v>
      </c>
      <c r="R233" s="2">
        <v>45973.404317129629</v>
      </c>
      <c r="S233">
        <f t="shared" si="36"/>
        <v>0</v>
      </c>
      <c r="T233" s="2">
        <f t="shared" si="37"/>
        <v>45979</v>
      </c>
      <c r="U233" t="str">
        <f t="shared" si="38"/>
        <v>NO PRAZO</v>
      </c>
      <c r="Z233" s="5" t="s">
        <v>256</v>
      </c>
    </row>
    <row r="234" spans="1:26" hidden="1">
      <c r="A234" s="1">
        <v>21311</v>
      </c>
      <c r="B234" t="s">
        <v>15</v>
      </c>
      <c r="C234" t="s">
        <v>13</v>
      </c>
      <c r="D234" t="s">
        <v>14</v>
      </c>
      <c r="E234" s="1">
        <v>2223</v>
      </c>
      <c r="F234" s="1">
        <v>2025</v>
      </c>
      <c r="G234" t="s">
        <v>11</v>
      </c>
      <c r="H234" s="2">
        <v>45968.792141203703</v>
      </c>
      <c r="I234" s="9">
        <f t="shared" si="30"/>
        <v>45971</v>
      </c>
      <c r="J234" s="2" t="str">
        <f t="shared" si="31"/>
        <v/>
      </c>
      <c r="L234" s="2" t="str">
        <f t="shared" si="32"/>
        <v/>
      </c>
      <c r="N234" s="10" t="str">
        <f t="shared" si="33"/>
        <v/>
      </c>
      <c r="O234" s="2">
        <f t="shared" si="34"/>
        <v>45971</v>
      </c>
      <c r="P234" s="2">
        <v>45971.425509259258</v>
      </c>
      <c r="Q234" s="2">
        <f t="shared" si="35"/>
        <v>45972</v>
      </c>
      <c r="R234" s="2">
        <v>45971.442291666666</v>
      </c>
      <c r="S234">
        <f t="shared" si="36"/>
        <v>0</v>
      </c>
      <c r="T234" s="2">
        <f t="shared" si="37"/>
        <v>45972</v>
      </c>
      <c r="U234" t="str">
        <f t="shared" si="38"/>
        <v>NO PRAZO</v>
      </c>
      <c r="Z234" s="5" t="s">
        <v>257</v>
      </c>
    </row>
    <row r="235" spans="1:26" hidden="1">
      <c r="A235" s="1">
        <v>21301</v>
      </c>
      <c r="B235" t="s">
        <v>17</v>
      </c>
      <c r="C235" t="s">
        <v>13</v>
      </c>
      <c r="D235" t="s">
        <v>18</v>
      </c>
      <c r="E235" s="1">
        <v>2213</v>
      </c>
      <c r="F235" s="1">
        <v>2025</v>
      </c>
      <c r="G235" t="s">
        <v>11</v>
      </c>
      <c r="H235" s="2">
        <v>45968.378854166665</v>
      </c>
      <c r="I235" s="9">
        <f t="shared" si="30"/>
        <v>45973</v>
      </c>
      <c r="J235" s="2" t="str">
        <f t="shared" si="31"/>
        <v/>
      </c>
      <c r="L235" s="2" t="str">
        <f t="shared" si="32"/>
        <v/>
      </c>
      <c r="N235" s="10" t="str">
        <f t="shared" si="33"/>
        <v/>
      </c>
      <c r="O235" s="2">
        <f t="shared" si="34"/>
        <v>45973</v>
      </c>
      <c r="P235" s="2">
        <v>45968.40215277778</v>
      </c>
      <c r="Q235" s="2">
        <f t="shared" si="35"/>
        <v>45979</v>
      </c>
      <c r="R235" s="2">
        <v>45968.416990740741</v>
      </c>
      <c r="S235">
        <f t="shared" si="36"/>
        <v>0</v>
      </c>
      <c r="T235" s="2">
        <f t="shared" si="37"/>
        <v>45979</v>
      </c>
      <c r="U235" t="str">
        <f t="shared" si="38"/>
        <v>NO PRAZO</v>
      </c>
      <c r="Z235" s="5" t="s">
        <v>258</v>
      </c>
    </row>
    <row r="236" spans="1:26" hidden="1">
      <c r="A236" s="1">
        <v>21285</v>
      </c>
      <c r="B236" t="s">
        <v>17</v>
      </c>
      <c r="C236" t="s">
        <v>13</v>
      </c>
      <c r="D236" t="s">
        <v>18</v>
      </c>
      <c r="E236" s="1">
        <v>2197</v>
      </c>
      <c r="F236" s="1">
        <v>2025</v>
      </c>
      <c r="G236" t="s">
        <v>11</v>
      </c>
      <c r="H236" s="2">
        <v>45966.417060185187</v>
      </c>
      <c r="I236" s="9">
        <f t="shared" si="30"/>
        <v>45971</v>
      </c>
      <c r="J236" s="2" t="str">
        <f t="shared" si="31"/>
        <v/>
      </c>
      <c r="L236" s="2" t="str">
        <f t="shared" si="32"/>
        <v/>
      </c>
      <c r="N236" s="10" t="str">
        <f t="shared" si="33"/>
        <v/>
      </c>
      <c r="O236" s="2">
        <f t="shared" si="34"/>
        <v>45971</v>
      </c>
      <c r="P236" s="2">
        <v>45967.504224537035</v>
      </c>
      <c r="Q236" s="2">
        <f t="shared" si="35"/>
        <v>45975</v>
      </c>
      <c r="R236" s="2">
        <v>45972.565833333334</v>
      </c>
      <c r="S236">
        <f t="shared" si="36"/>
        <v>0</v>
      </c>
      <c r="T236" s="2">
        <f t="shared" si="37"/>
        <v>45975</v>
      </c>
      <c r="U236" t="str">
        <f t="shared" si="38"/>
        <v>NO PRAZO</v>
      </c>
      <c r="Z236" s="5" t="s">
        <v>259</v>
      </c>
    </row>
    <row r="237" spans="1:26" hidden="1">
      <c r="A237" s="1">
        <v>21274</v>
      </c>
      <c r="B237" t="s">
        <v>19</v>
      </c>
      <c r="C237" t="s">
        <v>13</v>
      </c>
      <c r="D237" t="s">
        <v>18</v>
      </c>
      <c r="E237" s="1">
        <v>2186</v>
      </c>
      <c r="F237" s="1">
        <v>2025</v>
      </c>
      <c r="G237" t="s">
        <v>11</v>
      </c>
      <c r="H237" s="2">
        <v>45965.458680555559</v>
      </c>
      <c r="I237" s="9">
        <f t="shared" si="30"/>
        <v>45968</v>
      </c>
      <c r="J237" s="2" t="str">
        <f t="shared" si="31"/>
        <v/>
      </c>
      <c r="L237" s="2" t="str">
        <f t="shared" si="32"/>
        <v/>
      </c>
      <c r="N237" s="10" t="str">
        <f t="shared" si="33"/>
        <v/>
      </c>
      <c r="O237" s="2">
        <f t="shared" si="34"/>
        <v>45968</v>
      </c>
      <c r="P237" s="2">
        <v>45972.479849537034</v>
      </c>
      <c r="Q237" s="2">
        <f t="shared" si="35"/>
        <v>45974</v>
      </c>
      <c r="R237" s="2">
        <v>45972.77952546296</v>
      </c>
      <c r="S237">
        <f t="shared" si="36"/>
        <v>0</v>
      </c>
      <c r="T237" s="2">
        <f t="shared" si="37"/>
        <v>45974</v>
      </c>
      <c r="U237" t="str">
        <f t="shared" si="38"/>
        <v>NO PRAZO</v>
      </c>
      <c r="Z237" s="5" t="s">
        <v>260</v>
      </c>
    </row>
    <row r="238" spans="1:26" hidden="1">
      <c r="A238" s="1">
        <v>21271</v>
      </c>
      <c r="B238" t="s">
        <v>17</v>
      </c>
      <c r="C238" t="s">
        <v>13</v>
      </c>
      <c r="D238" t="s">
        <v>18</v>
      </c>
      <c r="E238" s="1">
        <v>2183</v>
      </c>
      <c r="F238" s="1">
        <v>2025</v>
      </c>
      <c r="G238" t="s">
        <v>11</v>
      </c>
      <c r="H238" s="2">
        <v>45964.833495370367</v>
      </c>
      <c r="I238" s="9">
        <f t="shared" si="30"/>
        <v>45967</v>
      </c>
      <c r="J238" s="2" t="str">
        <f t="shared" si="31"/>
        <v/>
      </c>
      <c r="L238" s="2" t="str">
        <f t="shared" si="32"/>
        <v/>
      </c>
      <c r="N238" s="10" t="str">
        <f t="shared" si="33"/>
        <v/>
      </c>
      <c r="O238" s="2">
        <f t="shared" si="34"/>
        <v>45967</v>
      </c>
      <c r="P238" s="2">
        <v>45966.37159722222</v>
      </c>
      <c r="Q238" s="2">
        <f t="shared" si="35"/>
        <v>45973</v>
      </c>
      <c r="R238" s="2">
        <v>45967.441840277781</v>
      </c>
      <c r="S238">
        <f t="shared" si="36"/>
        <v>0</v>
      </c>
      <c r="T238" s="2">
        <f t="shared" si="37"/>
        <v>45973</v>
      </c>
      <c r="U238" t="str">
        <f t="shared" si="38"/>
        <v>NO PRAZO</v>
      </c>
      <c r="Z238" s="5" t="s">
        <v>261</v>
      </c>
    </row>
    <row r="239" spans="1:26" hidden="1">
      <c r="A239" s="1">
        <v>21269</v>
      </c>
      <c r="B239" t="s">
        <v>12</v>
      </c>
      <c r="C239" t="s">
        <v>13</v>
      </c>
      <c r="D239" t="s">
        <v>16</v>
      </c>
      <c r="E239" s="1">
        <v>2181</v>
      </c>
      <c r="F239" s="1">
        <v>2025</v>
      </c>
      <c r="G239" t="s">
        <v>11</v>
      </c>
      <c r="H239" s="2">
        <v>45964.583645833336</v>
      </c>
      <c r="I239" s="9">
        <f t="shared" si="30"/>
        <v>45965</v>
      </c>
      <c r="J239" s="2" t="str">
        <f t="shared" si="31"/>
        <v/>
      </c>
      <c r="L239" s="2" t="str">
        <f t="shared" si="32"/>
        <v/>
      </c>
      <c r="N239" s="10" t="str">
        <f t="shared" si="33"/>
        <v/>
      </c>
      <c r="O239" s="2">
        <f t="shared" si="34"/>
        <v>45965</v>
      </c>
      <c r="P239" s="2">
        <v>45971.602129629631</v>
      </c>
      <c r="Q239" s="2">
        <f t="shared" si="35"/>
        <v>45971</v>
      </c>
      <c r="R239" s="2">
        <v>45971.654432870368</v>
      </c>
      <c r="S239">
        <f t="shared" si="36"/>
        <v>0</v>
      </c>
      <c r="T239" s="2">
        <f t="shared" si="37"/>
        <v>45971</v>
      </c>
      <c r="U239" t="str">
        <f t="shared" si="38"/>
        <v>NO PRAZO</v>
      </c>
      <c r="Z239" s="5" t="s">
        <v>262</v>
      </c>
    </row>
    <row r="240" spans="1:26" hidden="1">
      <c r="A240" s="1">
        <v>21268</v>
      </c>
      <c r="B240" t="s">
        <v>15</v>
      </c>
      <c r="C240" t="s">
        <v>13</v>
      </c>
      <c r="D240" t="s">
        <v>18</v>
      </c>
      <c r="E240" s="1">
        <v>2180</v>
      </c>
      <c r="F240" s="1">
        <v>2025</v>
      </c>
      <c r="G240" t="s">
        <v>11</v>
      </c>
      <c r="H240" s="2">
        <v>45964.407893518517</v>
      </c>
      <c r="I240" s="9">
        <f>IF(OR(D240="ORIENTAÇÃO",D240="BUG IMPEDITIVO",D240="BUG NÃO IMPEDITIVO"),WORKDAY(H240,1,Z$2:Z$500),IF(OR(D240="MELHORIA PEQUENA",D240="MELHORIA MÉDIA"),WORKDAY(H240,3,Z$2:Z$500),""))</f>
        <v>45967</v>
      </c>
      <c r="J240" s="2" t="str">
        <f t="shared" si="31"/>
        <v/>
      </c>
      <c r="L240" s="2" t="str">
        <f t="shared" si="32"/>
        <v/>
      </c>
      <c r="N240" s="10" t="str">
        <f t="shared" si="33"/>
        <v/>
      </c>
      <c r="O240" s="2">
        <f t="shared" si="34"/>
        <v>45967</v>
      </c>
      <c r="P240" s="2">
        <v>45964.413414351853</v>
      </c>
      <c r="Q240" s="2">
        <f t="shared" si="35"/>
        <v>45973</v>
      </c>
      <c r="R240" s="2">
        <v>45964.467858796299</v>
      </c>
      <c r="S240">
        <f t="shared" si="36"/>
        <v>0</v>
      </c>
      <c r="T240" s="2">
        <f t="shared" si="37"/>
        <v>45973</v>
      </c>
      <c r="U240" t="str">
        <f t="shared" si="38"/>
        <v>NO PRAZO</v>
      </c>
      <c r="Z240" s="5" t="s">
        <v>263</v>
      </c>
    </row>
    <row r="241" spans="1:26" hidden="1">
      <c r="A241" s="1">
        <v>21265</v>
      </c>
      <c r="B241" t="s">
        <v>17</v>
      </c>
      <c r="C241" t="s">
        <v>13</v>
      </c>
      <c r="D241" t="s">
        <v>18</v>
      </c>
      <c r="E241" s="1">
        <v>2177</v>
      </c>
      <c r="F241" s="1">
        <v>2025</v>
      </c>
      <c r="G241" t="s">
        <v>11</v>
      </c>
      <c r="H241" s="2">
        <v>45961.709004629629</v>
      </c>
      <c r="I241" s="9">
        <f t="shared" si="30"/>
        <v>45966</v>
      </c>
      <c r="J241" s="2" t="str">
        <f t="shared" si="31"/>
        <v/>
      </c>
      <c r="L241" s="2" t="str">
        <f t="shared" si="32"/>
        <v/>
      </c>
      <c r="N241" s="10" t="str">
        <f t="shared" si="33"/>
        <v/>
      </c>
      <c r="O241" s="2">
        <f t="shared" si="34"/>
        <v>45966</v>
      </c>
      <c r="P241" s="2">
        <v>45964.608275462961</v>
      </c>
      <c r="Q241" s="2">
        <f t="shared" si="35"/>
        <v>45972</v>
      </c>
      <c r="R241" s="2">
        <v>45966.644282407404</v>
      </c>
      <c r="S241">
        <f t="shared" si="36"/>
        <v>0</v>
      </c>
      <c r="T241" s="2">
        <f t="shared" si="37"/>
        <v>45972</v>
      </c>
      <c r="U241" t="str">
        <f t="shared" si="38"/>
        <v>NO PRAZO</v>
      </c>
      <c r="Z241" s="4" t="s">
        <v>264</v>
      </c>
    </row>
    <row r="242" spans="1:26" hidden="1">
      <c r="A242" s="1">
        <v>21261</v>
      </c>
      <c r="B242" t="s">
        <v>24</v>
      </c>
      <c r="C242" t="s">
        <v>13</v>
      </c>
      <c r="D242" t="s">
        <v>10</v>
      </c>
      <c r="E242" s="1">
        <v>2173</v>
      </c>
      <c r="F242" s="1">
        <v>2025</v>
      </c>
      <c r="G242" t="s">
        <v>11</v>
      </c>
      <c r="H242" s="2">
        <v>45961.417326388888</v>
      </c>
      <c r="I242" s="9">
        <f t="shared" si="30"/>
        <v>45964</v>
      </c>
      <c r="J242" s="2" t="str">
        <f t="shared" si="31"/>
        <v/>
      </c>
      <c r="L242" s="2" t="str">
        <f t="shared" si="32"/>
        <v/>
      </c>
      <c r="N242" s="10" t="str">
        <f t="shared" si="33"/>
        <v/>
      </c>
      <c r="O242" s="2">
        <f t="shared" si="34"/>
        <v>45964</v>
      </c>
      <c r="P242" s="2">
        <v>45965.489803240744</v>
      </c>
      <c r="Q242" s="2">
        <f t="shared" si="35"/>
        <v>45965</v>
      </c>
      <c r="R242" s="2">
        <v>45965.515567129631</v>
      </c>
      <c r="S242">
        <f t="shared" si="36"/>
        <v>0</v>
      </c>
      <c r="T242" s="2">
        <f t="shared" si="37"/>
        <v>45965</v>
      </c>
      <c r="U242" t="str">
        <f t="shared" si="38"/>
        <v>NO PRAZO</v>
      </c>
      <c r="Z242" s="5" t="s">
        <v>265</v>
      </c>
    </row>
    <row r="243" spans="1:26" hidden="1">
      <c r="A243" s="1">
        <v>21247</v>
      </c>
      <c r="B243" t="s">
        <v>20</v>
      </c>
      <c r="C243" t="s">
        <v>13</v>
      </c>
      <c r="D243" t="s">
        <v>21</v>
      </c>
      <c r="E243" s="1">
        <v>2159</v>
      </c>
      <c r="F243" s="1">
        <v>2025</v>
      </c>
      <c r="G243" t="s">
        <v>11</v>
      </c>
      <c r="H243" s="2">
        <v>45960.583981481483</v>
      </c>
      <c r="I243" s="9">
        <f t="shared" si="30"/>
        <v>45965</v>
      </c>
      <c r="J243" s="2" t="str">
        <f t="shared" si="31"/>
        <v/>
      </c>
      <c r="L243" s="2" t="str">
        <f t="shared" si="32"/>
        <v/>
      </c>
      <c r="N243" s="10" t="str">
        <f t="shared" si="33"/>
        <v/>
      </c>
      <c r="O243" s="2">
        <f t="shared" si="34"/>
        <v>45965</v>
      </c>
      <c r="P243" s="2">
        <v>45987.44059027778</v>
      </c>
      <c r="Q243" s="2">
        <f t="shared" si="35"/>
        <v>45993</v>
      </c>
      <c r="R243" s="2">
        <v>45987.694699074076</v>
      </c>
      <c r="S243">
        <f t="shared" si="36"/>
        <v>0</v>
      </c>
      <c r="T243" s="2">
        <f t="shared" si="37"/>
        <v>45993</v>
      </c>
      <c r="U243" t="str">
        <f t="shared" si="38"/>
        <v>NO PRAZO</v>
      </c>
      <c r="Z243" s="6" t="s">
        <v>266</v>
      </c>
    </row>
    <row r="244" spans="1:26" hidden="1">
      <c r="A244" s="1">
        <v>21224</v>
      </c>
      <c r="B244" t="s">
        <v>15</v>
      </c>
      <c r="C244" t="s">
        <v>13</v>
      </c>
      <c r="D244" t="s">
        <v>16</v>
      </c>
      <c r="E244" s="1">
        <v>2136</v>
      </c>
      <c r="F244" s="1">
        <v>2025</v>
      </c>
      <c r="G244" t="s">
        <v>11</v>
      </c>
      <c r="H244" s="2">
        <v>45958.417222222219</v>
      </c>
      <c r="I244" s="9">
        <f t="shared" si="30"/>
        <v>45959</v>
      </c>
      <c r="J244" s="2" t="str">
        <f t="shared" si="31"/>
        <v/>
      </c>
      <c r="L244" s="2" t="str">
        <f t="shared" si="32"/>
        <v/>
      </c>
      <c r="N244" s="10" t="str">
        <f t="shared" si="33"/>
        <v/>
      </c>
      <c r="O244" s="2">
        <f t="shared" si="34"/>
        <v>45959</v>
      </c>
      <c r="P244" s="2">
        <v>45959.633449074077</v>
      </c>
      <c r="Q244" s="2">
        <f t="shared" si="35"/>
        <v>45965</v>
      </c>
      <c r="R244" s="2">
        <v>45965.802094907405</v>
      </c>
      <c r="S244">
        <f t="shared" si="36"/>
        <v>0</v>
      </c>
      <c r="T244" s="2">
        <f t="shared" si="37"/>
        <v>45965</v>
      </c>
      <c r="U244" t="str">
        <f t="shared" si="38"/>
        <v>NO PRAZO</v>
      </c>
      <c r="Z244" s="4" t="s">
        <v>267</v>
      </c>
    </row>
    <row r="245" spans="1:26" hidden="1">
      <c r="A245" s="1">
        <v>21223</v>
      </c>
      <c r="B245" t="s">
        <v>19</v>
      </c>
      <c r="C245" t="s">
        <v>13</v>
      </c>
      <c r="D245" t="s">
        <v>16</v>
      </c>
      <c r="E245" s="1">
        <v>2135</v>
      </c>
      <c r="F245" s="1">
        <v>2025</v>
      </c>
      <c r="G245" t="s">
        <v>11</v>
      </c>
      <c r="H245" s="2">
        <v>45958.375578703701</v>
      </c>
      <c r="I245" s="9">
        <f t="shared" si="30"/>
        <v>45959</v>
      </c>
      <c r="J245" s="2" t="str">
        <f t="shared" si="31"/>
        <v/>
      </c>
      <c r="L245" s="2" t="str">
        <f t="shared" si="32"/>
        <v/>
      </c>
      <c r="N245" s="10" t="str">
        <f t="shared" si="33"/>
        <v/>
      </c>
      <c r="O245" s="2">
        <f t="shared" si="34"/>
        <v>45959</v>
      </c>
      <c r="P245" s="2">
        <v>45959.684699074074</v>
      </c>
      <c r="Q245" s="2">
        <f t="shared" si="35"/>
        <v>45965</v>
      </c>
      <c r="R245" s="2">
        <v>45965.800416666665</v>
      </c>
      <c r="S245">
        <f t="shared" si="36"/>
        <v>0</v>
      </c>
      <c r="T245" s="2">
        <f t="shared" si="37"/>
        <v>45965</v>
      </c>
      <c r="U245" t="str">
        <f t="shared" si="38"/>
        <v>NO PRAZO</v>
      </c>
      <c r="Z245" s="8" t="s">
        <v>268</v>
      </c>
    </row>
    <row r="246" spans="1:26" hidden="1">
      <c r="A246" s="1">
        <v>21219</v>
      </c>
      <c r="B246" t="s">
        <v>22</v>
      </c>
      <c r="C246" t="s">
        <v>13</v>
      </c>
      <c r="D246" t="s">
        <v>10</v>
      </c>
      <c r="E246" s="1">
        <v>2131</v>
      </c>
      <c r="F246" s="1">
        <v>2025</v>
      </c>
      <c r="G246" t="s">
        <v>11</v>
      </c>
      <c r="H246" s="2">
        <v>45954.500416666669</v>
      </c>
      <c r="I246" s="9">
        <f t="shared" ref="I246:I254" si="39">IF(OR(D246="ORIENTAÇÃO",D246="BUG IMPEDITIVO",D246="BUG NÃO IMPEDITIVO"),WORKDAY(H246,1,Z$2:Z$500),IF(OR(D246="MELHORIA PEQUENA",D246="MELHORIA MÉDIA"),WORKDAY(H246,3,Z$2:Z$500),""))</f>
        <v>45957</v>
      </c>
      <c r="J246" s="2" t="str">
        <f t="shared" si="31"/>
        <v/>
      </c>
      <c r="L246" s="2" t="str">
        <f t="shared" si="32"/>
        <v/>
      </c>
      <c r="N246" s="10" t="str">
        <f t="shared" si="33"/>
        <v/>
      </c>
      <c r="O246" s="2">
        <f t="shared" si="34"/>
        <v>45957</v>
      </c>
      <c r="P246" s="2">
        <v>45958.649039351854</v>
      </c>
      <c r="Q246" s="2">
        <f t="shared" si="35"/>
        <v>45958</v>
      </c>
      <c r="R246" s="2">
        <v>45958.665694444448</v>
      </c>
      <c r="S246">
        <f t="shared" si="36"/>
        <v>0</v>
      </c>
      <c r="T246" s="2">
        <f t="shared" si="37"/>
        <v>45958</v>
      </c>
      <c r="U246" t="str">
        <f t="shared" si="38"/>
        <v>NO PRAZO</v>
      </c>
      <c r="Z246" s="5" t="s">
        <v>269</v>
      </c>
    </row>
    <row r="247" spans="1:26" hidden="1">
      <c r="A247" s="1">
        <v>21218</v>
      </c>
      <c r="B247" t="s">
        <v>20</v>
      </c>
      <c r="C247" t="s">
        <v>13</v>
      </c>
      <c r="D247" t="s">
        <v>18</v>
      </c>
      <c r="E247" s="1">
        <v>2130</v>
      </c>
      <c r="F247" s="1">
        <v>2025</v>
      </c>
      <c r="G247" t="s">
        <v>11</v>
      </c>
      <c r="H247" s="2">
        <v>45954.430995370371</v>
      </c>
      <c r="I247" s="9">
        <f t="shared" si="39"/>
        <v>45959</v>
      </c>
      <c r="J247" s="2" t="str">
        <f t="shared" si="31"/>
        <v/>
      </c>
      <c r="L247" s="2" t="str">
        <f t="shared" si="32"/>
        <v/>
      </c>
      <c r="N247" s="10" t="str">
        <f t="shared" si="33"/>
        <v/>
      </c>
      <c r="O247" s="2">
        <f t="shared" si="34"/>
        <v>45959</v>
      </c>
      <c r="P247" s="2">
        <v>45961.45925925926</v>
      </c>
      <c r="Q247" s="2">
        <f t="shared" si="35"/>
        <v>45965</v>
      </c>
      <c r="R247" s="2">
        <v>45961.480891203704</v>
      </c>
      <c r="S247">
        <f t="shared" si="36"/>
        <v>0</v>
      </c>
      <c r="T247" s="2">
        <f t="shared" si="37"/>
        <v>45965</v>
      </c>
      <c r="U247" t="str">
        <f t="shared" si="38"/>
        <v>NO PRAZO</v>
      </c>
      <c r="Z247" s="5" t="s">
        <v>270</v>
      </c>
    </row>
    <row r="248" spans="1:26" hidden="1">
      <c r="A248" s="1">
        <v>21217</v>
      </c>
      <c r="B248" t="s">
        <v>20</v>
      </c>
      <c r="C248" t="s">
        <v>13</v>
      </c>
      <c r="D248" t="s">
        <v>18</v>
      </c>
      <c r="E248" s="1">
        <v>2129</v>
      </c>
      <c r="F248" s="1">
        <v>2025</v>
      </c>
      <c r="G248" t="s">
        <v>11</v>
      </c>
      <c r="H248" s="2">
        <v>45954.413159722222</v>
      </c>
      <c r="I248" s="9">
        <f t="shared" si="39"/>
        <v>45959</v>
      </c>
      <c r="J248" s="2" t="str">
        <f t="shared" si="31"/>
        <v/>
      </c>
      <c r="L248" s="2" t="str">
        <f t="shared" si="32"/>
        <v/>
      </c>
      <c r="N248" s="10" t="str">
        <f t="shared" si="33"/>
        <v/>
      </c>
      <c r="O248" s="2">
        <f t="shared" si="34"/>
        <v>45959</v>
      </c>
      <c r="P248" s="2">
        <v>45961.484085648146</v>
      </c>
      <c r="Q248" s="2">
        <f t="shared" si="35"/>
        <v>45965</v>
      </c>
      <c r="R248" s="2">
        <v>45961.595949074072</v>
      </c>
      <c r="S248">
        <f t="shared" si="36"/>
        <v>0</v>
      </c>
      <c r="T248" s="2">
        <f t="shared" si="37"/>
        <v>45965</v>
      </c>
      <c r="U248" t="str">
        <f t="shared" si="38"/>
        <v>NO PRAZO</v>
      </c>
      <c r="Z248" s="4" t="s">
        <v>271</v>
      </c>
    </row>
    <row r="249" spans="1:26" hidden="1">
      <c r="A249" s="1">
        <v>21206</v>
      </c>
      <c r="B249" t="s">
        <v>20</v>
      </c>
      <c r="C249" t="s">
        <v>13</v>
      </c>
      <c r="D249" t="s">
        <v>16</v>
      </c>
      <c r="E249" s="1">
        <v>2118</v>
      </c>
      <c r="F249" s="1">
        <v>2025</v>
      </c>
      <c r="G249" t="s">
        <v>11</v>
      </c>
      <c r="H249" s="2">
        <v>45951.625300925924</v>
      </c>
      <c r="I249" s="9">
        <f t="shared" si="39"/>
        <v>45952</v>
      </c>
      <c r="J249" s="2" t="str">
        <f t="shared" si="31"/>
        <v/>
      </c>
      <c r="L249" s="2" t="str">
        <f t="shared" si="32"/>
        <v/>
      </c>
      <c r="N249" s="10" t="str">
        <f t="shared" si="33"/>
        <v/>
      </c>
      <c r="O249" s="2">
        <f t="shared" si="34"/>
        <v>45952</v>
      </c>
      <c r="P249" s="2">
        <v>45958.470324074071</v>
      </c>
      <c r="Q249" s="2">
        <f t="shared" si="35"/>
        <v>45958</v>
      </c>
      <c r="R249" s="2">
        <v>45958.692326388889</v>
      </c>
      <c r="S249">
        <f t="shared" si="36"/>
        <v>0</v>
      </c>
      <c r="T249" s="2">
        <f t="shared" si="37"/>
        <v>45958</v>
      </c>
      <c r="U249" t="str">
        <f t="shared" si="38"/>
        <v>NO PRAZO</v>
      </c>
      <c r="Z249" s="5" t="s">
        <v>272</v>
      </c>
    </row>
    <row r="250" spans="1:26" hidden="1">
      <c r="A250" s="1">
        <v>21199</v>
      </c>
      <c r="B250" t="s">
        <v>12</v>
      </c>
      <c r="C250" t="s">
        <v>13</v>
      </c>
      <c r="D250" t="s">
        <v>16</v>
      </c>
      <c r="E250" s="1">
        <v>2111</v>
      </c>
      <c r="F250" s="1">
        <v>2025</v>
      </c>
      <c r="G250" t="s">
        <v>11</v>
      </c>
      <c r="H250" s="2">
        <v>45950.442615740743</v>
      </c>
      <c r="I250" s="9">
        <f t="shared" si="39"/>
        <v>45951</v>
      </c>
      <c r="J250" s="2" t="str">
        <f t="shared" si="31"/>
        <v/>
      </c>
      <c r="L250" s="2" t="str">
        <f t="shared" si="32"/>
        <v/>
      </c>
      <c r="N250" s="10" t="str">
        <f t="shared" si="33"/>
        <v/>
      </c>
      <c r="O250" s="2">
        <f t="shared" si="34"/>
        <v>45951</v>
      </c>
      <c r="P250" s="2">
        <v>45950.470578703702</v>
      </c>
      <c r="Q250" s="2">
        <f t="shared" si="35"/>
        <v>45957</v>
      </c>
      <c r="R250" s="2">
        <v>45950.471493055556</v>
      </c>
      <c r="S250">
        <f t="shared" si="36"/>
        <v>0</v>
      </c>
      <c r="T250" s="2">
        <f t="shared" si="37"/>
        <v>45957</v>
      </c>
      <c r="U250" t="str">
        <f t="shared" si="38"/>
        <v>NO PRAZO</v>
      </c>
      <c r="Z250" s="5" t="s">
        <v>273</v>
      </c>
    </row>
    <row r="251" spans="1:26" hidden="1">
      <c r="A251" s="1">
        <v>21195</v>
      </c>
      <c r="B251" t="s">
        <v>20</v>
      </c>
      <c r="C251" t="s">
        <v>13</v>
      </c>
      <c r="D251" t="s">
        <v>14</v>
      </c>
      <c r="E251" s="1">
        <v>2107</v>
      </c>
      <c r="F251" s="1">
        <v>2025</v>
      </c>
      <c r="G251" t="s">
        <v>11</v>
      </c>
      <c r="H251" s="2">
        <v>45947.667581018519</v>
      </c>
      <c r="I251" s="9">
        <f t="shared" si="39"/>
        <v>45950</v>
      </c>
      <c r="J251" s="2" t="str">
        <f t="shared" si="31"/>
        <v/>
      </c>
      <c r="L251" s="2" t="str">
        <f t="shared" si="32"/>
        <v/>
      </c>
      <c r="N251" s="10" t="str">
        <f t="shared" si="33"/>
        <v/>
      </c>
      <c r="O251" s="2">
        <f t="shared" si="34"/>
        <v>45950</v>
      </c>
      <c r="P251" s="2">
        <v>45950.444155092591</v>
      </c>
      <c r="Q251" s="2">
        <f t="shared" si="35"/>
        <v>45951</v>
      </c>
      <c r="R251" s="2">
        <v>45950.68173611111</v>
      </c>
      <c r="S251">
        <f t="shared" si="36"/>
        <v>0</v>
      </c>
      <c r="T251" s="2">
        <f t="shared" si="37"/>
        <v>45951</v>
      </c>
      <c r="U251" t="str">
        <f t="shared" si="38"/>
        <v>NO PRAZO</v>
      </c>
      <c r="Z251" s="5" t="s">
        <v>274</v>
      </c>
    </row>
    <row r="252" spans="1:26">
      <c r="A252" s="1">
        <v>21183</v>
      </c>
      <c r="B252" t="s">
        <v>19</v>
      </c>
      <c r="C252" t="s">
        <v>13</v>
      </c>
      <c r="D252" t="s">
        <v>16</v>
      </c>
      <c r="E252" s="1">
        <v>2095</v>
      </c>
      <c r="F252" s="1">
        <v>2025</v>
      </c>
      <c r="G252" t="s">
        <v>11</v>
      </c>
      <c r="H252" s="2">
        <v>45946.584398148145</v>
      </c>
      <c r="I252" s="9">
        <f t="shared" si="39"/>
        <v>45947</v>
      </c>
      <c r="J252" s="2" t="str">
        <f t="shared" si="31"/>
        <v/>
      </c>
      <c r="L252" s="2" t="str">
        <f t="shared" si="32"/>
        <v/>
      </c>
      <c r="N252" s="10" t="str">
        <f t="shared" si="33"/>
        <v/>
      </c>
      <c r="O252" s="2">
        <f t="shared" si="34"/>
        <v>45947</v>
      </c>
      <c r="P252" s="2">
        <v>45954.69736111111</v>
      </c>
      <c r="Q252" s="2">
        <f t="shared" si="35"/>
        <v>45953</v>
      </c>
      <c r="R252" s="2">
        <v>45954.697824074072</v>
      </c>
      <c r="S252">
        <f t="shared" si="36"/>
        <v>1</v>
      </c>
      <c r="T252" s="2">
        <f t="shared" si="37"/>
        <v>45953</v>
      </c>
      <c r="U252" t="str">
        <f t="shared" si="38"/>
        <v>ATRASO</v>
      </c>
      <c r="Z252" s="5" t="s">
        <v>275</v>
      </c>
    </row>
    <row r="253" spans="1:26" hidden="1">
      <c r="A253" s="1">
        <v>21177</v>
      </c>
      <c r="B253" t="s">
        <v>17</v>
      </c>
      <c r="C253" t="s">
        <v>13</v>
      </c>
      <c r="D253" t="s">
        <v>18</v>
      </c>
      <c r="E253" s="1">
        <v>2089</v>
      </c>
      <c r="F253" s="1">
        <v>2025</v>
      </c>
      <c r="G253" t="s">
        <v>11</v>
      </c>
      <c r="H253" s="2">
        <v>45945.834108796298</v>
      </c>
      <c r="I253" s="9">
        <f t="shared" si="39"/>
        <v>45950</v>
      </c>
      <c r="J253" s="2" t="str">
        <f t="shared" si="31"/>
        <v/>
      </c>
      <c r="L253" s="2" t="str">
        <f t="shared" si="32"/>
        <v/>
      </c>
      <c r="N253" s="10" t="str">
        <f t="shared" si="33"/>
        <v/>
      </c>
      <c r="O253" s="2">
        <f t="shared" si="34"/>
        <v>45950</v>
      </c>
      <c r="P253" s="2">
        <v>45950.617361111108</v>
      </c>
      <c r="Q253" s="2">
        <f t="shared" si="35"/>
        <v>45954</v>
      </c>
      <c r="R253" s="2">
        <v>45950.621388888889</v>
      </c>
      <c r="S253">
        <f t="shared" si="36"/>
        <v>0</v>
      </c>
      <c r="T253" s="2">
        <f t="shared" si="37"/>
        <v>45954</v>
      </c>
      <c r="U253" t="str">
        <f t="shared" si="38"/>
        <v>NO PRAZO</v>
      </c>
      <c r="Z253" s="5" t="s">
        <v>276</v>
      </c>
    </row>
    <row r="254" spans="1:26" hidden="1">
      <c r="A254" s="1">
        <v>21171</v>
      </c>
      <c r="B254" t="s">
        <v>19</v>
      </c>
      <c r="C254" t="s">
        <v>13</v>
      </c>
      <c r="D254" t="s">
        <v>16</v>
      </c>
      <c r="E254" s="1">
        <v>2083</v>
      </c>
      <c r="F254" s="1">
        <v>2025</v>
      </c>
      <c r="G254" t="s">
        <v>11</v>
      </c>
      <c r="H254" s="2">
        <v>45945.500740740739</v>
      </c>
      <c r="I254" s="9">
        <f t="shared" si="39"/>
        <v>45946</v>
      </c>
      <c r="J254" s="2" t="str">
        <f t="shared" si="31"/>
        <v/>
      </c>
      <c r="L254" s="2" t="str">
        <f t="shared" si="32"/>
        <v/>
      </c>
      <c r="N254" s="10" t="str">
        <f t="shared" si="33"/>
        <v/>
      </c>
      <c r="O254" s="2">
        <f t="shared" si="34"/>
        <v>45946</v>
      </c>
      <c r="P254" s="2">
        <v>45950.487141203703</v>
      </c>
      <c r="Q254" s="2">
        <f t="shared" si="35"/>
        <v>45952</v>
      </c>
      <c r="R254" s="2">
        <v>45952.77857638889</v>
      </c>
      <c r="S254">
        <f t="shared" si="36"/>
        <v>0</v>
      </c>
      <c r="T254" s="2">
        <f t="shared" si="37"/>
        <v>45952</v>
      </c>
      <c r="U254" t="str">
        <f t="shared" si="38"/>
        <v>NO PRAZO</v>
      </c>
      <c r="Z254" s="5" t="s">
        <v>277</v>
      </c>
    </row>
    <row r="255" spans="1:26" hidden="1">
      <c r="A255" s="1">
        <v>21164</v>
      </c>
      <c r="B255" t="s">
        <v>15</v>
      </c>
      <c r="C255" t="s">
        <v>13</v>
      </c>
      <c r="D255" t="s">
        <v>10</v>
      </c>
      <c r="E255" s="1">
        <v>2076</v>
      </c>
      <c r="F255" s="1">
        <v>2025</v>
      </c>
      <c r="G255" t="s">
        <v>11</v>
      </c>
      <c r="H255" s="2">
        <v>45944.584004629629</v>
      </c>
      <c r="I255" s="9">
        <f>IF(OR(D255="ORIENTAÇÃO",D255="BUG IMPEDITIVO",D255="BUG NÃO IMPEDITIVO"),WORKDAY(H255,1,Z$2:Z$500),IF(OR(D255="MELHORIA PEQUENA",D255="MELHORIA MÉDIA"),WORKDAY(H255,3,Z$2:Z$500),""))</f>
        <v>45945</v>
      </c>
      <c r="J255" s="2" t="str">
        <f t="shared" si="31"/>
        <v/>
      </c>
      <c r="L255" s="2" t="str">
        <f t="shared" si="32"/>
        <v/>
      </c>
      <c r="N255" s="10" t="str">
        <f t="shared" si="33"/>
        <v/>
      </c>
      <c r="O255" s="2">
        <f t="shared" si="34"/>
        <v>45945</v>
      </c>
      <c r="P255" s="2">
        <v>45946.646701388891</v>
      </c>
      <c r="Q255" s="2">
        <f t="shared" si="35"/>
        <v>45946</v>
      </c>
      <c r="R255" s="2">
        <v>45946.672511574077</v>
      </c>
      <c r="S255">
        <f t="shared" si="36"/>
        <v>0</v>
      </c>
      <c r="T255" s="2">
        <f t="shared" si="37"/>
        <v>45946</v>
      </c>
      <c r="U255" t="str">
        <f t="shared" si="38"/>
        <v>NO PRAZO</v>
      </c>
      <c r="Z255" s="5" t="s">
        <v>278</v>
      </c>
    </row>
    <row r="256" spans="1:26" hidden="1">
      <c r="A256" s="1">
        <v>21163</v>
      </c>
      <c r="B256" t="s">
        <v>19</v>
      </c>
      <c r="C256" t="s">
        <v>13</v>
      </c>
      <c r="D256" t="s">
        <v>18</v>
      </c>
      <c r="E256" s="1">
        <v>2075</v>
      </c>
      <c r="F256" s="1">
        <v>2025</v>
      </c>
      <c r="G256" t="s">
        <v>11</v>
      </c>
      <c r="H256" s="2">
        <v>45944.500671296293</v>
      </c>
      <c r="I256" s="9">
        <f t="shared" ref="I256:I319" si="40">IF(OR(D256="ORIENTAÇÃO",D256="BUG IMPEDITIVO",D256="BUG NÃO IMPEDITIVO"),WORKDAY(H256,1,Z$2:Z$500),IF(OR(D256="MELHORIA PEQUENA",D256="MELHORIA MÉDIA"),WORKDAY(H256,3,Z$2:Z$500),""))</f>
        <v>45947</v>
      </c>
      <c r="J256" s="2" t="str">
        <f t="shared" si="31"/>
        <v/>
      </c>
      <c r="L256" s="2" t="str">
        <f t="shared" si="32"/>
        <v/>
      </c>
      <c r="N256" s="10" t="str">
        <f t="shared" si="33"/>
        <v/>
      </c>
      <c r="O256" s="2">
        <f t="shared" si="34"/>
        <v>45947</v>
      </c>
      <c r="P256" s="2">
        <v>45945.597083333334</v>
      </c>
      <c r="Q256" s="2">
        <f t="shared" si="35"/>
        <v>45953</v>
      </c>
      <c r="R256" s="2">
        <v>45945.602627314816</v>
      </c>
      <c r="S256">
        <f t="shared" si="36"/>
        <v>0</v>
      </c>
      <c r="T256" s="2">
        <f t="shared" si="37"/>
        <v>45953</v>
      </c>
      <c r="U256" t="str">
        <f t="shared" si="38"/>
        <v>NO PRAZO</v>
      </c>
      <c r="Z256" s="5" t="s">
        <v>279</v>
      </c>
    </row>
    <row r="257" spans="1:26" hidden="1">
      <c r="A257" s="1">
        <v>21158</v>
      </c>
      <c r="B257" t="s">
        <v>20</v>
      </c>
      <c r="C257" t="s">
        <v>13</v>
      </c>
      <c r="D257" t="s">
        <v>16</v>
      </c>
      <c r="E257" s="1">
        <v>2070</v>
      </c>
      <c r="F257" s="1">
        <v>2025</v>
      </c>
      <c r="G257" t="s">
        <v>11</v>
      </c>
      <c r="H257" s="2">
        <v>45944.375671296293</v>
      </c>
      <c r="I257" s="9">
        <f t="shared" si="40"/>
        <v>45945</v>
      </c>
      <c r="J257" s="2" t="str">
        <f t="shared" si="31"/>
        <v/>
      </c>
      <c r="L257" s="2" t="str">
        <f t="shared" si="32"/>
        <v/>
      </c>
      <c r="N257" s="10" t="str">
        <f t="shared" si="33"/>
        <v/>
      </c>
      <c r="O257" s="2">
        <f t="shared" si="34"/>
        <v>45945</v>
      </c>
      <c r="P257" s="2">
        <v>45947.467372685183</v>
      </c>
      <c r="Q257" s="2">
        <f t="shared" si="35"/>
        <v>45951</v>
      </c>
      <c r="R257" s="2">
        <v>45947.704143518517</v>
      </c>
      <c r="S257">
        <f t="shared" si="36"/>
        <v>0</v>
      </c>
      <c r="T257" s="2">
        <f t="shared" si="37"/>
        <v>45951</v>
      </c>
      <c r="U257" t="str">
        <f t="shared" si="38"/>
        <v>NO PRAZO</v>
      </c>
      <c r="Z257" s="5" t="s">
        <v>280</v>
      </c>
    </row>
    <row r="258" spans="1:26" hidden="1">
      <c r="A258" s="1">
        <v>21156</v>
      </c>
      <c r="B258" t="s">
        <v>15</v>
      </c>
      <c r="C258" t="s">
        <v>13</v>
      </c>
      <c r="D258" t="s">
        <v>14</v>
      </c>
      <c r="E258" s="1">
        <v>2068</v>
      </c>
      <c r="F258" s="1">
        <v>2025</v>
      </c>
      <c r="G258" t="s">
        <v>11</v>
      </c>
      <c r="H258" s="2">
        <v>45943.750601851854</v>
      </c>
      <c r="I258" s="9">
        <f t="shared" si="40"/>
        <v>45944</v>
      </c>
      <c r="J258" s="2" t="str">
        <f t="shared" si="31"/>
        <v/>
      </c>
      <c r="L258" s="2" t="str">
        <f t="shared" si="32"/>
        <v/>
      </c>
      <c r="N258" s="10" t="str">
        <f t="shared" si="33"/>
        <v/>
      </c>
      <c r="O258" s="2">
        <f t="shared" si="34"/>
        <v>45944</v>
      </c>
      <c r="P258" s="2">
        <v>45944.457407407404</v>
      </c>
      <c r="Q258" s="2">
        <f t="shared" si="35"/>
        <v>45945</v>
      </c>
      <c r="R258" s="2">
        <v>45944.622210648151</v>
      </c>
      <c r="S258">
        <f t="shared" si="36"/>
        <v>0</v>
      </c>
      <c r="T258" s="2">
        <f t="shared" si="37"/>
        <v>45945</v>
      </c>
      <c r="U258" t="str">
        <f t="shared" si="38"/>
        <v>NO PRAZO</v>
      </c>
      <c r="Z258" s="5" t="s">
        <v>281</v>
      </c>
    </row>
    <row r="259" spans="1:26" hidden="1">
      <c r="A259" s="1">
        <v>21152</v>
      </c>
      <c r="B259" t="s">
        <v>15</v>
      </c>
      <c r="C259" t="s">
        <v>13</v>
      </c>
      <c r="D259" t="s">
        <v>10</v>
      </c>
      <c r="E259" s="1">
        <v>2064</v>
      </c>
      <c r="F259" s="1">
        <v>2025</v>
      </c>
      <c r="G259" t="s">
        <v>11</v>
      </c>
      <c r="H259" s="2">
        <v>45943.583935185183</v>
      </c>
      <c r="I259" s="9">
        <f t="shared" si="40"/>
        <v>45944</v>
      </c>
      <c r="J259" s="2" t="str">
        <f t="shared" ref="J259:J322" si="41">IF(K259&lt;&gt;"",I259,"")</f>
        <v/>
      </c>
      <c r="L259" s="2" t="str">
        <f t="shared" ref="L259:L322" si="42">IF(J259="","",WORKDAY(J259,14,Z$2:Z$500))</f>
        <v/>
      </c>
      <c r="N259" s="10" t="str">
        <f t="shared" ref="N259:N322" si="43">IF(M259="","",MAX(0,INT(M259)-INT(L259)))</f>
        <v/>
      </c>
      <c r="O259" s="2">
        <f t="shared" ref="O259:O322" si="44">IF(L259="",I259,WORKDAY(L259,1,Z$2:Z$500))</f>
        <v>45944</v>
      </c>
      <c r="P259" s="2">
        <v>45944.424363425926</v>
      </c>
      <c r="Q259" s="2">
        <f t="shared" ref="Q259:Q322" si="45">IF(OR(D259="ORIENTAÇÃO",D259="BUG IMPEDITIVO"),WORKDAY(O259,1,Z$2:Z$500),IF(OR(D259="MELHORIA PEQUENA",D259="BUG NÃO IMPEDITIVO"),WORKDAY(O259,4,Z$2:Z$500),IF(D259="MELHORIA MÉDIA",WORKDAY(O259,19,Z$2:Z$500),"")))</f>
        <v>45945</v>
      </c>
      <c r="R259" s="2">
        <v>45944.424699074072</v>
      </c>
      <c r="S259">
        <f t="shared" ref="S259:S322" si="46">MAX(0,INT(R259)-INT(Q259))</f>
        <v>0</v>
      </c>
      <c r="T259" s="2">
        <f t="shared" ref="T259:T322" si="47">IF(D259="MELHORIA MÉDIA",IF(K259&lt;&gt;"",WORKDAY(I259,34,$Z$2:$Z$1000),WORKDAY(I259,19,$Z$2:$Z$1000)),IF(OR(D259="MELHORIA PEQUENA",D259="BUG NÃO IMPEDITIVO"),WORKDAY(I259,4,$Z$2:$Z$1000),IF(OR(D259="ORIENTAÇÃO",D259="BUG IMPEDITIVO"),WORKDAY(I259,1,$Z$2:$Z$1000),"")))</f>
        <v>45945</v>
      </c>
      <c r="U259" t="str">
        <f t="shared" ref="U259:U322" si="48">IF(INT(R259)&lt;=INT(T259),"NO PRAZO","ATRASO")</f>
        <v>NO PRAZO</v>
      </c>
      <c r="Z259" s="5" t="s">
        <v>282</v>
      </c>
    </row>
    <row r="260" spans="1:26" hidden="1">
      <c r="A260" s="1">
        <v>21151</v>
      </c>
      <c r="B260" t="s">
        <v>15</v>
      </c>
      <c r="C260" t="s">
        <v>13</v>
      </c>
      <c r="D260" t="s">
        <v>10</v>
      </c>
      <c r="E260" s="1">
        <v>2063</v>
      </c>
      <c r="F260" s="1">
        <v>2025</v>
      </c>
      <c r="G260" t="s">
        <v>11</v>
      </c>
      <c r="H260" s="2">
        <v>45943.583935185183</v>
      </c>
      <c r="I260" s="9">
        <f t="shared" si="40"/>
        <v>45944</v>
      </c>
      <c r="J260" s="2" t="str">
        <f t="shared" si="41"/>
        <v/>
      </c>
      <c r="L260" s="2" t="str">
        <f t="shared" si="42"/>
        <v/>
      </c>
      <c r="N260" s="10" t="str">
        <f t="shared" si="43"/>
        <v/>
      </c>
      <c r="O260" s="2">
        <f t="shared" si="44"/>
        <v>45944</v>
      </c>
      <c r="P260" s="2">
        <v>45944.407106481478</v>
      </c>
      <c r="Q260" s="2">
        <f t="shared" si="45"/>
        <v>45945</v>
      </c>
      <c r="R260" s="2">
        <v>45944.407592592594</v>
      </c>
      <c r="S260">
        <f t="shared" si="46"/>
        <v>0</v>
      </c>
      <c r="T260" s="2">
        <f t="shared" si="47"/>
        <v>45945</v>
      </c>
      <c r="U260" t="str">
        <f t="shared" si="48"/>
        <v>NO PRAZO</v>
      </c>
      <c r="Z260" s="5" t="s">
        <v>283</v>
      </c>
    </row>
    <row r="261" spans="1:26" hidden="1">
      <c r="A261" s="1">
        <v>21146</v>
      </c>
      <c r="B261" t="s">
        <v>8</v>
      </c>
      <c r="C261" t="s">
        <v>9</v>
      </c>
      <c r="D261" t="s">
        <v>21</v>
      </c>
      <c r="E261" s="1">
        <v>2058</v>
      </c>
      <c r="F261" s="1">
        <v>2025</v>
      </c>
      <c r="G261" t="s">
        <v>11</v>
      </c>
      <c r="H261" s="2">
        <v>45943.417233796295</v>
      </c>
      <c r="I261" s="9">
        <f t="shared" si="40"/>
        <v>45946</v>
      </c>
      <c r="J261" s="2" t="str">
        <f t="shared" si="41"/>
        <v/>
      </c>
      <c r="L261" s="2" t="str">
        <f t="shared" si="42"/>
        <v/>
      </c>
      <c r="N261" s="10" t="str">
        <f t="shared" si="43"/>
        <v/>
      </c>
      <c r="O261" s="2">
        <f t="shared" si="44"/>
        <v>45946</v>
      </c>
      <c r="P261" s="2">
        <v>45950.482858796298</v>
      </c>
      <c r="Q261" s="2">
        <f t="shared" si="45"/>
        <v>45973</v>
      </c>
      <c r="R261" s="2">
        <v>45967.485868055555</v>
      </c>
      <c r="S261">
        <f t="shared" si="46"/>
        <v>0</v>
      </c>
      <c r="T261" s="2">
        <f t="shared" si="47"/>
        <v>45973</v>
      </c>
      <c r="U261" t="str">
        <f t="shared" si="48"/>
        <v>NO PRAZO</v>
      </c>
      <c r="Z261" s="5" t="s">
        <v>284</v>
      </c>
    </row>
    <row r="262" spans="1:26" hidden="1">
      <c r="A262" s="1">
        <v>21144</v>
      </c>
      <c r="B262" t="s">
        <v>15</v>
      </c>
      <c r="C262" t="s">
        <v>13</v>
      </c>
      <c r="D262" t="s">
        <v>10</v>
      </c>
      <c r="E262" s="1">
        <v>2056</v>
      </c>
      <c r="F262" s="1">
        <v>2025</v>
      </c>
      <c r="G262" t="s">
        <v>11</v>
      </c>
      <c r="H262" s="2">
        <v>45943.375578703701</v>
      </c>
      <c r="I262" s="9">
        <f t="shared" si="40"/>
        <v>45944</v>
      </c>
      <c r="J262" s="2" t="str">
        <f t="shared" si="41"/>
        <v/>
      </c>
      <c r="L262" s="2" t="str">
        <f t="shared" si="42"/>
        <v/>
      </c>
      <c r="N262" s="10" t="str">
        <f t="shared" si="43"/>
        <v/>
      </c>
      <c r="O262" s="2">
        <f t="shared" si="44"/>
        <v>45944</v>
      </c>
      <c r="P262" s="2">
        <v>45944.400509259256</v>
      </c>
      <c r="Q262" s="2">
        <f t="shared" si="45"/>
        <v>45945</v>
      </c>
      <c r="R262" s="2">
        <v>45944.400752314818</v>
      </c>
      <c r="S262">
        <f t="shared" si="46"/>
        <v>0</v>
      </c>
      <c r="T262" s="2">
        <f t="shared" si="47"/>
        <v>45945</v>
      </c>
      <c r="U262" t="str">
        <f t="shared" si="48"/>
        <v>NO PRAZO</v>
      </c>
      <c r="Z262" s="5" t="s">
        <v>285</v>
      </c>
    </row>
    <row r="263" spans="1:26" hidden="1">
      <c r="A263" s="1">
        <v>21143</v>
      </c>
      <c r="B263" t="s">
        <v>19</v>
      </c>
      <c r="C263" t="s">
        <v>13</v>
      </c>
      <c r="D263" t="s">
        <v>18</v>
      </c>
      <c r="E263" s="1">
        <v>2055</v>
      </c>
      <c r="F263" s="1">
        <v>2025</v>
      </c>
      <c r="G263" t="s">
        <v>11</v>
      </c>
      <c r="H263" s="2">
        <v>45940.708680555559</v>
      </c>
      <c r="I263" s="9">
        <f t="shared" si="40"/>
        <v>45945</v>
      </c>
      <c r="J263" s="2" t="str">
        <f t="shared" si="41"/>
        <v/>
      </c>
      <c r="L263" s="2" t="str">
        <f t="shared" si="42"/>
        <v/>
      </c>
      <c r="N263" s="10" t="str">
        <f t="shared" si="43"/>
        <v/>
      </c>
      <c r="O263" s="2">
        <f t="shared" si="44"/>
        <v>45945</v>
      </c>
      <c r="P263" s="2">
        <v>45946.469826388886</v>
      </c>
      <c r="Q263" s="2">
        <f t="shared" si="45"/>
        <v>45951</v>
      </c>
      <c r="R263" s="2">
        <v>45946.678032407406</v>
      </c>
      <c r="S263">
        <f t="shared" si="46"/>
        <v>0</v>
      </c>
      <c r="T263" s="2">
        <f t="shared" si="47"/>
        <v>45951</v>
      </c>
      <c r="U263" t="str">
        <f t="shared" si="48"/>
        <v>NO PRAZO</v>
      </c>
      <c r="Z263" s="7" t="s">
        <v>286</v>
      </c>
    </row>
    <row r="264" spans="1:26" hidden="1">
      <c r="A264" s="1">
        <v>21140</v>
      </c>
      <c r="B264" t="s">
        <v>20</v>
      </c>
      <c r="C264" t="s">
        <v>13</v>
      </c>
      <c r="D264" t="s">
        <v>10</v>
      </c>
      <c r="E264" s="1">
        <v>2052</v>
      </c>
      <c r="F264" s="1">
        <v>2025</v>
      </c>
      <c r="G264" t="s">
        <v>11</v>
      </c>
      <c r="H264" s="2">
        <v>45940.500347222223</v>
      </c>
      <c r="I264" s="9">
        <f t="shared" si="40"/>
        <v>45943</v>
      </c>
      <c r="J264" s="2" t="str">
        <f t="shared" si="41"/>
        <v/>
      </c>
      <c r="L264" s="2" t="str">
        <f t="shared" si="42"/>
        <v/>
      </c>
      <c r="N264" s="10" t="str">
        <f t="shared" si="43"/>
        <v/>
      </c>
      <c r="O264" s="2">
        <f t="shared" si="44"/>
        <v>45943</v>
      </c>
      <c r="P264" s="2">
        <v>45943.415162037039</v>
      </c>
      <c r="Q264" s="2">
        <f t="shared" si="45"/>
        <v>45944</v>
      </c>
      <c r="R264" s="2">
        <v>45943.415509259263</v>
      </c>
      <c r="S264">
        <f t="shared" si="46"/>
        <v>0</v>
      </c>
      <c r="T264" s="2">
        <f t="shared" si="47"/>
        <v>45944</v>
      </c>
      <c r="U264" t="str">
        <f t="shared" si="48"/>
        <v>NO PRAZO</v>
      </c>
      <c r="Z264" s="5" t="s">
        <v>287</v>
      </c>
    </row>
    <row r="265" spans="1:26" hidden="1">
      <c r="A265" s="1">
        <v>21137</v>
      </c>
      <c r="B265" t="s">
        <v>22</v>
      </c>
      <c r="C265" t="s">
        <v>13</v>
      </c>
      <c r="D265" t="s">
        <v>10</v>
      </c>
      <c r="E265" s="1">
        <v>2049</v>
      </c>
      <c r="F265" s="1">
        <v>2025</v>
      </c>
      <c r="G265" t="s">
        <v>11</v>
      </c>
      <c r="H265" s="2">
        <v>45940.416990740741</v>
      </c>
      <c r="I265" s="9">
        <f t="shared" si="40"/>
        <v>45943</v>
      </c>
      <c r="J265" s="2" t="str">
        <f t="shared" si="41"/>
        <v/>
      </c>
      <c r="L265" s="2" t="str">
        <f t="shared" si="42"/>
        <v/>
      </c>
      <c r="N265" s="10" t="str">
        <f t="shared" si="43"/>
        <v/>
      </c>
      <c r="O265" s="2">
        <f t="shared" si="44"/>
        <v>45943</v>
      </c>
      <c r="P265" s="2">
        <v>45943.718564814815</v>
      </c>
      <c r="Q265" s="2">
        <f t="shared" si="45"/>
        <v>45944</v>
      </c>
      <c r="R265" s="2">
        <v>45943.721388888887</v>
      </c>
      <c r="S265">
        <f t="shared" si="46"/>
        <v>0</v>
      </c>
      <c r="T265" s="2">
        <f t="shared" si="47"/>
        <v>45944</v>
      </c>
      <c r="U265" t="str">
        <f t="shared" si="48"/>
        <v>NO PRAZO</v>
      </c>
      <c r="Z265" s="5" t="s">
        <v>288</v>
      </c>
    </row>
    <row r="266" spans="1:26" hidden="1">
      <c r="A266" s="1">
        <v>21133</v>
      </c>
      <c r="B266" t="s">
        <v>12</v>
      </c>
      <c r="C266" t="s">
        <v>13</v>
      </c>
      <c r="D266" t="s">
        <v>10</v>
      </c>
      <c r="E266" s="1">
        <v>2045</v>
      </c>
      <c r="F266" s="1">
        <v>2025</v>
      </c>
      <c r="G266" t="s">
        <v>11</v>
      </c>
      <c r="H266" s="2">
        <v>45939.667650462965</v>
      </c>
      <c r="I266" s="9">
        <f t="shared" si="40"/>
        <v>45940</v>
      </c>
      <c r="J266" s="2" t="str">
        <f t="shared" si="41"/>
        <v/>
      </c>
      <c r="L266" s="2" t="str">
        <f t="shared" si="42"/>
        <v/>
      </c>
      <c r="N266" s="10" t="str">
        <f t="shared" si="43"/>
        <v/>
      </c>
      <c r="O266" s="2">
        <f t="shared" si="44"/>
        <v>45940</v>
      </c>
      <c r="P266" s="2">
        <v>45943.613020833334</v>
      </c>
      <c r="Q266" s="2">
        <f t="shared" si="45"/>
        <v>45943</v>
      </c>
      <c r="R266" s="2">
        <v>45943.717280092591</v>
      </c>
      <c r="S266">
        <f t="shared" si="46"/>
        <v>0</v>
      </c>
      <c r="T266" s="2">
        <f t="shared" si="47"/>
        <v>45943</v>
      </c>
      <c r="U266" t="str">
        <f t="shared" si="48"/>
        <v>NO PRAZO</v>
      </c>
      <c r="Z266" s="5" t="s">
        <v>289</v>
      </c>
    </row>
    <row r="267" spans="1:26" hidden="1">
      <c r="A267" s="1">
        <v>21132</v>
      </c>
      <c r="B267" t="s">
        <v>20</v>
      </c>
      <c r="C267" t="s">
        <v>13</v>
      </c>
      <c r="D267" t="s">
        <v>18</v>
      </c>
      <c r="E267" s="1">
        <v>2044</v>
      </c>
      <c r="F267" s="1">
        <v>2025</v>
      </c>
      <c r="G267" t="s">
        <v>11</v>
      </c>
      <c r="H267" s="2">
        <v>45939.625972222224</v>
      </c>
      <c r="I267" s="9">
        <f t="shared" si="40"/>
        <v>45944</v>
      </c>
      <c r="J267" s="2" t="str">
        <f t="shared" si="41"/>
        <v/>
      </c>
      <c r="L267" s="2" t="str">
        <f t="shared" si="42"/>
        <v/>
      </c>
      <c r="N267" s="10" t="str">
        <f t="shared" si="43"/>
        <v/>
      </c>
      <c r="O267" s="2">
        <f t="shared" si="44"/>
        <v>45944</v>
      </c>
      <c r="P267" s="2">
        <v>45946.6640625</v>
      </c>
      <c r="Q267" s="2">
        <f t="shared" si="45"/>
        <v>45950</v>
      </c>
      <c r="R267" s="2">
        <v>45946.669027777774</v>
      </c>
      <c r="S267">
        <f t="shared" si="46"/>
        <v>0</v>
      </c>
      <c r="T267" s="2">
        <f t="shared" si="47"/>
        <v>45950</v>
      </c>
      <c r="U267" t="str">
        <f t="shared" si="48"/>
        <v>NO PRAZO</v>
      </c>
      <c r="Z267" s="5" t="s">
        <v>290</v>
      </c>
    </row>
    <row r="268" spans="1:26" hidden="1">
      <c r="A268" s="1">
        <v>21126</v>
      </c>
      <c r="B268" t="s">
        <v>22</v>
      </c>
      <c r="C268" t="s">
        <v>13</v>
      </c>
      <c r="D268" t="s">
        <v>14</v>
      </c>
      <c r="E268" s="1">
        <v>2038</v>
      </c>
      <c r="F268" s="1">
        <v>2025</v>
      </c>
      <c r="G268" t="s">
        <v>11</v>
      </c>
      <c r="H268" s="2">
        <v>45939.417615740742</v>
      </c>
      <c r="I268" s="9">
        <f t="shared" si="40"/>
        <v>45940</v>
      </c>
      <c r="J268" s="2" t="str">
        <f t="shared" si="41"/>
        <v/>
      </c>
      <c r="L268" s="2" t="str">
        <f t="shared" si="42"/>
        <v/>
      </c>
      <c r="N268" s="10" t="str">
        <f t="shared" si="43"/>
        <v/>
      </c>
      <c r="O268" s="2">
        <f t="shared" si="44"/>
        <v>45940</v>
      </c>
      <c r="P268" s="2">
        <v>45943.623344907406</v>
      </c>
      <c r="Q268" s="2">
        <f t="shared" si="45"/>
        <v>45943</v>
      </c>
      <c r="R268" s="2">
        <v>45943.717766203707</v>
      </c>
      <c r="S268">
        <f t="shared" si="46"/>
        <v>0</v>
      </c>
      <c r="T268" s="2">
        <f t="shared" si="47"/>
        <v>45943</v>
      </c>
      <c r="U268" t="str">
        <f t="shared" si="48"/>
        <v>NO PRAZO</v>
      </c>
      <c r="Z268" s="5" t="s">
        <v>291</v>
      </c>
    </row>
    <row r="269" spans="1:26" hidden="1">
      <c r="A269" s="1">
        <v>21121</v>
      </c>
      <c r="B269" t="s">
        <v>17</v>
      </c>
      <c r="C269" t="s">
        <v>13</v>
      </c>
      <c r="D269" t="s">
        <v>14</v>
      </c>
      <c r="E269" s="1">
        <v>2033</v>
      </c>
      <c r="F269" s="1">
        <v>2025</v>
      </c>
      <c r="G269" t="s">
        <v>11</v>
      </c>
      <c r="H269" s="2">
        <v>45938.500856481478</v>
      </c>
      <c r="I269" s="9">
        <f t="shared" si="40"/>
        <v>45939</v>
      </c>
      <c r="J269" s="2" t="str">
        <f t="shared" si="41"/>
        <v/>
      </c>
      <c r="L269" s="2" t="str">
        <f t="shared" si="42"/>
        <v/>
      </c>
      <c r="N269" s="10" t="str">
        <f t="shared" si="43"/>
        <v/>
      </c>
      <c r="O269" s="2">
        <f t="shared" si="44"/>
        <v>45939</v>
      </c>
      <c r="P269" s="2">
        <v>45940.502280092594</v>
      </c>
      <c r="Q269" s="2">
        <f t="shared" si="45"/>
        <v>45940</v>
      </c>
      <c r="R269" s="2">
        <v>45940.504641203705</v>
      </c>
      <c r="S269">
        <f t="shared" si="46"/>
        <v>0</v>
      </c>
      <c r="T269" s="2">
        <f t="shared" si="47"/>
        <v>45940</v>
      </c>
      <c r="U269" t="str">
        <f t="shared" si="48"/>
        <v>NO PRAZO</v>
      </c>
      <c r="Z269" s="5" t="s">
        <v>292</v>
      </c>
    </row>
    <row r="270" spans="1:26" hidden="1">
      <c r="A270" s="1">
        <v>21119</v>
      </c>
      <c r="B270" t="s">
        <v>19</v>
      </c>
      <c r="C270" t="s">
        <v>13</v>
      </c>
      <c r="D270" t="s">
        <v>10</v>
      </c>
      <c r="E270" s="1">
        <v>2031</v>
      </c>
      <c r="F270" s="1">
        <v>2025</v>
      </c>
      <c r="G270" t="s">
        <v>11</v>
      </c>
      <c r="H270" s="2">
        <v>45938.45921296296</v>
      </c>
      <c r="I270" s="9">
        <f t="shared" si="40"/>
        <v>45939</v>
      </c>
      <c r="J270" s="2" t="str">
        <f t="shared" si="41"/>
        <v/>
      </c>
      <c r="L270" s="2" t="str">
        <f t="shared" si="42"/>
        <v/>
      </c>
      <c r="N270" s="10" t="str">
        <f t="shared" si="43"/>
        <v/>
      </c>
      <c r="O270" s="2">
        <f t="shared" si="44"/>
        <v>45939</v>
      </c>
      <c r="P270" s="2">
        <v>45939.443344907406</v>
      </c>
      <c r="Q270" s="2">
        <f t="shared" si="45"/>
        <v>45940</v>
      </c>
      <c r="R270" s="2">
        <v>45939.443657407406</v>
      </c>
      <c r="S270">
        <f t="shared" si="46"/>
        <v>0</v>
      </c>
      <c r="T270" s="2">
        <f t="shared" si="47"/>
        <v>45940</v>
      </c>
      <c r="U270" t="str">
        <f t="shared" si="48"/>
        <v>NO PRAZO</v>
      </c>
      <c r="Z270" s="5" t="s">
        <v>293</v>
      </c>
    </row>
    <row r="271" spans="1:26" hidden="1">
      <c r="A271" s="1">
        <v>21114</v>
      </c>
      <c r="B271" t="s">
        <v>17</v>
      </c>
      <c r="C271" t="s">
        <v>13</v>
      </c>
      <c r="D271" t="s">
        <v>16</v>
      </c>
      <c r="E271" s="1">
        <v>2026</v>
      </c>
      <c r="F271" s="1">
        <v>2025</v>
      </c>
      <c r="G271" t="s">
        <v>11</v>
      </c>
      <c r="H271" s="2">
        <v>45937.584131944444</v>
      </c>
      <c r="I271" s="9">
        <f t="shared" si="40"/>
        <v>45938</v>
      </c>
      <c r="J271" s="2" t="str">
        <f t="shared" si="41"/>
        <v/>
      </c>
      <c r="L271" s="2" t="str">
        <f t="shared" si="42"/>
        <v/>
      </c>
      <c r="N271" s="10" t="str">
        <f t="shared" si="43"/>
        <v/>
      </c>
      <c r="O271" s="2">
        <f t="shared" si="44"/>
        <v>45938</v>
      </c>
      <c r="P271" s="2">
        <v>45938.790347222224</v>
      </c>
      <c r="Q271" s="2">
        <f t="shared" si="45"/>
        <v>45944</v>
      </c>
      <c r="R271" s="2">
        <v>45944.537569444445</v>
      </c>
      <c r="S271">
        <f t="shared" si="46"/>
        <v>0</v>
      </c>
      <c r="T271" s="2">
        <f t="shared" si="47"/>
        <v>45944</v>
      </c>
      <c r="U271" t="str">
        <f t="shared" si="48"/>
        <v>NO PRAZO</v>
      </c>
      <c r="Z271" s="5" t="s">
        <v>294</v>
      </c>
    </row>
    <row r="272" spans="1:26" hidden="1">
      <c r="A272" s="1">
        <v>21113</v>
      </c>
      <c r="B272" t="s">
        <v>17</v>
      </c>
      <c r="C272" t="s">
        <v>13</v>
      </c>
      <c r="D272" t="s">
        <v>16</v>
      </c>
      <c r="E272" s="1">
        <v>2025</v>
      </c>
      <c r="F272" s="1">
        <v>2025</v>
      </c>
      <c r="G272" t="s">
        <v>11</v>
      </c>
      <c r="H272" s="2">
        <v>45937.500798611109</v>
      </c>
      <c r="I272" s="9">
        <f t="shared" si="40"/>
        <v>45938</v>
      </c>
      <c r="J272" s="2" t="str">
        <f t="shared" si="41"/>
        <v/>
      </c>
      <c r="L272" s="2" t="str">
        <f t="shared" si="42"/>
        <v/>
      </c>
      <c r="N272" s="10" t="str">
        <f t="shared" si="43"/>
        <v/>
      </c>
      <c r="O272" s="2">
        <f t="shared" si="44"/>
        <v>45938</v>
      </c>
      <c r="P272" s="2">
        <v>45938.787962962961</v>
      </c>
      <c r="Q272" s="2">
        <f t="shared" si="45"/>
        <v>45944</v>
      </c>
      <c r="R272" s="2">
        <v>45940.421770833331</v>
      </c>
      <c r="S272">
        <f t="shared" si="46"/>
        <v>0</v>
      </c>
      <c r="T272" s="2">
        <f t="shared" si="47"/>
        <v>45944</v>
      </c>
      <c r="U272" t="str">
        <f t="shared" si="48"/>
        <v>NO PRAZO</v>
      </c>
      <c r="Z272" s="5" t="s">
        <v>295</v>
      </c>
    </row>
    <row r="273" spans="1:26" hidden="1">
      <c r="A273" s="1">
        <v>21107</v>
      </c>
      <c r="B273" t="s">
        <v>22</v>
      </c>
      <c r="C273" t="s">
        <v>9</v>
      </c>
      <c r="D273" t="s">
        <v>10</v>
      </c>
      <c r="E273" s="1">
        <v>2019</v>
      </c>
      <c r="F273" s="1">
        <v>2025</v>
      </c>
      <c r="G273" t="s">
        <v>11</v>
      </c>
      <c r="H273" s="2">
        <v>45937.417430555557</v>
      </c>
      <c r="I273" s="9">
        <f t="shared" si="40"/>
        <v>45938</v>
      </c>
      <c r="J273" s="2" t="str">
        <f t="shared" si="41"/>
        <v/>
      </c>
      <c r="L273" s="2" t="str">
        <f t="shared" si="42"/>
        <v/>
      </c>
      <c r="N273" s="10" t="str">
        <f t="shared" si="43"/>
        <v/>
      </c>
      <c r="O273" s="2">
        <f t="shared" si="44"/>
        <v>45938</v>
      </c>
      <c r="P273" s="2">
        <v>45939.666909722226</v>
      </c>
      <c r="Q273" s="2">
        <f t="shared" si="45"/>
        <v>45939</v>
      </c>
      <c r="R273" s="2">
        <v>45939.739791666667</v>
      </c>
      <c r="S273">
        <f t="shared" si="46"/>
        <v>0</v>
      </c>
      <c r="T273" s="2">
        <f t="shared" si="47"/>
        <v>45939</v>
      </c>
      <c r="U273" t="str">
        <f t="shared" si="48"/>
        <v>NO PRAZO</v>
      </c>
      <c r="Z273" s="5" t="s">
        <v>296</v>
      </c>
    </row>
    <row r="274" spans="1:26" hidden="1">
      <c r="A274" s="1">
        <v>21104</v>
      </c>
      <c r="B274" t="s">
        <v>22</v>
      </c>
      <c r="C274" t="s">
        <v>13</v>
      </c>
      <c r="D274" t="s">
        <v>16</v>
      </c>
      <c r="E274" s="1">
        <v>2016</v>
      </c>
      <c r="F274" s="1">
        <v>2025</v>
      </c>
      <c r="G274" t="s">
        <v>11</v>
      </c>
      <c r="H274" s="2">
        <v>45936.584039351852</v>
      </c>
      <c r="I274" s="9">
        <f t="shared" si="40"/>
        <v>45937</v>
      </c>
      <c r="J274" s="2" t="str">
        <f t="shared" si="41"/>
        <v/>
      </c>
      <c r="L274" s="2" t="str">
        <f t="shared" si="42"/>
        <v/>
      </c>
      <c r="N274" s="10" t="str">
        <f t="shared" si="43"/>
        <v/>
      </c>
      <c r="O274" s="2">
        <f t="shared" si="44"/>
        <v>45937</v>
      </c>
      <c r="P274" s="2">
        <v>45939.635254629633</v>
      </c>
      <c r="Q274" s="2">
        <f t="shared" si="45"/>
        <v>45943</v>
      </c>
      <c r="R274" s="2">
        <v>45939.653715277775</v>
      </c>
      <c r="S274">
        <f t="shared" si="46"/>
        <v>0</v>
      </c>
      <c r="T274" s="2">
        <f t="shared" si="47"/>
        <v>45943</v>
      </c>
      <c r="U274" t="str">
        <f t="shared" si="48"/>
        <v>NO PRAZO</v>
      </c>
      <c r="Z274" s="5" t="s">
        <v>297</v>
      </c>
    </row>
    <row r="275" spans="1:26" hidden="1">
      <c r="A275" s="1">
        <v>21103</v>
      </c>
      <c r="B275" t="s">
        <v>22</v>
      </c>
      <c r="C275" t="s">
        <v>13</v>
      </c>
      <c r="D275" t="s">
        <v>10</v>
      </c>
      <c r="E275" s="1">
        <v>2015</v>
      </c>
      <c r="F275" s="1">
        <v>2025</v>
      </c>
      <c r="G275" t="s">
        <v>11</v>
      </c>
      <c r="H275" s="2">
        <v>45936.50072916667</v>
      </c>
      <c r="I275" s="9">
        <f t="shared" si="40"/>
        <v>45937</v>
      </c>
      <c r="J275" s="2" t="str">
        <f t="shared" si="41"/>
        <v/>
      </c>
      <c r="L275" s="2" t="str">
        <f t="shared" si="42"/>
        <v/>
      </c>
      <c r="N275" s="10" t="str">
        <f t="shared" si="43"/>
        <v/>
      </c>
      <c r="O275" s="2">
        <f t="shared" si="44"/>
        <v>45937</v>
      </c>
      <c r="P275" s="2">
        <v>45938.655648148146</v>
      </c>
      <c r="Q275" s="2">
        <f t="shared" si="45"/>
        <v>45938</v>
      </c>
      <c r="R275" s="2">
        <v>45938.745613425926</v>
      </c>
      <c r="S275">
        <f t="shared" si="46"/>
        <v>0</v>
      </c>
      <c r="T275" s="2">
        <f t="shared" si="47"/>
        <v>45938</v>
      </c>
      <c r="U275" t="str">
        <f t="shared" si="48"/>
        <v>NO PRAZO</v>
      </c>
      <c r="Z275" s="5" t="s">
        <v>298</v>
      </c>
    </row>
    <row r="276" spans="1:26" hidden="1">
      <c r="A276" s="1">
        <v>21102</v>
      </c>
      <c r="B276" t="s">
        <v>24</v>
      </c>
      <c r="C276" t="s">
        <v>13</v>
      </c>
      <c r="D276" t="s">
        <v>10</v>
      </c>
      <c r="E276" s="1">
        <v>2014</v>
      </c>
      <c r="F276" s="1">
        <v>2025</v>
      </c>
      <c r="G276" t="s">
        <v>11</v>
      </c>
      <c r="H276" s="2">
        <v>45936.50072916667</v>
      </c>
      <c r="I276" s="9">
        <f t="shared" si="40"/>
        <v>45937</v>
      </c>
      <c r="J276" s="2" t="str">
        <f t="shared" si="41"/>
        <v/>
      </c>
      <c r="L276" s="2" t="str">
        <f t="shared" si="42"/>
        <v/>
      </c>
      <c r="N276" s="10" t="str">
        <f t="shared" si="43"/>
        <v/>
      </c>
      <c r="O276" s="2">
        <f t="shared" si="44"/>
        <v>45937</v>
      </c>
      <c r="P276" s="2">
        <v>45938.741053240738</v>
      </c>
      <c r="Q276" s="2">
        <f t="shared" si="45"/>
        <v>45938</v>
      </c>
      <c r="R276" s="2">
        <v>45938.745497685188</v>
      </c>
      <c r="S276">
        <f t="shared" si="46"/>
        <v>0</v>
      </c>
      <c r="T276" s="2">
        <f t="shared" si="47"/>
        <v>45938</v>
      </c>
      <c r="U276" t="str">
        <f t="shared" si="48"/>
        <v>NO PRAZO</v>
      </c>
      <c r="Z276" s="5" t="s">
        <v>299</v>
      </c>
    </row>
    <row r="277" spans="1:26">
      <c r="A277" s="1">
        <v>21098</v>
      </c>
      <c r="B277" t="s">
        <v>20</v>
      </c>
      <c r="C277" t="s">
        <v>13</v>
      </c>
      <c r="D277" t="s">
        <v>16</v>
      </c>
      <c r="E277" s="1">
        <v>2010</v>
      </c>
      <c r="F277" s="1">
        <v>2025</v>
      </c>
      <c r="G277" t="s">
        <v>11</v>
      </c>
      <c r="H277" s="2">
        <v>45936.375706018516</v>
      </c>
      <c r="I277" s="9">
        <f t="shared" si="40"/>
        <v>45937</v>
      </c>
      <c r="J277" s="2" t="str">
        <f t="shared" si="41"/>
        <v/>
      </c>
      <c r="L277" s="2" t="str">
        <f t="shared" si="42"/>
        <v/>
      </c>
      <c r="N277" s="10" t="str">
        <f t="shared" si="43"/>
        <v/>
      </c>
      <c r="O277" s="2">
        <f t="shared" si="44"/>
        <v>45937</v>
      </c>
      <c r="P277" s="2">
        <v>45961.402372685188</v>
      </c>
      <c r="Q277" s="2">
        <f t="shared" si="45"/>
        <v>45943</v>
      </c>
      <c r="R277" s="2">
        <v>45961.70107638889</v>
      </c>
      <c r="S277">
        <f t="shared" si="46"/>
        <v>18</v>
      </c>
      <c r="T277" s="2">
        <f t="shared" si="47"/>
        <v>45943</v>
      </c>
      <c r="U277" t="str">
        <f t="shared" si="48"/>
        <v>ATRASO</v>
      </c>
      <c r="Z277" s="5" t="s">
        <v>300</v>
      </c>
    </row>
    <row r="278" spans="1:26" hidden="1">
      <c r="A278" s="1">
        <v>21096</v>
      </c>
      <c r="B278" t="s">
        <v>12</v>
      </c>
      <c r="C278" t="s">
        <v>13</v>
      </c>
      <c r="D278" t="s">
        <v>10</v>
      </c>
      <c r="E278" s="1">
        <v>2008</v>
      </c>
      <c r="F278" s="1">
        <v>2025</v>
      </c>
      <c r="G278" t="s">
        <v>11</v>
      </c>
      <c r="H278" s="2">
        <v>45933.667129629626</v>
      </c>
      <c r="I278" s="9">
        <f t="shared" si="40"/>
        <v>45936</v>
      </c>
      <c r="J278" s="2" t="str">
        <f t="shared" si="41"/>
        <v/>
      </c>
      <c r="L278" s="2" t="str">
        <f t="shared" si="42"/>
        <v/>
      </c>
      <c r="N278" s="10" t="str">
        <f t="shared" si="43"/>
        <v/>
      </c>
      <c r="O278" s="2">
        <f t="shared" si="44"/>
        <v>45936</v>
      </c>
      <c r="P278" s="2">
        <v>45937.448171296295</v>
      </c>
      <c r="Q278" s="2">
        <f t="shared" si="45"/>
        <v>45937</v>
      </c>
      <c r="R278" s="2">
        <v>45937.478518518517</v>
      </c>
      <c r="S278">
        <f t="shared" si="46"/>
        <v>0</v>
      </c>
      <c r="T278" s="2">
        <f t="shared" si="47"/>
        <v>45937</v>
      </c>
      <c r="U278" t="str">
        <f t="shared" si="48"/>
        <v>NO PRAZO</v>
      </c>
      <c r="Z278" s="5" t="s">
        <v>301</v>
      </c>
    </row>
    <row r="279" spans="1:26" hidden="1">
      <c r="A279" s="1">
        <v>21095</v>
      </c>
      <c r="B279" t="s">
        <v>20</v>
      </c>
      <c r="C279" t="s">
        <v>13</v>
      </c>
      <c r="D279" t="s">
        <v>18</v>
      </c>
      <c r="E279" s="1">
        <v>2007</v>
      </c>
      <c r="F279" s="1">
        <v>2025</v>
      </c>
      <c r="G279" t="s">
        <v>11</v>
      </c>
      <c r="H279" s="2">
        <v>45933.500462962962</v>
      </c>
      <c r="I279" s="9">
        <f t="shared" si="40"/>
        <v>45938</v>
      </c>
      <c r="J279" s="2" t="str">
        <f t="shared" si="41"/>
        <v/>
      </c>
      <c r="L279" s="2" t="str">
        <f t="shared" si="42"/>
        <v/>
      </c>
      <c r="N279" s="10" t="str">
        <f t="shared" si="43"/>
        <v/>
      </c>
      <c r="O279" s="2">
        <f t="shared" si="44"/>
        <v>45938</v>
      </c>
      <c r="P279" s="2">
        <v>45933.660810185182</v>
      </c>
      <c r="Q279" s="2">
        <f t="shared" si="45"/>
        <v>45944</v>
      </c>
      <c r="R279" s="2">
        <v>45937.499374999999</v>
      </c>
      <c r="S279">
        <f t="shared" si="46"/>
        <v>0</v>
      </c>
      <c r="T279" s="2">
        <f t="shared" si="47"/>
        <v>45944</v>
      </c>
      <c r="U279" t="str">
        <f t="shared" si="48"/>
        <v>NO PRAZO</v>
      </c>
      <c r="Z279" s="5" t="s">
        <v>302</v>
      </c>
    </row>
    <row r="280" spans="1:26" hidden="1">
      <c r="A280" s="1">
        <v>21094</v>
      </c>
      <c r="B280" t="s">
        <v>22</v>
      </c>
      <c r="C280" t="s">
        <v>13</v>
      </c>
      <c r="D280" t="s">
        <v>10</v>
      </c>
      <c r="E280" s="1">
        <v>2006</v>
      </c>
      <c r="F280" s="1">
        <v>2025</v>
      </c>
      <c r="G280" t="s">
        <v>11</v>
      </c>
      <c r="H280" s="2">
        <v>45933.500462962962</v>
      </c>
      <c r="I280" s="9">
        <f t="shared" si="40"/>
        <v>45936</v>
      </c>
      <c r="J280" s="2" t="str">
        <f t="shared" si="41"/>
        <v/>
      </c>
      <c r="L280" s="2" t="str">
        <f t="shared" si="42"/>
        <v/>
      </c>
      <c r="N280" s="10" t="str">
        <f t="shared" si="43"/>
        <v/>
      </c>
      <c r="O280" s="2">
        <f t="shared" si="44"/>
        <v>45936</v>
      </c>
      <c r="P280" s="2">
        <v>45937.764386574076</v>
      </c>
      <c r="Q280" s="2">
        <f t="shared" si="45"/>
        <v>45937</v>
      </c>
      <c r="R280" s="2">
        <v>45937.776412037034</v>
      </c>
      <c r="S280">
        <f t="shared" si="46"/>
        <v>0</v>
      </c>
      <c r="T280" s="2">
        <f t="shared" si="47"/>
        <v>45937</v>
      </c>
      <c r="U280" t="str">
        <f t="shared" si="48"/>
        <v>NO PRAZO</v>
      </c>
      <c r="Z280" s="5" t="s">
        <v>303</v>
      </c>
    </row>
    <row r="281" spans="1:26" hidden="1">
      <c r="A281" s="1">
        <v>21093</v>
      </c>
      <c r="B281" t="s">
        <v>19</v>
      </c>
      <c r="C281" t="s">
        <v>13</v>
      </c>
      <c r="D281" t="s">
        <v>21</v>
      </c>
      <c r="E281" s="1">
        <v>2005</v>
      </c>
      <c r="F281" s="1">
        <v>2025</v>
      </c>
      <c r="G281" t="s">
        <v>11</v>
      </c>
      <c r="H281" s="2">
        <v>45933.458784722221</v>
      </c>
      <c r="I281" s="9">
        <f t="shared" si="40"/>
        <v>45938</v>
      </c>
      <c r="J281" s="2" t="str">
        <f t="shared" si="41"/>
        <v/>
      </c>
      <c r="L281" s="2" t="str">
        <f t="shared" si="42"/>
        <v/>
      </c>
      <c r="N281" s="10" t="str">
        <f t="shared" si="43"/>
        <v/>
      </c>
      <c r="O281" s="2">
        <f t="shared" si="44"/>
        <v>45938</v>
      </c>
      <c r="P281" s="2">
        <v>45954.695393518516</v>
      </c>
      <c r="Q281" s="2">
        <f t="shared" si="45"/>
        <v>45965</v>
      </c>
      <c r="R281" s="2">
        <v>45964.647905092592</v>
      </c>
      <c r="S281">
        <f t="shared" si="46"/>
        <v>0</v>
      </c>
      <c r="T281" s="2">
        <f t="shared" si="47"/>
        <v>45965</v>
      </c>
      <c r="U281" t="str">
        <f t="shared" si="48"/>
        <v>NO PRAZO</v>
      </c>
      <c r="Z281" s="5" t="s">
        <v>304</v>
      </c>
    </row>
    <row r="282" spans="1:26" hidden="1">
      <c r="A282" s="1">
        <v>21088</v>
      </c>
      <c r="B282" t="s">
        <v>8</v>
      </c>
      <c r="C282" t="s">
        <v>13</v>
      </c>
      <c r="D282" t="s">
        <v>10</v>
      </c>
      <c r="E282" s="1">
        <v>2000</v>
      </c>
      <c r="F282" s="1">
        <v>2025</v>
      </c>
      <c r="G282" t="s">
        <v>11</v>
      </c>
      <c r="H282" s="2">
        <v>45932.667060185187</v>
      </c>
      <c r="I282" s="9">
        <f t="shared" si="40"/>
        <v>45933</v>
      </c>
      <c r="J282" s="2" t="str">
        <f t="shared" si="41"/>
        <v/>
      </c>
      <c r="L282" s="2" t="str">
        <f t="shared" si="42"/>
        <v/>
      </c>
      <c r="N282" s="10" t="str">
        <f t="shared" si="43"/>
        <v/>
      </c>
      <c r="O282" s="2">
        <f t="shared" si="44"/>
        <v>45933</v>
      </c>
      <c r="P282" s="2">
        <v>45933.653935185182</v>
      </c>
      <c r="Q282" s="2">
        <f t="shared" si="45"/>
        <v>45936</v>
      </c>
      <c r="R282" s="2">
        <v>45933.659398148149</v>
      </c>
      <c r="S282">
        <f t="shared" si="46"/>
        <v>0</v>
      </c>
      <c r="T282" s="2">
        <f t="shared" si="47"/>
        <v>45936</v>
      </c>
      <c r="U282" t="str">
        <f t="shared" si="48"/>
        <v>NO PRAZO</v>
      </c>
      <c r="Z282" s="5" t="s">
        <v>305</v>
      </c>
    </row>
    <row r="283" spans="1:26" hidden="1">
      <c r="A283" s="1">
        <v>21072</v>
      </c>
      <c r="B283" t="s">
        <v>15</v>
      </c>
      <c r="C283" t="s">
        <v>13</v>
      </c>
      <c r="D283" t="s">
        <v>14</v>
      </c>
      <c r="E283" s="1">
        <v>1984</v>
      </c>
      <c r="F283" s="1">
        <v>2025</v>
      </c>
      <c r="G283" t="s">
        <v>11</v>
      </c>
      <c r="H283" s="2">
        <v>45931.5003125</v>
      </c>
      <c r="I283" s="9">
        <f t="shared" si="40"/>
        <v>45932</v>
      </c>
      <c r="J283" s="2" t="str">
        <f t="shared" si="41"/>
        <v/>
      </c>
      <c r="L283" s="2" t="str">
        <f t="shared" si="42"/>
        <v/>
      </c>
      <c r="N283" s="10" t="str">
        <f t="shared" si="43"/>
        <v/>
      </c>
      <c r="O283" s="2">
        <f t="shared" si="44"/>
        <v>45932</v>
      </c>
      <c r="P283" s="2">
        <v>45932.644097222219</v>
      </c>
      <c r="Q283" s="2">
        <f t="shared" si="45"/>
        <v>45933</v>
      </c>
      <c r="R283" s="2">
        <v>45933.653923611113</v>
      </c>
      <c r="S283">
        <f t="shared" si="46"/>
        <v>0</v>
      </c>
      <c r="T283" s="2">
        <f t="shared" si="47"/>
        <v>45933</v>
      </c>
      <c r="U283" t="str">
        <f t="shared" si="48"/>
        <v>NO PRAZO</v>
      </c>
      <c r="Z283" s="5" t="s">
        <v>306</v>
      </c>
    </row>
    <row r="284" spans="1:26" hidden="1">
      <c r="A284" s="1">
        <v>21069</v>
      </c>
      <c r="B284" t="s">
        <v>15</v>
      </c>
      <c r="C284" t="s">
        <v>13</v>
      </c>
      <c r="D284" t="s">
        <v>18</v>
      </c>
      <c r="E284" s="1">
        <v>1981</v>
      </c>
      <c r="F284" s="1">
        <v>2025</v>
      </c>
      <c r="G284" t="s">
        <v>11</v>
      </c>
      <c r="H284" s="2">
        <v>45931.40079861111</v>
      </c>
      <c r="I284" s="9">
        <f t="shared" si="40"/>
        <v>45936</v>
      </c>
      <c r="J284" s="2" t="str">
        <f t="shared" si="41"/>
        <v/>
      </c>
      <c r="L284" s="2" t="str">
        <f t="shared" si="42"/>
        <v/>
      </c>
      <c r="N284" s="10" t="str">
        <f t="shared" si="43"/>
        <v/>
      </c>
      <c r="O284" s="2">
        <f t="shared" si="44"/>
        <v>45936</v>
      </c>
      <c r="P284" s="2">
        <v>45931.403495370374</v>
      </c>
      <c r="Q284" s="2">
        <f t="shared" si="45"/>
        <v>45940</v>
      </c>
      <c r="R284" s="2">
        <v>45932.769444444442</v>
      </c>
      <c r="S284">
        <f t="shared" si="46"/>
        <v>0</v>
      </c>
      <c r="T284" s="2">
        <f t="shared" si="47"/>
        <v>45940</v>
      </c>
      <c r="U284" t="str">
        <f t="shared" si="48"/>
        <v>NO PRAZO</v>
      </c>
      <c r="Z284" s="5" t="s">
        <v>307</v>
      </c>
    </row>
    <row r="285" spans="1:26" hidden="1">
      <c r="A285" s="1">
        <v>21063</v>
      </c>
      <c r="B285" t="s">
        <v>15</v>
      </c>
      <c r="C285" t="s">
        <v>13</v>
      </c>
      <c r="D285" t="s">
        <v>14</v>
      </c>
      <c r="E285" s="1">
        <v>1975</v>
      </c>
      <c r="F285" s="1">
        <v>2025</v>
      </c>
      <c r="G285" t="s">
        <v>11</v>
      </c>
      <c r="H285" s="2">
        <v>45930.672708333332</v>
      </c>
      <c r="I285" s="9">
        <f t="shared" si="40"/>
        <v>45931</v>
      </c>
      <c r="J285" s="2" t="str">
        <f t="shared" si="41"/>
        <v/>
      </c>
      <c r="L285" s="2" t="str">
        <f t="shared" si="42"/>
        <v/>
      </c>
      <c r="N285" s="10" t="str">
        <f t="shared" si="43"/>
        <v/>
      </c>
      <c r="O285" s="2">
        <f t="shared" si="44"/>
        <v>45931</v>
      </c>
      <c r="P285" s="2">
        <v>45930.680405092593</v>
      </c>
      <c r="Q285" s="2">
        <f t="shared" si="45"/>
        <v>45932</v>
      </c>
      <c r="R285" s="2">
        <v>45931.435034722221</v>
      </c>
      <c r="S285">
        <f t="shared" si="46"/>
        <v>0</v>
      </c>
      <c r="T285" s="2">
        <f t="shared" si="47"/>
        <v>45932</v>
      </c>
      <c r="U285" t="str">
        <f t="shared" si="48"/>
        <v>NO PRAZO</v>
      </c>
      <c r="Z285" s="5" t="s">
        <v>308</v>
      </c>
    </row>
    <row r="286" spans="1:26" hidden="1">
      <c r="A286" s="1">
        <v>21062</v>
      </c>
      <c r="B286" t="s">
        <v>20</v>
      </c>
      <c r="C286" t="s">
        <v>13</v>
      </c>
      <c r="D286" t="s">
        <v>18</v>
      </c>
      <c r="E286" s="1">
        <v>1974</v>
      </c>
      <c r="F286" s="1">
        <v>2025</v>
      </c>
      <c r="G286" t="s">
        <v>11</v>
      </c>
      <c r="H286" s="2">
        <v>45930.622187499997</v>
      </c>
      <c r="I286" s="9">
        <f t="shared" si="40"/>
        <v>45933</v>
      </c>
      <c r="J286" s="2" t="str">
        <f t="shared" si="41"/>
        <v/>
      </c>
      <c r="L286" s="2" t="str">
        <f t="shared" si="42"/>
        <v/>
      </c>
      <c r="N286" s="10" t="str">
        <f t="shared" si="43"/>
        <v/>
      </c>
      <c r="O286" s="2">
        <f t="shared" si="44"/>
        <v>45933</v>
      </c>
      <c r="P286" s="2">
        <v>45930.663611111115</v>
      </c>
      <c r="Q286" s="2">
        <f t="shared" si="45"/>
        <v>45939</v>
      </c>
      <c r="R286" s="2">
        <v>45931.46303240741</v>
      </c>
      <c r="S286">
        <f t="shared" si="46"/>
        <v>0</v>
      </c>
      <c r="T286" s="2">
        <f t="shared" si="47"/>
        <v>45939</v>
      </c>
      <c r="U286" t="str">
        <f t="shared" si="48"/>
        <v>NO PRAZO</v>
      </c>
      <c r="Z286" s="5" t="s">
        <v>309</v>
      </c>
    </row>
    <row r="287" spans="1:26" hidden="1">
      <c r="A287" s="1">
        <v>21059</v>
      </c>
      <c r="B287" t="s">
        <v>19</v>
      </c>
      <c r="C287" t="s">
        <v>13</v>
      </c>
      <c r="D287" t="s">
        <v>16</v>
      </c>
      <c r="E287" s="1">
        <v>1971</v>
      </c>
      <c r="F287" s="1">
        <v>2025</v>
      </c>
      <c r="G287" t="s">
        <v>11</v>
      </c>
      <c r="H287" s="2">
        <v>45930.583587962959</v>
      </c>
      <c r="I287" s="9">
        <f t="shared" si="40"/>
        <v>45931</v>
      </c>
      <c r="J287" s="2" t="str">
        <f t="shared" si="41"/>
        <v/>
      </c>
      <c r="L287" s="2" t="str">
        <f t="shared" si="42"/>
        <v/>
      </c>
      <c r="N287" s="10" t="str">
        <f t="shared" si="43"/>
        <v/>
      </c>
      <c r="O287" s="2">
        <f t="shared" si="44"/>
        <v>45931</v>
      </c>
      <c r="P287" s="2">
        <v>45933.699513888889</v>
      </c>
      <c r="Q287" s="2">
        <f t="shared" si="45"/>
        <v>45937</v>
      </c>
      <c r="R287" s="2">
        <v>45933.747881944444</v>
      </c>
      <c r="S287">
        <f t="shared" si="46"/>
        <v>0</v>
      </c>
      <c r="T287" s="2">
        <f t="shared" si="47"/>
        <v>45937</v>
      </c>
      <c r="U287" t="str">
        <f t="shared" si="48"/>
        <v>NO PRAZO</v>
      </c>
      <c r="Z287" s="6" t="s">
        <v>310</v>
      </c>
    </row>
    <row r="288" spans="1:26" hidden="1">
      <c r="A288" s="1">
        <v>21055</v>
      </c>
      <c r="B288" t="s">
        <v>12</v>
      </c>
      <c r="C288" t="s">
        <v>13</v>
      </c>
      <c r="D288" t="s">
        <v>10</v>
      </c>
      <c r="E288" s="1">
        <v>1967</v>
      </c>
      <c r="F288" s="1">
        <v>2025</v>
      </c>
      <c r="G288" t="s">
        <v>11</v>
      </c>
      <c r="H288" s="2">
        <v>45929.709155092591</v>
      </c>
      <c r="I288" s="9">
        <f t="shared" si="40"/>
        <v>45930</v>
      </c>
      <c r="J288" s="2" t="str">
        <f t="shared" si="41"/>
        <v/>
      </c>
      <c r="L288" s="2" t="str">
        <f t="shared" si="42"/>
        <v/>
      </c>
      <c r="N288" s="10" t="str">
        <f t="shared" si="43"/>
        <v/>
      </c>
      <c r="O288" s="2">
        <f t="shared" si="44"/>
        <v>45930</v>
      </c>
      <c r="P288" s="2">
        <v>45931.642453703702</v>
      </c>
      <c r="Q288" s="2">
        <f t="shared" si="45"/>
        <v>45931</v>
      </c>
      <c r="R288" s="2">
        <v>45931.681562500002</v>
      </c>
      <c r="S288">
        <f t="shared" si="46"/>
        <v>0</v>
      </c>
      <c r="T288" s="2">
        <f t="shared" si="47"/>
        <v>45931</v>
      </c>
      <c r="U288" t="str">
        <f t="shared" si="48"/>
        <v>NO PRAZO</v>
      </c>
      <c r="Z288" s="5" t="s">
        <v>311</v>
      </c>
    </row>
    <row r="289" spans="1:26" hidden="1">
      <c r="A289" s="1">
        <v>21052</v>
      </c>
      <c r="B289" t="s">
        <v>8</v>
      </c>
      <c r="C289" t="s">
        <v>9</v>
      </c>
      <c r="D289" t="s">
        <v>18</v>
      </c>
      <c r="E289" s="1">
        <v>1964</v>
      </c>
      <c r="F289" s="1">
        <v>2025</v>
      </c>
      <c r="G289" t="s">
        <v>11</v>
      </c>
      <c r="H289" s="2">
        <v>45929.665162037039</v>
      </c>
      <c r="I289" s="9">
        <f t="shared" si="40"/>
        <v>45932</v>
      </c>
      <c r="J289" s="2" t="str">
        <f t="shared" si="41"/>
        <v/>
      </c>
      <c r="L289" s="2" t="str">
        <f t="shared" si="42"/>
        <v/>
      </c>
      <c r="N289" s="10" t="str">
        <f t="shared" si="43"/>
        <v/>
      </c>
      <c r="O289" s="2">
        <f t="shared" si="44"/>
        <v>45932</v>
      </c>
      <c r="P289" s="2">
        <v>45931.507245370369</v>
      </c>
      <c r="Q289" s="2">
        <f t="shared" si="45"/>
        <v>45938</v>
      </c>
      <c r="R289" s="2">
        <v>45936.756006944444</v>
      </c>
      <c r="S289">
        <f t="shared" si="46"/>
        <v>0</v>
      </c>
      <c r="T289" s="2">
        <f t="shared" si="47"/>
        <v>45938</v>
      </c>
      <c r="U289" t="str">
        <f t="shared" si="48"/>
        <v>NO PRAZO</v>
      </c>
      <c r="Z289" s="5" t="s">
        <v>312</v>
      </c>
    </row>
    <row r="290" spans="1:26" hidden="1">
      <c r="A290" s="1">
        <v>21048</v>
      </c>
      <c r="B290" t="s">
        <v>20</v>
      </c>
      <c r="C290" t="s">
        <v>13</v>
      </c>
      <c r="D290" t="s">
        <v>14</v>
      </c>
      <c r="E290" s="1">
        <v>1960</v>
      </c>
      <c r="F290" s="1">
        <v>2025</v>
      </c>
      <c r="G290" t="s">
        <v>11</v>
      </c>
      <c r="H290" s="2">
        <v>45929.625844907408</v>
      </c>
      <c r="I290" s="9">
        <f t="shared" si="40"/>
        <v>45930</v>
      </c>
      <c r="J290" s="2" t="str">
        <f t="shared" si="41"/>
        <v/>
      </c>
      <c r="L290" s="2" t="str">
        <f t="shared" si="42"/>
        <v/>
      </c>
      <c r="N290" s="10" t="str">
        <f t="shared" si="43"/>
        <v/>
      </c>
      <c r="O290" s="2">
        <f t="shared" si="44"/>
        <v>45930</v>
      </c>
      <c r="P290" s="2">
        <v>45931.630011574074</v>
      </c>
      <c r="Q290" s="2">
        <f t="shared" si="45"/>
        <v>45931</v>
      </c>
      <c r="R290" s="2">
        <v>45931.633900462963</v>
      </c>
      <c r="S290">
        <f t="shared" si="46"/>
        <v>0</v>
      </c>
      <c r="T290" s="2">
        <f t="shared" si="47"/>
        <v>45931</v>
      </c>
      <c r="U290" t="str">
        <f t="shared" si="48"/>
        <v>NO PRAZO</v>
      </c>
      <c r="Z290" s="5" t="s">
        <v>313</v>
      </c>
    </row>
    <row r="291" spans="1:26" hidden="1">
      <c r="A291" s="1">
        <v>21045</v>
      </c>
      <c r="B291" t="s">
        <v>20</v>
      </c>
      <c r="C291" t="s">
        <v>13</v>
      </c>
      <c r="D291" t="s">
        <v>16</v>
      </c>
      <c r="E291" s="1">
        <v>1957</v>
      </c>
      <c r="F291" s="1">
        <v>2025</v>
      </c>
      <c r="G291" t="s">
        <v>11</v>
      </c>
      <c r="H291" s="2">
        <v>45929.584166666667</v>
      </c>
      <c r="I291" s="9">
        <f t="shared" si="40"/>
        <v>45930</v>
      </c>
      <c r="J291" s="2" t="str">
        <f t="shared" si="41"/>
        <v/>
      </c>
      <c r="L291" s="2" t="str">
        <f t="shared" si="42"/>
        <v/>
      </c>
      <c r="N291" s="10" t="str">
        <f t="shared" si="43"/>
        <v/>
      </c>
      <c r="O291" s="2">
        <f t="shared" si="44"/>
        <v>45930</v>
      </c>
      <c r="P291" s="2">
        <v>45932.62699074074</v>
      </c>
      <c r="Q291" s="2">
        <f t="shared" si="45"/>
        <v>45936</v>
      </c>
      <c r="R291" s="2">
        <v>45936.855532407404</v>
      </c>
      <c r="S291">
        <f t="shared" si="46"/>
        <v>0</v>
      </c>
      <c r="T291" s="2">
        <f t="shared" si="47"/>
        <v>45936</v>
      </c>
      <c r="U291" t="str">
        <f t="shared" si="48"/>
        <v>NO PRAZO</v>
      </c>
      <c r="Z291" s="5" t="s">
        <v>314</v>
      </c>
    </row>
    <row r="292" spans="1:26" hidden="1">
      <c r="A292" s="1">
        <v>21040</v>
      </c>
      <c r="B292" t="s">
        <v>22</v>
      </c>
      <c r="C292" t="s">
        <v>13</v>
      </c>
      <c r="D292" t="s">
        <v>10</v>
      </c>
      <c r="E292" s="1">
        <v>1952</v>
      </c>
      <c r="F292" s="1">
        <v>2025</v>
      </c>
      <c r="G292" t="s">
        <v>11</v>
      </c>
      <c r="H292" s="2">
        <v>45929.500833333332</v>
      </c>
      <c r="I292" s="9">
        <f t="shared" si="40"/>
        <v>45930</v>
      </c>
      <c r="J292" s="2" t="str">
        <f t="shared" si="41"/>
        <v/>
      </c>
      <c r="L292" s="2" t="str">
        <f t="shared" si="42"/>
        <v/>
      </c>
      <c r="N292" s="10" t="str">
        <f t="shared" si="43"/>
        <v/>
      </c>
      <c r="O292" s="2">
        <f t="shared" si="44"/>
        <v>45930</v>
      </c>
      <c r="P292" s="2">
        <v>45931.621192129627</v>
      </c>
      <c r="Q292" s="2">
        <f t="shared" si="45"/>
        <v>45931</v>
      </c>
      <c r="R292" s="2">
        <v>45931.628113425926</v>
      </c>
      <c r="S292">
        <f t="shared" si="46"/>
        <v>0</v>
      </c>
      <c r="T292" s="2">
        <f t="shared" si="47"/>
        <v>45931</v>
      </c>
      <c r="U292" t="str">
        <f t="shared" si="48"/>
        <v>NO PRAZO</v>
      </c>
      <c r="Z292" s="5" t="s">
        <v>315</v>
      </c>
    </row>
    <row r="293" spans="1:26" hidden="1">
      <c r="A293" s="1">
        <v>21037</v>
      </c>
      <c r="B293" t="s">
        <v>22</v>
      </c>
      <c r="C293" t="s">
        <v>13</v>
      </c>
      <c r="D293" t="s">
        <v>16</v>
      </c>
      <c r="E293" s="1">
        <v>1949</v>
      </c>
      <c r="F293" s="1">
        <v>2025</v>
      </c>
      <c r="G293" t="s">
        <v>11</v>
      </c>
      <c r="H293" s="2">
        <v>45926.720393518517</v>
      </c>
      <c r="I293" s="9">
        <f t="shared" si="40"/>
        <v>45929</v>
      </c>
      <c r="J293" s="2" t="str">
        <f t="shared" si="41"/>
        <v/>
      </c>
      <c r="L293" s="2" t="str">
        <f t="shared" si="42"/>
        <v/>
      </c>
      <c r="N293" s="10" t="str">
        <f t="shared" si="43"/>
        <v/>
      </c>
      <c r="O293" s="2">
        <f t="shared" si="44"/>
        <v>45929</v>
      </c>
      <c r="P293" s="2">
        <v>45926.724490740744</v>
      </c>
      <c r="Q293" s="2">
        <f t="shared" si="45"/>
        <v>45933</v>
      </c>
      <c r="R293" s="2">
        <v>45933.670925925922</v>
      </c>
      <c r="S293">
        <f t="shared" si="46"/>
        <v>0</v>
      </c>
      <c r="T293" s="2">
        <f t="shared" si="47"/>
        <v>45933</v>
      </c>
      <c r="U293" t="str">
        <f t="shared" si="48"/>
        <v>NO PRAZO</v>
      </c>
      <c r="Z293" s="5" t="s">
        <v>316</v>
      </c>
    </row>
    <row r="294" spans="1:26" hidden="1">
      <c r="A294" s="1">
        <v>21031</v>
      </c>
      <c r="B294" t="s">
        <v>19</v>
      </c>
      <c r="C294" t="s">
        <v>13</v>
      </c>
      <c r="D294" t="s">
        <v>10</v>
      </c>
      <c r="E294" s="1">
        <v>1943</v>
      </c>
      <c r="F294" s="1">
        <v>2025</v>
      </c>
      <c r="G294" t="s">
        <v>11</v>
      </c>
      <c r="H294" s="2">
        <v>45925.667395833334</v>
      </c>
      <c r="I294" s="9">
        <f t="shared" si="40"/>
        <v>45926</v>
      </c>
      <c r="J294" s="2" t="str">
        <f t="shared" si="41"/>
        <v/>
      </c>
      <c r="L294" s="2" t="str">
        <f t="shared" si="42"/>
        <v/>
      </c>
      <c r="N294" s="10" t="str">
        <f t="shared" si="43"/>
        <v/>
      </c>
      <c r="O294" s="2">
        <f t="shared" si="44"/>
        <v>45926</v>
      </c>
      <c r="P294" s="2">
        <v>45929.375694444447</v>
      </c>
      <c r="Q294" s="2">
        <f t="shared" si="45"/>
        <v>45929</v>
      </c>
      <c r="R294" s="2">
        <v>45929.768310185187</v>
      </c>
      <c r="S294">
        <f t="shared" si="46"/>
        <v>0</v>
      </c>
      <c r="T294" s="2">
        <f t="shared" si="47"/>
        <v>45929</v>
      </c>
      <c r="U294" t="str">
        <f t="shared" si="48"/>
        <v>NO PRAZO</v>
      </c>
      <c r="Z294" s="5" t="s">
        <v>317</v>
      </c>
    </row>
    <row r="295" spans="1:26" hidden="1">
      <c r="A295" s="1">
        <v>21030</v>
      </c>
      <c r="B295" t="s">
        <v>15</v>
      </c>
      <c r="C295" t="s">
        <v>13</v>
      </c>
      <c r="D295" t="s">
        <v>10</v>
      </c>
      <c r="E295" s="1">
        <v>1942</v>
      </c>
      <c r="F295" s="1">
        <v>2025</v>
      </c>
      <c r="G295" t="s">
        <v>11</v>
      </c>
      <c r="H295" s="2">
        <v>45925.584027777775</v>
      </c>
      <c r="I295" s="9">
        <f t="shared" si="40"/>
        <v>45926</v>
      </c>
      <c r="J295" s="2" t="str">
        <f t="shared" si="41"/>
        <v/>
      </c>
      <c r="L295" s="2" t="str">
        <f t="shared" si="42"/>
        <v/>
      </c>
      <c r="N295" s="10" t="str">
        <f t="shared" si="43"/>
        <v/>
      </c>
      <c r="O295" s="2">
        <f t="shared" si="44"/>
        <v>45926</v>
      </c>
      <c r="P295" s="2">
        <v>45929.594375000001</v>
      </c>
      <c r="Q295" s="2">
        <f t="shared" si="45"/>
        <v>45929</v>
      </c>
      <c r="R295" s="2">
        <v>45929.767476851855</v>
      </c>
      <c r="S295">
        <f t="shared" si="46"/>
        <v>0</v>
      </c>
      <c r="T295" s="2">
        <f t="shared" si="47"/>
        <v>45929</v>
      </c>
      <c r="U295" t="str">
        <f t="shared" si="48"/>
        <v>NO PRAZO</v>
      </c>
      <c r="Z295" s="5" t="s">
        <v>318</v>
      </c>
    </row>
    <row r="296" spans="1:26" hidden="1">
      <c r="A296" s="1">
        <v>21024</v>
      </c>
      <c r="B296" t="s">
        <v>15</v>
      </c>
      <c r="C296" t="s">
        <v>13</v>
      </c>
      <c r="D296" t="s">
        <v>10</v>
      </c>
      <c r="E296" s="1">
        <v>1936</v>
      </c>
      <c r="F296" s="1">
        <v>2025</v>
      </c>
      <c r="G296" t="s">
        <v>11</v>
      </c>
      <c r="H296" s="2">
        <v>45925.459016203706</v>
      </c>
      <c r="I296" s="9">
        <f t="shared" si="40"/>
        <v>45926</v>
      </c>
      <c r="J296" s="2" t="str">
        <f t="shared" si="41"/>
        <v/>
      </c>
      <c r="L296" s="2" t="str">
        <f t="shared" si="42"/>
        <v/>
      </c>
      <c r="N296" s="10" t="str">
        <f t="shared" si="43"/>
        <v/>
      </c>
      <c r="O296" s="2">
        <f t="shared" si="44"/>
        <v>45926</v>
      </c>
      <c r="P296" s="2">
        <v>45929.650868055556</v>
      </c>
      <c r="Q296" s="2">
        <f t="shared" si="45"/>
        <v>45929</v>
      </c>
      <c r="R296" s="2">
        <v>45929.767511574071</v>
      </c>
      <c r="S296">
        <f t="shared" si="46"/>
        <v>0</v>
      </c>
      <c r="T296" s="2">
        <f t="shared" si="47"/>
        <v>45929</v>
      </c>
      <c r="U296" t="str">
        <f t="shared" si="48"/>
        <v>NO PRAZO</v>
      </c>
      <c r="Z296" s="5" t="s">
        <v>319</v>
      </c>
    </row>
    <row r="297" spans="1:26" hidden="1">
      <c r="A297" s="1">
        <v>21021</v>
      </c>
      <c r="B297" t="s">
        <v>22</v>
      </c>
      <c r="C297" t="s">
        <v>13</v>
      </c>
      <c r="D297" t="s">
        <v>10</v>
      </c>
      <c r="E297" s="1">
        <v>1933</v>
      </c>
      <c r="F297" s="1">
        <v>2025</v>
      </c>
      <c r="G297" t="s">
        <v>11</v>
      </c>
      <c r="H297" s="2">
        <v>45925.375671296293</v>
      </c>
      <c r="I297" s="9">
        <f t="shared" si="40"/>
        <v>45926</v>
      </c>
      <c r="J297" s="2" t="str">
        <f t="shared" si="41"/>
        <v/>
      </c>
      <c r="L297" s="2" t="str">
        <f t="shared" si="42"/>
        <v/>
      </c>
      <c r="N297" s="10" t="str">
        <f t="shared" si="43"/>
        <v/>
      </c>
      <c r="O297" s="2">
        <f t="shared" si="44"/>
        <v>45926</v>
      </c>
      <c r="P297" s="2">
        <v>45926.704143518517</v>
      </c>
      <c r="Q297" s="2">
        <f t="shared" si="45"/>
        <v>45929</v>
      </c>
      <c r="R297" s="2">
        <v>45926.734699074077</v>
      </c>
      <c r="S297">
        <f t="shared" si="46"/>
        <v>0</v>
      </c>
      <c r="T297" s="2">
        <f t="shared" si="47"/>
        <v>45929</v>
      </c>
      <c r="U297" t="str">
        <f t="shared" si="48"/>
        <v>NO PRAZO</v>
      </c>
      <c r="Z297" s="6" t="s">
        <v>320</v>
      </c>
    </row>
    <row r="298" spans="1:26" hidden="1">
      <c r="A298" s="1">
        <v>21020</v>
      </c>
      <c r="B298" t="s">
        <v>20</v>
      </c>
      <c r="C298" t="s">
        <v>13</v>
      </c>
      <c r="D298" t="s">
        <v>18</v>
      </c>
      <c r="E298" s="1">
        <v>1932</v>
      </c>
      <c r="F298" s="1">
        <v>2025</v>
      </c>
      <c r="G298" t="s">
        <v>11</v>
      </c>
      <c r="H298" s="2">
        <v>45924.75068287037</v>
      </c>
      <c r="I298" s="9">
        <f t="shared" si="40"/>
        <v>45929</v>
      </c>
      <c r="J298" s="2" t="str">
        <f t="shared" si="41"/>
        <v/>
      </c>
      <c r="L298" s="2" t="str">
        <f t="shared" si="42"/>
        <v/>
      </c>
      <c r="N298" s="10" t="str">
        <f t="shared" si="43"/>
        <v/>
      </c>
      <c r="O298" s="2">
        <f t="shared" si="44"/>
        <v>45929</v>
      </c>
      <c r="P298" s="2">
        <v>45932.439363425925</v>
      </c>
      <c r="Q298" s="2">
        <f t="shared" si="45"/>
        <v>45933</v>
      </c>
      <c r="R298" s="2">
        <v>45933.678425925929</v>
      </c>
      <c r="S298">
        <f t="shared" si="46"/>
        <v>0</v>
      </c>
      <c r="T298" s="2">
        <f t="shared" si="47"/>
        <v>45933</v>
      </c>
      <c r="U298" t="str">
        <f t="shared" si="48"/>
        <v>NO PRAZO</v>
      </c>
      <c r="Z298" s="5" t="s">
        <v>321</v>
      </c>
    </row>
    <row r="299" spans="1:26" hidden="1">
      <c r="A299" s="1">
        <v>21019</v>
      </c>
      <c r="B299" t="s">
        <v>20</v>
      </c>
      <c r="C299" t="s">
        <v>13</v>
      </c>
      <c r="D299" t="s">
        <v>18</v>
      </c>
      <c r="E299" s="1">
        <v>1931</v>
      </c>
      <c r="F299" s="1">
        <v>2025</v>
      </c>
      <c r="G299" t="s">
        <v>11</v>
      </c>
      <c r="H299" s="2">
        <v>45924.625671296293</v>
      </c>
      <c r="I299" s="9">
        <f t="shared" si="40"/>
        <v>45929</v>
      </c>
      <c r="J299" s="2" t="str">
        <f t="shared" si="41"/>
        <v/>
      </c>
      <c r="L299" s="2" t="str">
        <f t="shared" si="42"/>
        <v/>
      </c>
      <c r="N299" s="10" t="str">
        <f t="shared" si="43"/>
        <v/>
      </c>
      <c r="O299" s="2">
        <f t="shared" si="44"/>
        <v>45929</v>
      </c>
      <c r="P299" s="2">
        <v>45925.508275462962</v>
      </c>
      <c r="Q299" s="2">
        <f t="shared" si="45"/>
        <v>45933</v>
      </c>
      <c r="R299" s="2">
        <v>45926.402824074074</v>
      </c>
      <c r="S299">
        <f t="shared" si="46"/>
        <v>0</v>
      </c>
      <c r="T299" s="2">
        <f t="shared" si="47"/>
        <v>45933</v>
      </c>
      <c r="U299" t="str">
        <f t="shared" si="48"/>
        <v>NO PRAZO</v>
      </c>
      <c r="Z299" s="5" t="s">
        <v>322</v>
      </c>
    </row>
    <row r="300" spans="1:26" hidden="1">
      <c r="A300" s="1">
        <v>21012</v>
      </c>
      <c r="B300" t="s">
        <v>20</v>
      </c>
      <c r="C300" t="s">
        <v>13</v>
      </c>
      <c r="D300" t="s">
        <v>18</v>
      </c>
      <c r="E300" s="1">
        <v>1924</v>
      </c>
      <c r="F300" s="1">
        <v>2025</v>
      </c>
      <c r="G300" t="s">
        <v>11</v>
      </c>
      <c r="H300" s="2">
        <v>45924.375671296293</v>
      </c>
      <c r="I300" s="9">
        <f t="shared" si="40"/>
        <v>45929</v>
      </c>
      <c r="J300" s="2" t="str">
        <f t="shared" si="41"/>
        <v/>
      </c>
      <c r="L300" s="2" t="str">
        <f t="shared" si="42"/>
        <v/>
      </c>
      <c r="N300" s="10" t="str">
        <f t="shared" si="43"/>
        <v/>
      </c>
      <c r="O300" s="2">
        <f t="shared" si="44"/>
        <v>45929</v>
      </c>
      <c r="P300" s="2">
        <v>45926.711585648147</v>
      </c>
      <c r="Q300" s="2">
        <f t="shared" si="45"/>
        <v>45933</v>
      </c>
      <c r="R300" s="2">
        <v>45931.705416666664</v>
      </c>
      <c r="S300">
        <f t="shared" si="46"/>
        <v>0</v>
      </c>
      <c r="T300" s="2">
        <f t="shared" si="47"/>
        <v>45933</v>
      </c>
      <c r="U300" t="str">
        <f t="shared" si="48"/>
        <v>NO PRAZO</v>
      </c>
      <c r="Z300" s="5" t="s">
        <v>323</v>
      </c>
    </row>
    <row r="301" spans="1:26" hidden="1">
      <c r="A301" s="1">
        <v>21004</v>
      </c>
      <c r="B301" t="s">
        <v>12</v>
      </c>
      <c r="C301" t="s">
        <v>9</v>
      </c>
      <c r="D301" t="s">
        <v>21</v>
      </c>
      <c r="E301" s="1">
        <v>1916</v>
      </c>
      <c r="F301" s="1">
        <v>2025</v>
      </c>
      <c r="G301" t="s">
        <v>11</v>
      </c>
      <c r="H301" s="2">
        <v>45922.673194444447</v>
      </c>
      <c r="I301" s="9">
        <f t="shared" si="40"/>
        <v>45925</v>
      </c>
      <c r="J301" s="2">
        <f t="shared" si="41"/>
        <v>45925</v>
      </c>
      <c r="K301" s="2">
        <v>45925.755358796298</v>
      </c>
      <c r="L301" s="2">
        <f t="shared" si="42"/>
        <v>45945</v>
      </c>
      <c r="M301" s="2">
        <v>45930.72488425926</v>
      </c>
      <c r="N301" s="10">
        <f t="shared" si="43"/>
        <v>0</v>
      </c>
      <c r="O301" s="2">
        <f t="shared" si="44"/>
        <v>45946</v>
      </c>
      <c r="P301" s="2">
        <v>45930.834652777776</v>
      </c>
      <c r="Q301" s="2">
        <f t="shared" si="45"/>
        <v>45973</v>
      </c>
      <c r="R301" s="2">
        <v>45946.447800925926</v>
      </c>
      <c r="S301">
        <f t="shared" si="46"/>
        <v>0</v>
      </c>
      <c r="T301" s="2">
        <f t="shared" si="47"/>
        <v>45973</v>
      </c>
      <c r="U301" t="str">
        <f t="shared" si="48"/>
        <v>NO PRAZO</v>
      </c>
      <c r="Z301" s="5" t="s">
        <v>324</v>
      </c>
    </row>
    <row r="302" spans="1:26" hidden="1">
      <c r="A302" s="1">
        <v>20999</v>
      </c>
      <c r="B302" t="s">
        <v>20</v>
      </c>
      <c r="C302" t="s">
        <v>13</v>
      </c>
      <c r="D302" t="s">
        <v>18</v>
      </c>
      <c r="E302" s="1">
        <v>1911</v>
      </c>
      <c r="F302" s="1">
        <v>2025</v>
      </c>
      <c r="G302" t="s">
        <v>11</v>
      </c>
      <c r="H302" s="2">
        <v>45922.590243055558</v>
      </c>
      <c r="I302" s="9">
        <f t="shared" si="40"/>
        <v>45925</v>
      </c>
      <c r="J302" s="2" t="str">
        <f t="shared" si="41"/>
        <v/>
      </c>
      <c r="L302" s="2" t="str">
        <f t="shared" si="42"/>
        <v/>
      </c>
      <c r="N302" s="10" t="str">
        <f t="shared" si="43"/>
        <v/>
      </c>
      <c r="O302" s="2">
        <f t="shared" si="44"/>
        <v>45925</v>
      </c>
      <c r="P302" s="2">
        <v>45922.592106481483</v>
      </c>
      <c r="Q302" s="2">
        <f t="shared" si="45"/>
        <v>45931</v>
      </c>
      <c r="R302" s="2">
        <v>45929.509756944448</v>
      </c>
      <c r="S302">
        <f t="shared" si="46"/>
        <v>0</v>
      </c>
      <c r="T302" s="2">
        <f t="shared" si="47"/>
        <v>45931</v>
      </c>
      <c r="U302" t="str">
        <f t="shared" si="48"/>
        <v>NO PRAZO</v>
      </c>
      <c r="Z302" s="5" t="s">
        <v>325</v>
      </c>
    </row>
    <row r="303" spans="1:26">
      <c r="A303" s="1">
        <v>20991</v>
      </c>
      <c r="B303" t="s">
        <v>23</v>
      </c>
      <c r="C303" t="s">
        <v>9</v>
      </c>
      <c r="D303" t="s">
        <v>16</v>
      </c>
      <c r="E303" s="1">
        <v>1903</v>
      </c>
      <c r="F303" s="1">
        <v>2025</v>
      </c>
      <c r="G303" t="s">
        <v>11</v>
      </c>
      <c r="H303" s="2">
        <v>45918.708796296298</v>
      </c>
      <c r="I303" s="9">
        <f t="shared" si="40"/>
        <v>45919</v>
      </c>
      <c r="J303" s="2" t="str">
        <f t="shared" si="41"/>
        <v/>
      </c>
      <c r="L303" s="2" t="str">
        <f t="shared" si="42"/>
        <v/>
      </c>
      <c r="N303" s="10" t="str">
        <f t="shared" si="43"/>
        <v/>
      </c>
      <c r="O303" s="2">
        <f t="shared" si="44"/>
        <v>45919</v>
      </c>
      <c r="P303" s="2">
        <v>45926.500173611108</v>
      </c>
      <c r="Q303" s="2">
        <f t="shared" si="45"/>
        <v>45925</v>
      </c>
      <c r="R303" s="2">
        <v>45926.750335648147</v>
      </c>
      <c r="S303">
        <f t="shared" si="46"/>
        <v>1</v>
      </c>
      <c r="T303" s="2">
        <f t="shared" si="47"/>
        <v>45925</v>
      </c>
      <c r="U303" t="str">
        <f t="shared" si="48"/>
        <v>ATRASO</v>
      </c>
      <c r="Z303" s="6" t="s">
        <v>326</v>
      </c>
    </row>
    <row r="304" spans="1:26" hidden="1">
      <c r="A304" s="1">
        <v>20990</v>
      </c>
      <c r="B304" t="s">
        <v>23</v>
      </c>
      <c r="C304" t="s">
        <v>13</v>
      </c>
      <c r="D304" t="s">
        <v>10</v>
      </c>
      <c r="E304" s="1">
        <v>1902</v>
      </c>
      <c r="F304" s="1">
        <v>2025</v>
      </c>
      <c r="G304" t="s">
        <v>11</v>
      </c>
      <c r="H304" s="2">
        <v>45918.667129629626</v>
      </c>
      <c r="I304" s="9">
        <f t="shared" si="40"/>
        <v>45919</v>
      </c>
      <c r="J304" s="2" t="str">
        <f t="shared" si="41"/>
        <v/>
      </c>
      <c r="L304" s="2" t="str">
        <f t="shared" si="42"/>
        <v/>
      </c>
      <c r="N304" s="10" t="str">
        <f t="shared" si="43"/>
        <v/>
      </c>
      <c r="O304" s="2">
        <f t="shared" si="44"/>
        <v>45919</v>
      </c>
      <c r="P304" s="2">
        <v>45919.408854166664</v>
      </c>
      <c r="Q304" s="2">
        <f t="shared" si="45"/>
        <v>45922</v>
      </c>
      <c r="R304" s="2">
        <v>45919.466400462959</v>
      </c>
      <c r="S304">
        <f t="shared" si="46"/>
        <v>0</v>
      </c>
      <c r="T304" s="2">
        <f t="shared" si="47"/>
        <v>45922</v>
      </c>
      <c r="U304" t="str">
        <f t="shared" si="48"/>
        <v>NO PRAZO</v>
      </c>
      <c r="Z304" s="5" t="s">
        <v>327</v>
      </c>
    </row>
    <row r="305" spans="1:26">
      <c r="A305" s="1">
        <v>20987</v>
      </c>
      <c r="B305" t="s">
        <v>12</v>
      </c>
      <c r="C305" t="s">
        <v>13</v>
      </c>
      <c r="D305" t="s">
        <v>21</v>
      </c>
      <c r="E305" s="1">
        <v>1899</v>
      </c>
      <c r="F305" s="1">
        <v>2025</v>
      </c>
      <c r="G305" t="s">
        <v>11</v>
      </c>
      <c r="H305" s="2">
        <v>45918.625462962962</v>
      </c>
      <c r="I305" s="9">
        <f t="shared" si="40"/>
        <v>45923</v>
      </c>
      <c r="J305" s="2">
        <f t="shared" si="41"/>
        <v>45923</v>
      </c>
      <c r="K305" s="2">
        <v>45930.631979166668</v>
      </c>
      <c r="L305" s="2">
        <f t="shared" si="42"/>
        <v>45943</v>
      </c>
      <c r="M305" s="2">
        <v>45947.466770833336</v>
      </c>
      <c r="N305" s="10">
        <f t="shared" si="43"/>
        <v>4</v>
      </c>
      <c r="O305" s="2">
        <f t="shared" si="44"/>
        <v>45944</v>
      </c>
      <c r="P305" s="2">
        <v>45933.638796296298</v>
      </c>
      <c r="Q305" s="2">
        <f t="shared" si="45"/>
        <v>45971</v>
      </c>
      <c r="R305" s="2">
        <v>46094.692418981482</v>
      </c>
      <c r="S305">
        <f t="shared" si="46"/>
        <v>123</v>
      </c>
      <c r="T305" s="2">
        <f t="shared" si="47"/>
        <v>45971</v>
      </c>
      <c r="U305" t="str">
        <f t="shared" si="48"/>
        <v>ATRASO</v>
      </c>
      <c r="Z305" s="5" t="s">
        <v>328</v>
      </c>
    </row>
    <row r="306" spans="1:26">
      <c r="A306" s="1">
        <v>20986</v>
      </c>
      <c r="B306" t="s">
        <v>12</v>
      </c>
      <c r="C306" t="s">
        <v>13</v>
      </c>
      <c r="D306" t="s">
        <v>21</v>
      </c>
      <c r="E306" s="1">
        <v>1898</v>
      </c>
      <c r="F306" s="1">
        <v>2025</v>
      </c>
      <c r="G306" t="s">
        <v>11</v>
      </c>
      <c r="H306" s="2">
        <v>45918.625462962962</v>
      </c>
      <c r="I306" s="9">
        <f t="shared" si="40"/>
        <v>45923</v>
      </c>
      <c r="J306" s="2">
        <f t="shared" si="41"/>
        <v>45923</v>
      </c>
      <c r="K306" s="2">
        <v>45929.694953703707</v>
      </c>
      <c r="L306" s="2">
        <f t="shared" si="42"/>
        <v>45943</v>
      </c>
      <c r="M306" s="2">
        <v>45947.463541666664</v>
      </c>
      <c r="N306" s="10">
        <f t="shared" si="43"/>
        <v>4</v>
      </c>
      <c r="O306" s="2">
        <f t="shared" si="44"/>
        <v>45944</v>
      </c>
      <c r="P306" s="2">
        <v>45931.749236111114</v>
      </c>
      <c r="Q306" s="2">
        <f t="shared" si="45"/>
        <v>45971</v>
      </c>
      <c r="R306" s="2">
        <v>45976.412511574075</v>
      </c>
      <c r="S306">
        <f t="shared" si="46"/>
        <v>5</v>
      </c>
      <c r="T306" s="2">
        <f t="shared" si="47"/>
        <v>45971</v>
      </c>
      <c r="U306" t="str">
        <f t="shared" si="48"/>
        <v>ATRASO</v>
      </c>
      <c r="Z306" s="6" t="s">
        <v>329</v>
      </c>
    </row>
    <row r="307" spans="1:26" hidden="1">
      <c r="A307" s="1">
        <v>20983</v>
      </c>
      <c r="B307" t="s">
        <v>22</v>
      </c>
      <c r="C307" t="s">
        <v>13</v>
      </c>
      <c r="D307" t="s">
        <v>16</v>
      </c>
      <c r="E307" s="1">
        <v>1895</v>
      </c>
      <c r="F307" s="1">
        <v>2025</v>
      </c>
      <c r="G307" t="s">
        <v>11</v>
      </c>
      <c r="H307" s="2">
        <v>45918.417083333334</v>
      </c>
      <c r="I307" s="9">
        <f t="shared" si="40"/>
        <v>45919</v>
      </c>
      <c r="J307" s="2" t="str">
        <f t="shared" si="41"/>
        <v/>
      </c>
      <c r="L307" s="2" t="str">
        <f t="shared" si="42"/>
        <v/>
      </c>
      <c r="N307" s="10" t="str">
        <f t="shared" si="43"/>
        <v/>
      </c>
      <c r="O307" s="2">
        <f t="shared" si="44"/>
        <v>45919</v>
      </c>
      <c r="P307" s="2">
        <v>45925.752662037034</v>
      </c>
      <c r="Q307" s="2">
        <f t="shared" si="45"/>
        <v>45925</v>
      </c>
      <c r="R307" s="2">
        <v>45925.752974537034</v>
      </c>
      <c r="S307">
        <f t="shared" si="46"/>
        <v>0</v>
      </c>
      <c r="T307" s="2">
        <f t="shared" si="47"/>
        <v>45925</v>
      </c>
      <c r="U307" t="str">
        <f t="shared" si="48"/>
        <v>NO PRAZO</v>
      </c>
      <c r="Z307" s="5" t="s">
        <v>330</v>
      </c>
    </row>
    <row r="308" spans="1:26" hidden="1">
      <c r="A308" s="1">
        <v>20982</v>
      </c>
      <c r="B308" t="s">
        <v>22</v>
      </c>
      <c r="C308" t="s">
        <v>13</v>
      </c>
      <c r="D308" t="s">
        <v>18</v>
      </c>
      <c r="E308" s="1">
        <v>1894</v>
      </c>
      <c r="F308" s="1">
        <v>2025</v>
      </c>
      <c r="G308" t="s">
        <v>11</v>
      </c>
      <c r="H308" s="2">
        <v>45917.667094907411</v>
      </c>
      <c r="I308" s="9">
        <f t="shared" si="40"/>
        <v>45922</v>
      </c>
      <c r="J308" s="2" t="str">
        <f t="shared" si="41"/>
        <v/>
      </c>
      <c r="L308" s="2" t="str">
        <f t="shared" si="42"/>
        <v/>
      </c>
      <c r="N308" s="10" t="str">
        <f t="shared" si="43"/>
        <v/>
      </c>
      <c r="O308" s="2">
        <f t="shared" si="44"/>
        <v>45922</v>
      </c>
      <c r="P308" s="2">
        <v>45924.787615740737</v>
      </c>
      <c r="Q308" s="2">
        <f t="shared" si="45"/>
        <v>45926</v>
      </c>
      <c r="R308" s="2">
        <v>45924.788391203707</v>
      </c>
      <c r="S308">
        <f t="shared" si="46"/>
        <v>0</v>
      </c>
      <c r="T308" s="2">
        <f t="shared" si="47"/>
        <v>45926</v>
      </c>
      <c r="U308" t="str">
        <f t="shared" si="48"/>
        <v>NO PRAZO</v>
      </c>
      <c r="Z308" s="4" t="s">
        <v>331</v>
      </c>
    </row>
    <row r="309" spans="1:26" hidden="1">
      <c r="A309" s="1">
        <v>20979</v>
      </c>
      <c r="B309" t="s">
        <v>15</v>
      </c>
      <c r="C309" t="s">
        <v>13</v>
      </c>
      <c r="D309" t="s">
        <v>10</v>
      </c>
      <c r="E309" s="1">
        <v>1891</v>
      </c>
      <c r="F309" s="1">
        <v>2025</v>
      </c>
      <c r="G309" t="s">
        <v>11</v>
      </c>
      <c r="H309" s="2">
        <v>45917.500428240739</v>
      </c>
      <c r="I309" s="9">
        <f t="shared" si="40"/>
        <v>45918</v>
      </c>
      <c r="J309" s="2" t="str">
        <f t="shared" si="41"/>
        <v/>
      </c>
      <c r="L309" s="2" t="str">
        <f t="shared" si="42"/>
        <v/>
      </c>
      <c r="N309" s="10" t="str">
        <f t="shared" si="43"/>
        <v/>
      </c>
      <c r="O309" s="2">
        <f t="shared" si="44"/>
        <v>45918</v>
      </c>
      <c r="P309" s="2">
        <v>45919.420624999999</v>
      </c>
      <c r="Q309" s="2">
        <f t="shared" si="45"/>
        <v>45919</v>
      </c>
      <c r="R309" s="2">
        <v>45919.698564814818</v>
      </c>
      <c r="S309">
        <f t="shared" si="46"/>
        <v>0</v>
      </c>
      <c r="T309" s="2">
        <f t="shared" si="47"/>
        <v>45919</v>
      </c>
      <c r="U309" t="str">
        <f t="shared" si="48"/>
        <v>NO PRAZO</v>
      </c>
      <c r="Z309" s="5" t="s">
        <v>332</v>
      </c>
    </row>
    <row r="310" spans="1:26" hidden="1">
      <c r="A310" s="1">
        <v>20978</v>
      </c>
      <c r="B310" t="s">
        <v>19</v>
      </c>
      <c r="C310" t="s">
        <v>13</v>
      </c>
      <c r="D310" t="s">
        <v>10</v>
      </c>
      <c r="E310" s="1">
        <v>1890</v>
      </c>
      <c r="F310" s="1">
        <v>2025</v>
      </c>
      <c r="G310" t="s">
        <v>11</v>
      </c>
      <c r="H310" s="2">
        <v>45917.458761574075</v>
      </c>
      <c r="I310" s="9">
        <f t="shared" si="40"/>
        <v>45918</v>
      </c>
      <c r="J310" s="2" t="str">
        <f t="shared" si="41"/>
        <v/>
      </c>
      <c r="L310" s="2" t="str">
        <f t="shared" si="42"/>
        <v/>
      </c>
      <c r="N310" s="10" t="str">
        <f t="shared" si="43"/>
        <v/>
      </c>
      <c r="O310" s="2">
        <f t="shared" si="44"/>
        <v>45918</v>
      </c>
      <c r="P310" s="2">
        <v>45918.599189814813</v>
      </c>
      <c r="Q310" s="2">
        <f t="shared" si="45"/>
        <v>45919</v>
      </c>
      <c r="R310" s="2">
        <v>45918.748981481483</v>
      </c>
      <c r="S310">
        <f t="shared" si="46"/>
        <v>0</v>
      </c>
      <c r="T310" s="2">
        <f t="shared" si="47"/>
        <v>45919</v>
      </c>
      <c r="U310" t="str">
        <f t="shared" si="48"/>
        <v>NO PRAZO</v>
      </c>
      <c r="Z310" s="5" t="s">
        <v>333</v>
      </c>
    </row>
    <row r="311" spans="1:26" hidden="1">
      <c r="A311" s="1">
        <v>20977</v>
      </c>
      <c r="B311" t="s">
        <v>20</v>
      </c>
      <c r="C311" t="s">
        <v>13</v>
      </c>
      <c r="D311" t="s">
        <v>16</v>
      </c>
      <c r="E311" s="1">
        <v>1889</v>
      </c>
      <c r="F311" s="1">
        <v>2025</v>
      </c>
      <c r="G311" t="s">
        <v>11</v>
      </c>
      <c r="H311" s="2">
        <v>45917.375416666669</v>
      </c>
      <c r="I311" s="9">
        <f t="shared" si="40"/>
        <v>45918</v>
      </c>
      <c r="J311" s="2" t="str">
        <f t="shared" si="41"/>
        <v/>
      </c>
      <c r="L311" s="2" t="str">
        <f t="shared" si="42"/>
        <v/>
      </c>
      <c r="N311" s="10" t="str">
        <f t="shared" si="43"/>
        <v/>
      </c>
      <c r="O311" s="2">
        <f t="shared" si="44"/>
        <v>45918</v>
      </c>
      <c r="P311" s="2">
        <v>45917.482893518521</v>
      </c>
      <c r="Q311" s="2">
        <f t="shared" si="45"/>
        <v>45924</v>
      </c>
      <c r="R311" s="2">
        <v>45917.681886574072</v>
      </c>
      <c r="S311">
        <f t="shared" si="46"/>
        <v>0</v>
      </c>
      <c r="T311" s="2">
        <f t="shared" si="47"/>
        <v>45924</v>
      </c>
      <c r="U311" t="str">
        <f t="shared" si="48"/>
        <v>NO PRAZO</v>
      </c>
      <c r="Z311" s="5" t="s">
        <v>334</v>
      </c>
    </row>
    <row r="312" spans="1:26" hidden="1">
      <c r="A312" s="1">
        <v>20976</v>
      </c>
      <c r="B312" t="s">
        <v>20</v>
      </c>
      <c r="C312" t="s">
        <v>13</v>
      </c>
      <c r="D312" t="s">
        <v>16</v>
      </c>
      <c r="E312" s="1">
        <v>1888</v>
      </c>
      <c r="F312" s="1">
        <v>2025</v>
      </c>
      <c r="G312" t="s">
        <v>11</v>
      </c>
      <c r="H312" s="2">
        <v>45917.375416666669</v>
      </c>
      <c r="I312" s="9">
        <f t="shared" si="40"/>
        <v>45918</v>
      </c>
      <c r="J312" s="2" t="str">
        <f t="shared" si="41"/>
        <v/>
      </c>
      <c r="L312" s="2" t="str">
        <f t="shared" si="42"/>
        <v/>
      </c>
      <c r="N312" s="10" t="str">
        <f t="shared" si="43"/>
        <v/>
      </c>
      <c r="O312" s="2">
        <f t="shared" si="44"/>
        <v>45918</v>
      </c>
      <c r="P312" s="2">
        <v>45924.545972222222</v>
      </c>
      <c r="Q312" s="2">
        <f t="shared" si="45"/>
        <v>45924</v>
      </c>
      <c r="R312" s="2">
        <v>45924.747604166667</v>
      </c>
      <c r="S312">
        <f t="shared" si="46"/>
        <v>0</v>
      </c>
      <c r="T312" s="2">
        <f t="shared" si="47"/>
        <v>45924</v>
      </c>
      <c r="U312" t="str">
        <f t="shared" si="48"/>
        <v>NO PRAZO</v>
      </c>
      <c r="Z312" s="5" t="s">
        <v>335</v>
      </c>
    </row>
    <row r="313" spans="1:26" hidden="1">
      <c r="A313" s="1">
        <v>20971</v>
      </c>
      <c r="B313" t="s">
        <v>23</v>
      </c>
      <c r="C313" t="s">
        <v>13</v>
      </c>
      <c r="D313" t="s">
        <v>10</v>
      </c>
      <c r="E313" s="1">
        <v>1883</v>
      </c>
      <c r="F313" s="1">
        <v>2025</v>
      </c>
      <c r="G313" t="s">
        <v>11</v>
      </c>
      <c r="H313" s="2">
        <v>45916.667025462964</v>
      </c>
      <c r="I313" s="9">
        <f t="shared" si="40"/>
        <v>45917</v>
      </c>
      <c r="J313" s="2" t="str">
        <f t="shared" si="41"/>
        <v/>
      </c>
      <c r="L313" s="2" t="str">
        <f t="shared" si="42"/>
        <v/>
      </c>
      <c r="N313" s="10" t="str">
        <f t="shared" si="43"/>
        <v/>
      </c>
      <c r="O313" s="2">
        <f t="shared" si="44"/>
        <v>45917</v>
      </c>
      <c r="P313" s="2">
        <v>45917.455451388887</v>
      </c>
      <c r="Q313" s="2">
        <f t="shared" si="45"/>
        <v>45918</v>
      </c>
      <c r="R313" s="2">
        <v>45917.624166666668</v>
      </c>
      <c r="S313">
        <f t="shared" si="46"/>
        <v>0</v>
      </c>
      <c r="T313" s="2">
        <f t="shared" si="47"/>
        <v>45918</v>
      </c>
      <c r="U313" t="str">
        <f t="shared" si="48"/>
        <v>NO PRAZO</v>
      </c>
      <c r="Z313" s="5" t="s">
        <v>336</v>
      </c>
    </row>
    <row r="314" spans="1:26" hidden="1">
      <c r="A314" s="1">
        <v>20970</v>
      </c>
      <c r="B314" t="s">
        <v>20</v>
      </c>
      <c r="C314" t="s">
        <v>13</v>
      </c>
      <c r="D314" t="s">
        <v>16</v>
      </c>
      <c r="E314" s="1">
        <v>1882</v>
      </c>
      <c r="F314" s="1">
        <v>2025</v>
      </c>
      <c r="G314" t="s">
        <v>11</v>
      </c>
      <c r="H314" s="2">
        <v>45916.62537037037</v>
      </c>
      <c r="I314" s="9">
        <f t="shared" si="40"/>
        <v>45917</v>
      </c>
      <c r="J314" s="2" t="str">
        <f t="shared" si="41"/>
        <v/>
      </c>
      <c r="L314" s="2" t="str">
        <f t="shared" si="42"/>
        <v/>
      </c>
      <c r="N314" s="10" t="str">
        <f t="shared" si="43"/>
        <v/>
      </c>
      <c r="O314" s="2">
        <f t="shared" si="44"/>
        <v>45917</v>
      </c>
      <c r="P314" s="2">
        <v>45923.462361111109</v>
      </c>
      <c r="Q314" s="2">
        <f t="shared" si="45"/>
        <v>45923</v>
      </c>
      <c r="R314" s="2">
        <v>45923.767314814817</v>
      </c>
      <c r="S314">
        <f t="shared" si="46"/>
        <v>0</v>
      </c>
      <c r="T314" s="2">
        <f t="shared" si="47"/>
        <v>45923</v>
      </c>
      <c r="U314" t="str">
        <f t="shared" si="48"/>
        <v>NO PRAZO</v>
      </c>
      <c r="Z314" s="5" t="s">
        <v>337</v>
      </c>
    </row>
    <row r="315" spans="1:26" hidden="1">
      <c r="A315" s="1">
        <v>20968</v>
      </c>
      <c r="B315" t="s">
        <v>19</v>
      </c>
      <c r="C315" t="s">
        <v>13</v>
      </c>
      <c r="D315" t="s">
        <v>10</v>
      </c>
      <c r="E315" s="1">
        <v>1880</v>
      </c>
      <c r="F315" s="1">
        <v>2025</v>
      </c>
      <c r="G315" t="s">
        <v>11</v>
      </c>
      <c r="H315" s="2">
        <v>45916.583692129629</v>
      </c>
      <c r="I315" s="9">
        <f t="shared" si="40"/>
        <v>45917</v>
      </c>
      <c r="J315" s="2" t="str">
        <f t="shared" si="41"/>
        <v/>
      </c>
      <c r="L315" s="2" t="str">
        <f t="shared" si="42"/>
        <v/>
      </c>
      <c r="N315" s="10" t="str">
        <f t="shared" si="43"/>
        <v/>
      </c>
      <c r="O315" s="2">
        <f t="shared" si="44"/>
        <v>45917</v>
      </c>
      <c r="P315" s="2">
        <v>45917.513645833336</v>
      </c>
      <c r="Q315" s="2">
        <f t="shared" si="45"/>
        <v>45918</v>
      </c>
      <c r="R315" s="2">
        <v>45918.479201388887</v>
      </c>
      <c r="S315">
        <f t="shared" si="46"/>
        <v>0</v>
      </c>
      <c r="T315" s="2">
        <f t="shared" si="47"/>
        <v>45918</v>
      </c>
      <c r="U315" t="str">
        <f t="shared" si="48"/>
        <v>NO PRAZO</v>
      </c>
      <c r="Z315" s="7" t="s">
        <v>338</v>
      </c>
    </row>
    <row r="316" spans="1:26" hidden="1">
      <c r="A316" s="1">
        <v>20966</v>
      </c>
      <c r="B316" t="s">
        <v>15</v>
      </c>
      <c r="C316" t="s">
        <v>13</v>
      </c>
      <c r="D316" t="s">
        <v>10</v>
      </c>
      <c r="E316" s="1">
        <v>1878</v>
      </c>
      <c r="F316" s="1">
        <v>2025</v>
      </c>
      <c r="G316" t="s">
        <v>11</v>
      </c>
      <c r="H316" s="2">
        <v>45916.500393518516</v>
      </c>
      <c r="I316" s="9">
        <f t="shared" si="40"/>
        <v>45917</v>
      </c>
      <c r="J316" s="2" t="str">
        <f t="shared" si="41"/>
        <v/>
      </c>
      <c r="L316" s="2" t="str">
        <f t="shared" si="42"/>
        <v/>
      </c>
      <c r="N316" s="10" t="str">
        <f t="shared" si="43"/>
        <v/>
      </c>
      <c r="O316" s="2">
        <f t="shared" si="44"/>
        <v>45917</v>
      </c>
      <c r="P316" s="2">
        <v>45918.396678240744</v>
      </c>
      <c r="Q316" s="2">
        <f t="shared" si="45"/>
        <v>45918</v>
      </c>
      <c r="R316" s="2">
        <v>45918.480324074073</v>
      </c>
      <c r="S316">
        <f t="shared" si="46"/>
        <v>0</v>
      </c>
      <c r="T316" s="2">
        <f t="shared" si="47"/>
        <v>45918</v>
      </c>
      <c r="U316" t="str">
        <f t="shared" si="48"/>
        <v>NO PRAZO</v>
      </c>
      <c r="Z316" s="5" t="s">
        <v>339</v>
      </c>
    </row>
    <row r="317" spans="1:26" hidden="1">
      <c r="A317" s="1">
        <v>20965</v>
      </c>
      <c r="B317" t="s">
        <v>20</v>
      </c>
      <c r="C317" t="s">
        <v>13</v>
      </c>
      <c r="D317" t="s">
        <v>16</v>
      </c>
      <c r="E317" s="1">
        <v>1877</v>
      </c>
      <c r="F317" s="1">
        <v>2025</v>
      </c>
      <c r="G317" t="s">
        <v>11</v>
      </c>
      <c r="H317" s="2">
        <v>45916.458726851852</v>
      </c>
      <c r="I317" s="9">
        <f t="shared" si="40"/>
        <v>45917</v>
      </c>
      <c r="J317" s="2" t="str">
        <f t="shared" si="41"/>
        <v/>
      </c>
      <c r="L317" s="2" t="str">
        <f t="shared" si="42"/>
        <v/>
      </c>
      <c r="N317" s="10" t="str">
        <f t="shared" si="43"/>
        <v/>
      </c>
      <c r="O317" s="2">
        <f t="shared" si="44"/>
        <v>45917</v>
      </c>
      <c r="P317" s="2">
        <v>45923.40552083333</v>
      </c>
      <c r="Q317" s="2">
        <f t="shared" si="45"/>
        <v>45923</v>
      </c>
      <c r="R317" s="2">
        <v>45923.691817129627</v>
      </c>
      <c r="S317">
        <f t="shared" si="46"/>
        <v>0</v>
      </c>
      <c r="T317" s="2">
        <f t="shared" si="47"/>
        <v>45923</v>
      </c>
      <c r="U317" t="str">
        <f t="shared" si="48"/>
        <v>NO PRAZO</v>
      </c>
      <c r="Z317" s="5" t="s">
        <v>340</v>
      </c>
    </row>
    <row r="318" spans="1:26" hidden="1">
      <c r="A318" s="1">
        <v>20963</v>
      </c>
      <c r="B318" t="s">
        <v>15</v>
      </c>
      <c r="C318" t="s">
        <v>13</v>
      </c>
      <c r="D318" t="s">
        <v>10</v>
      </c>
      <c r="E318" s="1">
        <v>1875</v>
      </c>
      <c r="F318" s="1">
        <v>2025</v>
      </c>
      <c r="G318" t="s">
        <v>11</v>
      </c>
      <c r="H318" s="2">
        <v>45915.792025462964</v>
      </c>
      <c r="I318" s="9">
        <f t="shared" si="40"/>
        <v>45916</v>
      </c>
      <c r="J318" s="2" t="str">
        <f t="shared" si="41"/>
        <v/>
      </c>
      <c r="L318" s="2" t="str">
        <f t="shared" si="42"/>
        <v/>
      </c>
      <c r="N318" s="10" t="str">
        <f t="shared" si="43"/>
        <v/>
      </c>
      <c r="O318" s="2">
        <f t="shared" si="44"/>
        <v>45916</v>
      </c>
      <c r="P318" s="2">
        <v>45917.65421296296</v>
      </c>
      <c r="Q318" s="2">
        <f t="shared" si="45"/>
        <v>45917</v>
      </c>
      <c r="R318" s="2">
        <v>45917.654710648145</v>
      </c>
      <c r="S318">
        <f t="shared" si="46"/>
        <v>0</v>
      </c>
      <c r="T318" s="2">
        <f t="shared" si="47"/>
        <v>45917</v>
      </c>
      <c r="U318" t="str">
        <f t="shared" si="48"/>
        <v>NO PRAZO</v>
      </c>
      <c r="Z318" s="5" t="s">
        <v>341</v>
      </c>
    </row>
    <row r="319" spans="1:26" hidden="1">
      <c r="A319" s="1">
        <v>20959</v>
      </c>
      <c r="B319" t="s">
        <v>15</v>
      </c>
      <c r="C319" t="s">
        <v>13</v>
      </c>
      <c r="D319" t="s">
        <v>10</v>
      </c>
      <c r="E319" s="1">
        <v>1871</v>
      </c>
      <c r="F319" s="1">
        <v>2025</v>
      </c>
      <c r="G319" t="s">
        <v>11</v>
      </c>
      <c r="H319" s="2">
        <v>45915.500358796293</v>
      </c>
      <c r="I319" s="9">
        <f t="shared" si="40"/>
        <v>45916</v>
      </c>
      <c r="J319" s="2" t="str">
        <f t="shared" si="41"/>
        <v/>
      </c>
      <c r="L319" s="2" t="str">
        <f t="shared" si="42"/>
        <v/>
      </c>
      <c r="N319" s="10" t="str">
        <f t="shared" si="43"/>
        <v/>
      </c>
      <c r="O319" s="2">
        <f t="shared" si="44"/>
        <v>45916</v>
      </c>
      <c r="P319" s="2">
        <v>45916.623194444444</v>
      </c>
      <c r="Q319" s="2">
        <f t="shared" si="45"/>
        <v>45917</v>
      </c>
      <c r="R319" s="2">
        <v>45916.643807870372</v>
      </c>
      <c r="S319">
        <f t="shared" si="46"/>
        <v>0</v>
      </c>
      <c r="T319" s="2">
        <f t="shared" si="47"/>
        <v>45917</v>
      </c>
      <c r="U319" t="str">
        <f t="shared" si="48"/>
        <v>NO PRAZO</v>
      </c>
      <c r="Z319" s="5" t="s">
        <v>342</v>
      </c>
    </row>
    <row r="320" spans="1:26" s="18" customFormat="1">
      <c r="A320" s="17">
        <v>20958</v>
      </c>
      <c r="B320" s="18" t="s">
        <v>24</v>
      </c>
      <c r="C320" s="18" t="s">
        <v>13</v>
      </c>
      <c r="D320" s="18" t="s">
        <v>21</v>
      </c>
      <c r="E320" s="17">
        <v>1870</v>
      </c>
      <c r="F320" s="17">
        <v>2025</v>
      </c>
      <c r="G320" s="18" t="s">
        <v>11</v>
      </c>
      <c r="H320" s="19">
        <v>45915.458680555559</v>
      </c>
      <c r="I320" s="20">
        <f t="shared" ref="I320:I383" si="49">IF(OR(D320="ORIENTAÇÃO",D320="BUG IMPEDITIVO",D320="BUG NÃO IMPEDITIVO"),WORKDAY(H320,1,Z$2:Z$500),IF(OR(D320="MELHORIA PEQUENA",D320="MELHORIA MÉDIA"),WORKDAY(H320,3,Z$2:Z$500),""))</f>
        <v>45918</v>
      </c>
      <c r="J320" s="19">
        <f t="shared" si="41"/>
        <v>45918</v>
      </c>
      <c r="K320" s="19">
        <v>45932.752789351849</v>
      </c>
      <c r="L320" s="19">
        <f t="shared" si="42"/>
        <v>45938</v>
      </c>
      <c r="M320" s="19">
        <v>45940.49559027778</v>
      </c>
      <c r="N320" s="21">
        <f t="shared" si="43"/>
        <v>2</v>
      </c>
      <c r="O320" s="19">
        <f t="shared" si="44"/>
        <v>45939</v>
      </c>
      <c r="P320" s="19">
        <v>45930.746249999997</v>
      </c>
      <c r="Q320" s="19">
        <f t="shared" si="45"/>
        <v>45966</v>
      </c>
      <c r="R320" s="19">
        <v>46094.658113425925</v>
      </c>
      <c r="S320" s="18">
        <f t="shared" si="46"/>
        <v>128</v>
      </c>
      <c r="T320" s="19">
        <f t="shared" si="47"/>
        <v>45966</v>
      </c>
      <c r="U320" s="18" t="str">
        <f t="shared" si="48"/>
        <v>ATRASO</v>
      </c>
      <c r="Z320" s="22" t="s">
        <v>343</v>
      </c>
    </row>
    <row r="321" spans="1:26" hidden="1">
      <c r="A321" s="1">
        <v>20950</v>
      </c>
      <c r="B321" t="s">
        <v>12</v>
      </c>
      <c r="C321" t="s">
        <v>13</v>
      </c>
      <c r="D321" t="s">
        <v>16</v>
      </c>
      <c r="E321" s="1">
        <v>1862</v>
      </c>
      <c r="F321" s="1">
        <v>2025</v>
      </c>
      <c r="G321" t="s">
        <v>11</v>
      </c>
      <c r="H321" s="2">
        <v>45912.626087962963</v>
      </c>
      <c r="I321" s="9">
        <f t="shared" si="49"/>
        <v>45915</v>
      </c>
      <c r="J321" s="2" t="str">
        <f t="shared" si="41"/>
        <v/>
      </c>
      <c r="L321" s="2" t="str">
        <f t="shared" si="42"/>
        <v/>
      </c>
      <c r="N321" s="10" t="str">
        <f t="shared" si="43"/>
        <v/>
      </c>
      <c r="O321" s="2">
        <f t="shared" si="44"/>
        <v>45915</v>
      </c>
      <c r="P321" s="2">
        <v>45918.339571759258</v>
      </c>
      <c r="Q321" s="2">
        <f t="shared" si="45"/>
        <v>45919</v>
      </c>
      <c r="R321" s="2">
        <v>45918.339756944442</v>
      </c>
      <c r="S321">
        <f t="shared" si="46"/>
        <v>0</v>
      </c>
      <c r="T321" s="2">
        <f t="shared" si="47"/>
        <v>45919</v>
      </c>
      <c r="U321" t="str">
        <f t="shared" si="48"/>
        <v>NO PRAZO</v>
      </c>
      <c r="Z321" s="5" t="s">
        <v>344</v>
      </c>
    </row>
    <row r="322" spans="1:26" hidden="1">
      <c r="A322" s="1">
        <v>20948</v>
      </c>
      <c r="B322" t="s">
        <v>23</v>
      </c>
      <c r="C322" t="s">
        <v>13</v>
      </c>
      <c r="D322" t="s">
        <v>18</v>
      </c>
      <c r="E322" s="1">
        <v>1860</v>
      </c>
      <c r="F322" s="1">
        <v>2025</v>
      </c>
      <c r="G322" t="s">
        <v>11</v>
      </c>
      <c r="H322" s="2">
        <v>45912.501087962963</v>
      </c>
      <c r="I322" s="9">
        <f t="shared" si="49"/>
        <v>45917</v>
      </c>
      <c r="J322" s="2" t="str">
        <f t="shared" si="41"/>
        <v/>
      </c>
      <c r="L322" s="2" t="str">
        <f t="shared" si="42"/>
        <v/>
      </c>
      <c r="N322" s="10" t="str">
        <f t="shared" si="43"/>
        <v/>
      </c>
      <c r="O322" s="2">
        <f t="shared" si="44"/>
        <v>45917</v>
      </c>
      <c r="P322" s="2">
        <v>45912.50644675926</v>
      </c>
      <c r="Q322" s="2">
        <f t="shared" si="45"/>
        <v>45923</v>
      </c>
      <c r="R322" s="2">
        <v>45915.429907407408</v>
      </c>
      <c r="S322">
        <f t="shared" si="46"/>
        <v>0</v>
      </c>
      <c r="T322" s="2">
        <f t="shared" si="47"/>
        <v>45923</v>
      </c>
      <c r="U322" t="str">
        <f t="shared" si="48"/>
        <v>NO PRAZO</v>
      </c>
      <c r="Z322" s="5" t="s">
        <v>345</v>
      </c>
    </row>
    <row r="323" spans="1:26" hidden="1">
      <c r="A323" s="1">
        <v>20945</v>
      </c>
      <c r="B323" t="s">
        <v>15</v>
      </c>
      <c r="C323" t="s">
        <v>13</v>
      </c>
      <c r="D323" t="s">
        <v>14</v>
      </c>
      <c r="E323" s="1">
        <v>1857</v>
      </c>
      <c r="F323" s="1">
        <v>2025</v>
      </c>
      <c r="G323" t="s">
        <v>11</v>
      </c>
      <c r="H323" s="2">
        <v>45912.407442129632</v>
      </c>
      <c r="I323" s="9">
        <f t="shared" si="49"/>
        <v>45915</v>
      </c>
      <c r="J323" s="2" t="str">
        <f t="shared" ref="J323:J386" si="50">IF(K323&lt;&gt;"",I323,"")</f>
        <v/>
      </c>
      <c r="L323" s="2" t="str">
        <f t="shared" ref="L323:L386" si="51">IF(J323="","",WORKDAY(J323,14,Z$2:Z$500))</f>
        <v/>
      </c>
      <c r="N323" s="10" t="str">
        <f t="shared" ref="N323:N386" si="52">IF(M323="","",MAX(0,INT(M323)-INT(L323)))</f>
        <v/>
      </c>
      <c r="O323" s="2">
        <f t="shared" ref="O323:O386" si="53">IF(L323="",I323,WORKDAY(L323,1,Z$2:Z$500))</f>
        <v>45915</v>
      </c>
      <c r="P323" s="2">
        <v>45912.451018518521</v>
      </c>
      <c r="Q323" s="2">
        <f t="shared" ref="Q323:Q386" si="54">IF(OR(D323="ORIENTAÇÃO",D323="BUG IMPEDITIVO"),WORKDAY(O323,1,Z$2:Z$500),IF(OR(D323="MELHORIA PEQUENA",D323="BUG NÃO IMPEDITIVO"),WORKDAY(O323,4,Z$2:Z$500),IF(D323="MELHORIA MÉDIA",WORKDAY(O323,19,Z$2:Z$500),"")))</f>
        <v>45916</v>
      </c>
      <c r="R323" s="2">
        <v>45912.481157407405</v>
      </c>
      <c r="S323">
        <f t="shared" ref="S323:S386" si="55">MAX(0,INT(R323)-INT(Q323))</f>
        <v>0</v>
      </c>
      <c r="T323" s="2">
        <f t="shared" ref="T323:T386" si="56">IF(D323="MELHORIA MÉDIA",IF(K323&lt;&gt;"",WORKDAY(I323,34,$Z$2:$Z$1000),WORKDAY(I323,19,$Z$2:$Z$1000)),IF(OR(D323="MELHORIA PEQUENA",D323="BUG NÃO IMPEDITIVO"),WORKDAY(I323,4,$Z$2:$Z$1000),IF(OR(D323="ORIENTAÇÃO",D323="BUG IMPEDITIVO"),WORKDAY(I323,1,$Z$2:$Z$1000),"")))</f>
        <v>45916</v>
      </c>
      <c r="U323" t="str">
        <f t="shared" ref="U323:U386" si="57">IF(INT(R323)&lt;=INT(T323),"NO PRAZO","ATRASO")</f>
        <v>NO PRAZO</v>
      </c>
      <c r="Z323" s="4" t="s">
        <v>346</v>
      </c>
    </row>
    <row r="324" spans="1:26" hidden="1">
      <c r="A324" s="1">
        <v>20941</v>
      </c>
      <c r="B324" t="s">
        <v>17</v>
      </c>
      <c r="C324" t="s">
        <v>13</v>
      </c>
      <c r="D324" t="s">
        <v>18</v>
      </c>
      <c r="E324" s="1">
        <v>1853</v>
      </c>
      <c r="F324" s="1">
        <v>2025</v>
      </c>
      <c r="G324" t="s">
        <v>11</v>
      </c>
      <c r="H324" s="2">
        <v>45912.37604166667</v>
      </c>
      <c r="I324" s="9">
        <f t="shared" si="49"/>
        <v>45917</v>
      </c>
      <c r="J324" s="2" t="str">
        <f t="shared" si="50"/>
        <v/>
      </c>
      <c r="L324" s="2" t="str">
        <f t="shared" si="51"/>
        <v/>
      </c>
      <c r="N324" s="10" t="str">
        <f t="shared" si="52"/>
        <v/>
      </c>
      <c r="O324" s="2">
        <f t="shared" si="53"/>
        <v>45917</v>
      </c>
      <c r="P324" s="2">
        <v>45912.41678240741</v>
      </c>
      <c r="Q324" s="2">
        <f t="shared" si="54"/>
        <v>45923</v>
      </c>
      <c r="R324" s="2">
        <v>45916.631840277776</v>
      </c>
      <c r="S324">
        <f t="shared" si="55"/>
        <v>0</v>
      </c>
      <c r="T324" s="2">
        <f t="shared" si="56"/>
        <v>45923</v>
      </c>
      <c r="U324" t="str">
        <f t="shared" si="57"/>
        <v>NO PRAZO</v>
      </c>
      <c r="Z324" s="5" t="s">
        <v>347</v>
      </c>
    </row>
    <row r="325" spans="1:26" hidden="1">
      <c r="A325" s="1">
        <v>20940</v>
      </c>
      <c r="B325" t="s">
        <v>17</v>
      </c>
      <c r="C325" t="s">
        <v>13</v>
      </c>
      <c r="D325" t="s">
        <v>14</v>
      </c>
      <c r="E325" s="1">
        <v>1852</v>
      </c>
      <c r="F325" s="1">
        <v>2025</v>
      </c>
      <c r="G325" t="s">
        <v>11</v>
      </c>
      <c r="H325" s="2">
        <v>45912.37604166667</v>
      </c>
      <c r="I325" s="9">
        <f t="shared" si="49"/>
        <v>45915</v>
      </c>
      <c r="J325" s="2" t="str">
        <f t="shared" si="50"/>
        <v/>
      </c>
      <c r="L325" s="2" t="str">
        <f t="shared" si="51"/>
        <v/>
      </c>
      <c r="N325" s="10" t="str">
        <f t="shared" si="52"/>
        <v/>
      </c>
      <c r="O325" s="2">
        <f t="shared" si="53"/>
        <v>45915</v>
      </c>
      <c r="P325" s="2">
        <v>45915.640416666669</v>
      </c>
      <c r="Q325" s="2">
        <f t="shared" si="54"/>
        <v>45916</v>
      </c>
      <c r="R325" s="2">
        <v>45915.820729166669</v>
      </c>
      <c r="S325">
        <f t="shared" si="55"/>
        <v>0</v>
      </c>
      <c r="T325" s="2">
        <f t="shared" si="56"/>
        <v>45916</v>
      </c>
      <c r="U325" t="str">
        <f t="shared" si="57"/>
        <v>NO PRAZO</v>
      </c>
      <c r="Z325" s="5" t="s">
        <v>348</v>
      </c>
    </row>
    <row r="326" spans="1:26" hidden="1">
      <c r="A326" s="1">
        <v>20936</v>
      </c>
      <c r="B326" t="s">
        <v>20</v>
      </c>
      <c r="C326" t="s">
        <v>13</v>
      </c>
      <c r="D326" t="s">
        <v>10</v>
      </c>
      <c r="E326" s="1">
        <v>1848</v>
      </c>
      <c r="F326" s="1">
        <v>2025</v>
      </c>
      <c r="G326" t="s">
        <v>11</v>
      </c>
      <c r="H326" s="2">
        <v>45911.667673611111</v>
      </c>
      <c r="I326" s="9">
        <f t="shared" si="49"/>
        <v>45912</v>
      </c>
      <c r="J326" s="2" t="str">
        <f t="shared" si="50"/>
        <v/>
      </c>
      <c r="L326" s="2" t="str">
        <f t="shared" si="51"/>
        <v/>
      </c>
      <c r="N326" s="10" t="str">
        <f t="shared" si="52"/>
        <v/>
      </c>
      <c r="O326" s="2">
        <f t="shared" si="53"/>
        <v>45912</v>
      </c>
      <c r="P326" s="2">
        <v>45912.709548611114</v>
      </c>
      <c r="Q326" s="2">
        <f t="shared" si="54"/>
        <v>45915</v>
      </c>
      <c r="R326" s="2">
        <v>45912.715682870374</v>
      </c>
      <c r="S326">
        <f t="shared" si="55"/>
        <v>0</v>
      </c>
      <c r="T326" s="2">
        <f t="shared" si="56"/>
        <v>45915</v>
      </c>
      <c r="U326" t="str">
        <f t="shared" si="57"/>
        <v>NO PRAZO</v>
      </c>
      <c r="Z326" s="5" t="s">
        <v>349</v>
      </c>
    </row>
    <row r="327" spans="1:26" hidden="1">
      <c r="A327" s="1">
        <v>20934</v>
      </c>
      <c r="B327" t="s">
        <v>15</v>
      </c>
      <c r="C327" t="s">
        <v>13</v>
      </c>
      <c r="D327" t="s">
        <v>18</v>
      </c>
      <c r="E327" s="1">
        <v>1846</v>
      </c>
      <c r="F327" s="1">
        <v>2025</v>
      </c>
      <c r="G327" t="s">
        <v>11</v>
      </c>
      <c r="H327" s="2">
        <v>45911.636863425927</v>
      </c>
      <c r="I327" s="9">
        <f t="shared" si="49"/>
        <v>45916</v>
      </c>
      <c r="J327" s="2" t="str">
        <f t="shared" si="50"/>
        <v/>
      </c>
      <c r="L327" s="2" t="str">
        <f t="shared" si="51"/>
        <v/>
      </c>
      <c r="N327" s="10" t="str">
        <f t="shared" si="52"/>
        <v/>
      </c>
      <c r="O327" s="2">
        <f t="shared" si="53"/>
        <v>45916</v>
      </c>
      <c r="P327" s="2">
        <v>45911.650150462963</v>
      </c>
      <c r="Q327" s="2">
        <f t="shared" si="54"/>
        <v>45922</v>
      </c>
      <c r="R327" s="2">
        <v>45918.478993055556</v>
      </c>
      <c r="S327">
        <f t="shared" si="55"/>
        <v>0</v>
      </c>
      <c r="T327" s="2">
        <f t="shared" si="56"/>
        <v>45922</v>
      </c>
      <c r="U327" t="str">
        <f t="shared" si="57"/>
        <v>NO PRAZO</v>
      </c>
      <c r="Z327" s="5" t="s">
        <v>350</v>
      </c>
    </row>
    <row r="328" spans="1:26" hidden="1">
      <c r="A328" s="1">
        <v>20927</v>
      </c>
      <c r="B328" t="s">
        <v>15</v>
      </c>
      <c r="C328" t="s">
        <v>13</v>
      </c>
      <c r="D328" t="s">
        <v>10</v>
      </c>
      <c r="E328" s="1">
        <v>1839</v>
      </c>
      <c r="F328" s="1">
        <v>2025</v>
      </c>
      <c r="G328" t="s">
        <v>11</v>
      </c>
      <c r="H328" s="2">
        <v>45910.625914351855</v>
      </c>
      <c r="I328" s="9">
        <f t="shared" si="49"/>
        <v>45911</v>
      </c>
      <c r="J328" s="2" t="str">
        <f t="shared" si="50"/>
        <v/>
      </c>
      <c r="L328" s="2" t="str">
        <f t="shared" si="51"/>
        <v/>
      </c>
      <c r="N328" s="10" t="str">
        <f t="shared" si="52"/>
        <v/>
      </c>
      <c r="O328" s="2">
        <f t="shared" si="53"/>
        <v>45911</v>
      </c>
      <c r="P328" s="2">
        <v>45912.488483796296</v>
      </c>
      <c r="Q328" s="2">
        <f t="shared" si="54"/>
        <v>45912</v>
      </c>
      <c r="R328" s="2">
        <v>45912.663726851853</v>
      </c>
      <c r="S328">
        <f t="shared" si="55"/>
        <v>0</v>
      </c>
      <c r="T328" s="2">
        <f t="shared" si="56"/>
        <v>45912</v>
      </c>
      <c r="U328" t="str">
        <f t="shared" si="57"/>
        <v>NO PRAZO</v>
      </c>
      <c r="Z328" s="5" t="s">
        <v>351</v>
      </c>
    </row>
    <row r="329" spans="1:26" hidden="1">
      <c r="A329" s="1">
        <v>20921</v>
      </c>
      <c r="B329" t="s">
        <v>15</v>
      </c>
      <c r="C329" t="s">
        <v>13</v>
      </c>
      <c r="D329" t="s">
        <v>18</v>
      </c>
      <c r="E329" s="1">
        <v>1833</v>
      </c>
      <c r="F329" s="1">
        <v>2025</v>
      </c>
      <c r="G329" t="s">
        <v>11</v>
      </c>
      <c r="H329" s="2">
        <v>45910.394652777781</v>
      </c>
      <c r="I329" s="9">
        <f t="shared" si="49"/>
        <v>45915</v>
      </c>
      <c r="J329" s="2" t="str">
        <f t="shared" si="50"/>
        <v/>
      </c>
      <c r="L329" s="2" t="str">
        <f t="shared" si="51"/>
        <v/>
      </c>
      <c r="N329" s="10" t="str">
        <f t="shared" si="52"/>
        <v/>
      </c>
      <c r="O329" s="2">
        <f t="shared" si="53"/>
        <v>45915</v>
      </c>
      <c r="P329" s="2">
        <v>45910.634479166663</v>
      </c>
      <c r="Q329" s="2">
        <f t="shared" si="54"/>
        <v>45919</v>
      </c>
      <c r="R329" s="2">
        <v>45911.630104166667</v>
      </c>
      <c r="S329">
        <f t="shared" si="55"/>
        <v>0</v>
      </c>
      <c r="T329" s="2">
        <f t="shared" si="56"/>
        <v>45919</v>
      </c>
      <c r="U329" t="str">
        <f t="shared" si="57"/>
        <v>NO PRAZO</v>
      </c>
      <c r="Z329" s="5" t="s">
        <v>352</v>
      </c>
    </row>
    <row r="330" spans="1:26" hidden="1">
      <c r="A330" s="1">
        <v>20877</v>
      </c>
      <c r="B330" t="s">
        <v>15</v>
      </c>
      <c r="C330" t="s">
        <v>13</v>
      </c>
      <c r="D330" t="s">
        <v>16</v>
      </c>
      <c r="E330" s="1">
        <v>1789</v>
      </c>
      <c r="F330" s="1">
        <v>2025</v>
      </c>
      <c r="G330" t="s">
        <v>11</v>
      </c>
      <c r="H330" s="2">
        <v>45909.625833333332</v>
      </c>
      <c r="I330" s="9">
        <f t="shared" si="49"/>
        <v>45910</v>
      </c>
      <c r="J330" s="2" t="str">
        <f t="shared" si="50"/>
        <v/>
      </c>
      <c r="L330" s="2" t="str">
        <f t="shared" si="51"/>
        <v/>
      </c>
      <c r="N330" s="10" t="str">
        <f t="shared" si="52"/>
        <v/>
      </c>
      <c r="O330" s="2">
        <f t="shared" si="53"/>
        <v>45910</v>
      </c>
      <c r="P330" s="2">
        <v>45912.478738425925</v>
      </c>
      <c r="Q330" s="2">
        <f t="shared" si="54"/>
        <v>45916</v>
      </c>
      <c r="R330" s="2">
        <v>45912.664305555554</v>
      </c>
      <c r="S330">
        <f t="shared" si="55"/>
        <v>0</v>
      </c>
      <c r="T330" s="2">
        <f t="shared" si="56"/>
        <v>45916</v>
      </c>
      <c r="U330" t="str">
        <f t="shared" si="57"/>
        <v>NO PRAZO</v>
      </c>
      <c r="Z330" s="7" t="s">
        <v>353</v>
      </c>
    </row>
    <row r="331" spans="1:26" hidden="1">
      <c r="A331" s="1">
        <v>20871</v>
      </c>
      <c r="B331" t="s">
        <v>24</v>
      </c>
      <c r="C331" t="s">
        <v>13</v>
      </c>
      <c r="D331" t="s">
        <v>10</v>
      </c>
      <c r="E331" s="1">
        <v>1783</v>
      </c>
      <c r="F331" s="1">
        <v>2025</v>
      </c>
      <c r="G331" t="s">
        <v>11</v>
      </c>
      <c r="H331" s="2">
        <v>45909.459189814814</v>
      </c>
      <c r="I331" s="9">
        <f t="shared" si="49"/>
        <v>45910</v>
      </c>
      <c r="J331" s="2" t="str">
        <f t="shared" si="50"/>
        <v/>
      </c>
      <c r="L331" s="2" t="str">
        <f t="shared" si="51"/>
        <v/>
      </c>
      <c r="N331" s="10" t="str">
        <f t="shared" si="52"/>
        <v/>
      </c>
      <c r="O331" s="2">
        <f t="shared" si="53"/>
        <v>45910</v>
      </c>
      <c r="P331" s="2">
        <v>45910.637048611112</v>
      </c>
      <c r="Q331" s="2">
        <f t="shared" si="54"/>
        <v>45911</v>
      </c>
      <c r="R331" s="2">
        <v>45911.630069444444</v>
      </c>
      <c r="S331">
        <f t="shared" si="55"/>
        <v>0</v>
      </c>
      <c r="T331" s="2">
        <f t="shared" si="56"/>
        <v>45911</v>
      </c>
      <c r="U331" t="str">
        <f t="shared" si="57"/>
        <v>NO PRAZO</v>
      </c>
      <c r="Z331" s="5" t="s">
        <v>354</v>
      </c>
    </row>
    <row r="332" spans="1:26" hidden="1">
      <c r="A332" s="1">
        <v>20829</v>
      </c>
      <c r="B332" t="s">
        <v>15</v>
      </c>
      <c r="C332" t="s">
        <v>13</v>
      </c>
      <c r="D332" t="s">
        <v>16</v>
      </c>
      <c r="E332" s="1">
        <v>1741</v>
      </c>
      <c r="F332" s="1">
        <v>2025</v>
      </c>
      <c r="G332" t="s">
        <v>11</v>
      </c>
      <c r="H332" s="2">
        <v>45908.709166666667</v>
      </c>
      <c r="I332" s="9">
        <f t="shared" si="49"/>
        <v>45909</v>
      </c>
      <c r="J332" s="2" t="str">
        <f t="shared" si="50"/>
        <v/>
      </c>
      <c r="L332" s="2" t="str">
        <f t="shared" si="51"/>
        <v/>
      </c>
      <c r="N332" s="10" t="str">
        <f t="shared" si="52"/>
        <v/>
      </c>
      <c r="O332" s="2">
        <f t="shared" si="53"/>
        <v>45909</v>
      </c>
      <c r="P332" s="2">
        <v>45912.700960648152</v>
      </c>
      <c r="Q332" s="2">
        <f t="shared" si="54"/>
        <v>45915</v>
      </c>
      <c r="R332" s="2">
        <v>45912.715578703705</v>
      </c>
      <c r="S332">
        <f t="shared" si="55"/>
        <v>0</v>
      </c>
      <c r="T332" s="2">
        <f t="shared" si="56"/>
        <v>45915</v>
      </c>
      <c r="U332" t="str">
        <f t="shared" si="57"/>
        <v>NO PRAZO</v>
      </c>
      <c r="Z332" s="5" t="s">
        <v>355</v>
      </c>
    </row>
    <row r="333" spans="1:26" hidden="1">
      <c r="A333" s="1">
        <v>20778</v>
      </c>
      <c r="B333" t="s">
        <v>17</v>
      </c>
      <c r="C333" t="s">
        <v>13</v>
      </c>
      <c r="D333" t="s">
        <v>18</v>
      </c>
      <c r="E333" s="1">
        <v>1690</v>
      </c>
      <c r="F333" s="1">
        <v>2025</v>
      </c>
      <c r="G333" t="s">
        <v>11</v>
      </c>
      <c r="H333" s="2">
        <v>45908.625821759262</v>
      </c>
      <c r="I333" s="9">
        <f t="shared" si="49"/>
        <v>45911</v>
      </c>
      <c r="J333" s="2" t="str">
        <f t="shared" si="50"/>
        <v/>
      </c>
      <c r="L333" s="2" t="str">
        <f t="shared" si="51"/>
        <v/>
      </c>
      <c r="N333" s="10" t="str">
        <f t="shared" si="52"/>
        <v/>
      </c>
      <c r="O333" s="2">
        <f t="shared" si="53"/>
        <v>45911</v>
      </c>
      <c r="P333" s="2">
        <v>45910.508738425924</v>
      </c>
      <c r="Q333" s="2">
        <f t="shared" si="54"/>
        <v>45917</v>
      </c>
      <c r="R333" s="2">
        <v>45910.509050925924</v>
      </c>
      <c r="S333">
        <f t="shared" si="55"/>
        <v>0</v>
      </c>
      <c r="T333" s="2">
        <f t="shared" si="56"/>
        <v>45917</v>
      </c>
      <c r="U333" t="str">
        <f t="shared" si="57"/>
        <v>NO PRAZO</v>
      </c>
      <c r="Z333" s="5" t="s">
        <v>356</v>
      </c>
    </row>
    <row r="334" spans="1:26" hidden="1">
      <c r="A334" s="1">
        <v>20767</v>
      </c>
      <c r="B334" t="s">
        <v>15</v>
      </c>
      <c r="C334" t="s">
        <v>13</v>
      </c>
      <c r="D334" t="s">
        <v>16</v>
      </c>
      <c r="E334" s="1">
        <v>1679</v>
      </c>
      <c r="F334" s="1">
        <v>2025</v>
      </c>
      <c r="G334" t="s">
        <v>11</v>
      </c>
      <c r="H334" s="2">
        <v>45908.466863425929</v>
      </c>
      <c r="I334" s="9">
        <f t="shared" si="49"/>
        <v>45909</v>
      </c>
      <c r="J334" s="2" t="str">
        <f t="shared" si="50"/>
        <v/>
      </c>
      <c r="L334" s="2" t="str">
        <f t="shared" si="51"/>
        <v/>
      </c>
      <c r="N334" s="10" t="str">
        <f t="shared" si="52"/>
        <v/>
      </c>
      <c r="O334" s="2">
        <f t="shared" si="53"/>
        <v>45909</v>
      </c>
      <c r="P334" s="2">
        <v>45908.65792824074</v>
      </c>
      <c r="Q334" s="2">
        <f t="shared" si="54"/>
        <v>45915</v>
      </c>
      <c r="R334" s="2">
        <v>45909.445937500001</v>
      </c>
      <c r="S334">
        <f t="shared" si="55"/>
        <v>0</v>
      </c>
      <c r="T334" s="2">
        <f t="shared" si="56"/>
        <v>45915</v>
      </c>
      <c r="U334" t="str">
        <f t="shared" si="57"/>
        <v>NO PRAZO</v>
      </c>
      <c r="Z334" s="5" t="s">
        <v>357</v>
      </c>
    </row>
    <row r="335" spans="1:26" hidden="1">
      <c r="A335" s="1">
        <v>20765</v>
      </c>
      <c r="B335" t="s">
        <v>17</v>
      </c>
      <c r="C335" t="s">
        <v>13</v>
      </c>
      <c r="D335" t="s">
        <v>18</v>
      </c>
      <c r="E335" s="1">
        <v>1677</v>
      </c>
      <c r="F335" s="1">
        <v>2025</v>
      </c>
      <c r="G335" t="s">
        <v>11</v>
      </c>
      <c r="H335" s="2">
        <v>45908.417453703703</v>
      </c>
      <c r="I335" s="9">
        <f t="shared" si="49"/>
        <v>45911</v>
      </c>
      <c r="J335" s="2" t="str">
        <f t="shared" si="50"/>
        <v/>
      </c>
      <c r="L335" s="2" t="str">
        <f t="shared" si="51"/>
        <v/>
      </c>
      <c r="N335" s="10" t="str">
        <f t="shared" si="52"/>
        <v/>
      </c>
      <c r="O335" s="2">
        <f t="shared" si="53"/>
        <v>45911</v>
      </c>
      <c r="P335" s="2">
        <v>45909.468043981484</v>
      </c>
      <c r="Q335" s="2">
        <f t="shared" si="54"/>
        <v>45917</v>
      </c>
      <c r="R335" s="2">
        <v>45910.511122685188</v>
      </c>
      <c r="S335">
        <f t="shared" si="55"/>
        <v>0</v>
      </c>
      <c r="T335" s="2">
        <f t="shared" si="56"/>
        <v>45917</v>
      </c>
      <c r="U335" t="str">
        <f t="shared" si="57"/>
        <v>NO PRAZO</v>
      </c>
      <c r="Z335" s="5" t="s">
        <v>358</v>
      </c>
    </row>
    <row r="336" spans="1:26" hidden="1">
      <c r="A336" s="1">
        <v>20687</v>
      </c>
      <c r="B336" t="s">
        <v>17</v>
      </c>
      <c r="C336" t="s">
        <v>13</v>
      </c>
      <c r="D336" t="s">
        <v>18</v>
      </c>
      <c r="E336" s="1">
        <v>1599</v>
      </c>
      <c r="F336" s="1">
        <v>2025</v>
      </c>
      <c r="G336" t="s">
        <v>11</v>
      </c>
      <c r="H336" s="2">
        <v>45904.625659722224</v>
      </c>
      <c r="I336" s="9">
        <f t="shared" si="49"/>
        <v>45909</v>
      </c>
      <c r="J336" s="2" t="str">
        <f t="shared" si="50"/>
        <v/>
      </c>
      <c r="L336" s="2" t="str">
        <f t="shared" si="51"/>
        <v/>
      </c>
      <c r="N336" s="10" t="str">
        <f t="shared" si="52"/>
        <v/>
      </c>
      <c r="O336" s="2">
        <f t="shared" si="53"/>
        <v>45909</v>
      </c>
      <c r="P336" s="2">
        <v>45905.442361111112</v>
      </c>
      <c r="Q336" s="2">
        <f t="shared" si="54"/>
        <v>45915</v>
      </c>
      <c r="R336" s="2">
        <v>45905.609583333331</v>
      </c>
      <c r="S336">
        <f t="shared" si="55"/>
        <v>0</v>
      </c>
      <c r="T336" s="2">
        <f t="shared" si="56"/>
        <v>45915</v>
      </c>
      <c r="U336" t="str">
        <f t="shared" si="57"/>
        <v>NO PRAZO</v>
      </c>
      <c r="Z336" s="5" t="s">
        <v>359</v>
      </c>
    </row>
    <row r="337" spans="1:26" hidden="1">
      <c r="A337" s="1">
        <v>20686</v>
      </c>
      <c r="B337" t="s">
        <v>15</v>
      </c>
      <c r="C337" t="s">
        <v>13</v>
      </c>
      <c r="D337" t="s">
        <v>10</v>
      </c>
      <c r="E337" s="1">
        <v>1598</v>
      </c>
      <c r="F337" s="1">
        <v>2025</v>
      </c>
      <c r="G337" t="s">
        <v>11</v>
      </c>
      <c r="H337" s="2">
        <v>45904.625659722224</v>
      </c>
      <c r="I337" s="9">
        <f t="shared" si="49"/>
        <v>45905</v>
      </c>
      <c r="J337" s="2" t="str">
        <f t="shared" si="50"/>
        <v/>
      </c>
      <c r="L337" s="2" t="str">
        <f t="shared" si="51"/>
        <v/>
      </c>
      <c r="N337" s="10" t="str">
        <f t="shared" si="52"/>
        <v/>
      </c>
      <c r="O337" s="2">
        <f t="shared" si="53"/>
        <v>45905</v>
      </c>
      <c r="P337" s="2">
        <v>45908.420775462961</v>
      </c>
      <c r="Q337" s="2">
        <f t="shared" si="54"/>
        <v>45908</v>
      </c>
      <c r="R337" s="2">
        <v>45908.677766203706</v>
      </c>
      <c r="S337">
        <f t="shared" si="55"/>
        <v>0</v>
      </c>
      <c r="T337" s="2">
        <f t="shared" si="56"/>
        <v>45908</v>
      </c>
      <c r="U337" t="str">
        <f t="shared" si="57"/>
        <v>NO PRAZO</v>
      </c>
      <c r="Z337" s="5" t="s">
        <v>360</v>
      </c>
    </row>
    <row r="338" spans="1:26" hidden="1">
      <c r="A338" s="1">
        <v>20685</v>
      </c>
      <c r="B338" t="s">
        <v>8</v>
      </c>
      <c r="C338" t="s">
        <v>13</v>
      </c>
      <c r="D338" t="s">
        <v>10</v>
      </c>
      <c r="E338" s="1">
        <v>1597</v>
      </c>
      <c r="F338" s="1">
        <v>2025</v>
      </c>
      <c r="G338" t="s">
        <v>11</v>
      </c>
      <c r="H338" s="2">
        <v>45904.625659722224</v>
      </c>
      <c r="I338" s="9">
        <f t="shared" si="49"/>
        <v>45905</v>
      </c>
      <c r="J338" s="2" t="str">
        <f t="shared" si="50"/>
        <v/>
      </c>
      <c r="L338" s="2" t="str">
        <f t="shared" si="51"/>
        <v/>
      </c>
      <c r="N338" s="10" t="str">
        <f t="shared" si="52"/>
        <v/>
      </c>
      <c r="O338" s="2">
        <f t="shared" si="53"/>
        <v>45905</v>
      </c>
      <c r="P338" s="2">
        <v>45908.429016203707</v>
      </c>
      <c r="Q338" s="2">
        <f t="shared" si="54"/>
        <v>45908</v>
      </c>
      <c r="R338" s="2">
        <v>45908.438506944447</v>
      </c>
      <c r="S338">
        <f t="shared" si="55"/>
        <v>0</v>
      </c>
      <c r="T338" s="2">
        <f t="shared" si="56"/>
        <v>45908</v>
      </c>
      <c r="U338" t="str">
        <f t="shared" si="57"/>
        <v>NO PRAZO</v>
      </c>
      <c r="Z338" s="5" t="s">
        <v>361</v>
      </c>
    </row>
    <row r="339" spans="1:26" hidden="1">
      <c r="A339" s="1">
        <v>20678</v>
      </c>
      <c r="B339" t="s">
        <v>15</v>
      </c>
      <c r="C339" t="s">
        <v>13</v>
      </c>
      <c r="D339" t="s">
        <v>10</v>
      </c>
      <c r="E339" s="1">
        <v>1590</v>
      </c>
      <c r="F339" s="1">
        <v>2025</v>
      </c>
      <c r="G339" t="s">
        <v>11</v>
      </c>
      <c r="H339" s="2">
        <v>45904.500659722224</v>
      </c>
      <c r="I339" s="9">
        <f t="shared" si="49"/>
        <v>45905</v>
      </c>
      <c r="J339" s="2" t="str">
        <f t="shared" si="50"/>
        <v/>
      </c>
      <c r="L339" s="2" t="str">
        <f t="shared" si="51"/>
        <v/>
      </c>
      <c r="N339" s="10" t="str">
        <f t="shared" si="52"/>
        <v/>
      </c>
      <c r="O339" s="2">
        <f t="shared" si="53"/>
        <v>45905</v>
      </c>
      <c r="P339" s="2">
        <v>45908.604062500002</v>
      </c>
      <c r="Q339" s="2">
        <f t="shared" si="54"/>
        <v>45908</v>
      </c>
      <c r="R339" s="2">
        <v>45908.680821759262</v>
      </c>
      <c r="S339">
        <f t="shared" si="55"/>
        <v>0</v>
      </c>
      <c r="T339" s="2">
        <f t="shared" si="56"/>
        <v>45908</v>
      </c>
      <c r="U339" t="str">
        <f t="shared" si="57"/>
        <v>NO PRAZO</v>
      </c>
      <c r="Z339" s="7" t="s">
        <v>362</v>
      </c>
    </row>
    <row r="340" spans="1:26" hidden="1">
      <c r="A340" s="1">
        <v>20670</v>
      </c>
      <c r="B340" t="s">
        <v>22</v>
      </c>
      <c r="C340" t="s">
        <v>13</v>
      </c>
      <c r="D340" t="s">
        <v>18</v>
      </c>
      <c r="E340" s="1">
        <v>1582</v>
      </c>
      <c r="F340" s="1">
        <v>2025</v>
      </c>
      <c r="G340" t="s">
        <v>11</v>
      </c>
      <c r="H340" s="2">
        <v>45904.440127314818</v>
      </c>
      <c r="I340" s="9">
        <f t="shared" si="49"/>
        <v>45909</v>
      </c>
      <c r="J340" s="2" t="str">
        <f t="shared" si="50"/>
        <v/>
      </c>
      <c r="L340" s="2" t="str">
        <f t="shared" si="51"/>
        <v/>
      </c>
      <c r="N340" s="10" t="str">
        <f t="shared" si="52"/>
        <v/>
      </c>
      <c r="O340" s="2">
        <f t="shared" si="53"/>
        <v>45909</v>
      </c>
      <c r="P340" s="2">
        <v>45904.442731481482</v>
      </c>
      <c r="Q340" s="2">
        <f t="shared" si="54"/>
        <v>45915</v>
      </c>
      <c r="R340" s="2">
        <v>45904.497048611112</v>
      </c>
      <c r="S340">
        <f t="shared" si="55"/>
        <v>0</v>
      </c>
      <c r="T340" s="2">
        <f t="shared" si="56"/>
        <v>45915</v>
      </c>
      <c r="U340" t="str">
        <f t="shared" si="57"/>
        <v>NO PRAZO</v>
      </c>
      <c r="Z340" s="7" t="s">
        <v>363</v>
      </c>
    </row>
    <row r="341" spans="1:26" hidden="1">
      <c r="A341" s="1">
        <v>20665</v>
      </c>
      <c r="B341" t="s">
        <v>24</v>
      </c>
      <c r="C341" t="s">
        <v>13</v>
      </c>
      <c r="D341" t="s">
        <v>10</v>
      </c>
      <c r="E341" s="1">
        <v>1577</v>
      </c>
      <c r="F341" s="1">
        <v>2025</v>
      </c>
      <c r="G341" t="s">
        <v>11</v>
      </c>
      <c r="H341" s="2">
        <v>45903.583993055552</v>
      </c>
      <c r="I341" s="9">
        <f t="shared" si="49"/>
        <v>45904</v>
      </c>
      <c r="J341" s="2" t="str">
        <f t="shared" si="50"/>
        <v/>
      </c>
      <c r="L341" s="2" t="str">
        <f t="shared" si="51"/>
        <v/>
      </c>
      <c r="N341" s="10" t="str">
        <f t="shared" si="52"/>
        <v/>
      </c>
      <c r="O341" s="2">
        <f t="shared" si="53"/>
        <v>45904</v>
      </c>
      <c r="P341" s="2">
        <v>45905.493321759262</v>
      </c>
      <c r="Q341" s="2">
        <f t="shared" si="54"/>
        <v>45905</v>
      </c>
      <c r="R341" s="2">
        <v>45905.76803240741</v>
      </c>
      <c r="S341">
        <f t="shared" si="55"/>
        <v>0</v>
      </c>
      <c r="T341" s="2">
        <f t="shared" si="56"/>
        <v>45905</v>
      </c>
      <c r="U341" t="str">
        <f t="shared" si="57"/>
        <v>NO PRAZO</v>
      </c>
      <c r="Z341" s="7" t="s">
        <v>364</v>
      </c>
    </row>
    <row r="342" spans="1:26" hidden="1">
      <c r="A342" s="1">
        <v>20664</v>
      </c>
      <c r="B342" t="s">
        <v>20</v>
      </c>
      <c r="C342" t="s">
        <v>13</v>
      </c>
      <c r="D342" t="s">
        <v>21</v>
      </c>
      <c r="E342" s="1">
        <v>1576</v>
      </c>
      <c r="F342" s="1">
        <v>2025</v>
      </c>
      <c r="G342" t="s">
        <v>11</v>
      </c>
      <c r="H342" s="2">
        <v>45903.417291666665</v>
      </c>
      <c r="I342" s="9">
        <f t="shared" si="49"/>
        <v>45908</v>
      </c>
      <c r="J342" s="2" t="str">
        <f t="shared" si="50"/>
        <v/>
      </c>
      <c r="L342" s="2" t="str">
        <f t="shared" si="51"/>
        <v/>
      </c>
      <c r="N342" s="10" t="str">
        <f t="shared" si="52"/>
        <v/>
      </c>
      <c r="O342" s="2">
        <f t="shared" si="53"/>
        <v>45908</v>
      </c>
      <c r="P342" s="2">
        <v>45910.4921412037</v>
      </c>
      <c r="Q342" s="2">
        <f t="shared" si="54"/>
        <v>45933</v>
      </c>
      <c r="R342" s="2">
        <v>45925.631793981483</v>
      </c>
      <c r="S342">
        <f t="shared" si="55"/>
        <v>0</v>
      </c>
      <c r="T342" s="2">
        <f t="shared" si="56"/>
        <v>45933</v>
      </c>
      <c r="U342" t="str">
        <f t="shared" si="57"/>
        <v>NO PRAZO</v>
      </c>
      <c r="Z342" s="5" t="s">
        <v>365</v>
      </c>
    </row>
    <row r="343" spans="1:26" hidden="1">
      <c r="A343" s="1">
        <v>20658</v>
      </c>
      <c r="B343" t="s">
        <v>22</v>
      </c>
      <c r="C343" t="s">
        <v>13</v>
      </c>
      <c r="D343" t="s">
        <v>10</v>
      </c>
      <c r="E343" s="1">
        <v>1570</v>
      </c>
      <c r="F343" s="1">
        <v>2025</v>
      </c>
      <c r="G343" t="s">
        <v>11</v>
      </c>
      <c r="H343" s="2">
        <v>45902.458923611113</v>
      </c>
      <c r="I343" s="9">
        <f t="shared" si="49"/>
        <v>45903</v>
      </c>
      <c r="J343" s="2" t="str">
        <f t="shared" si="50"/>
        <v/>
      </c>
      <c r="L343" s="2" t="str">
        <f t="shared" si="51"/>
        <v/>
      </c>
      <c r="N343" s="10" t="str">
        <f t="shared" si="52"/>
        <v/>
      </c>
      <c r="O343" s="2">
        <f t="shared" si="53"/>
        <v>45903</v>
      </c>
      <c r="P343" s="2">
        <v>45904.734317129631</v>
      </c>
      <c r="Q343" s="2">
        <f t="shared" si="54"/>
        <v>45904</v>
      </c>
      <c r="R343" s="2">
        <v>45904.735578703701</v>
      </c>
      <c r="S343">
        <f t="shared" si="55"/>
        <v>0</v>
      </c>
      <c r="T343" s="2">
        <f t="shared" si="56"/>
        <v>45904</v>
      </c>
      <c r="U343" t="str">
        <f t="shared" si="57"/>
        <v>NO PRAZO</v>
      </c>
      <c r="Z343" s="5" t="s">
        <v>366</v>
      </c>
    </row>
    <row r="344" spans="1:26" hidden="1">
      <c r="A344" s="1">
        <v>20657</v>
      </c>
      <c r="B344" t="s">
        <v>22</v>
      </c>
      <c r="C344" t="s">
        <v>13</v>
      </c>
      <c r="D344" t="s">
        <v>16</v>
      </c>
      <c r="E344" s="1">
        <v>1569</v>
      </c>
      <c r="F344" s="1">
        <v>2025</v>
      </c>
      <c r="G344" t="s">
        <v>11</v>
      </c>
      <c r="H344" s="2">
        <v>45902.458923611113</v>
      </c>
      <c r="I344" s="9">
        <f t="shared" si="49"/>
        <v>45903</v>
      </c>
      <c r="J344" s="2" t="str">
        <f t="shared" si="50"/>
        <v/>
      </c>
      <c r="L344" s="2" t="str">
        <f t="shared" si="51"/>
        <v/>
      </c>
      <c r="N344" s="10" t="str">
        <f t="shared" si="52"/>
        <v/>
      </c>
      <c r="O344" s="2">
        <f t="shared" si="53"/>
        <v>45903</v>
      </c>
      <c r="P344" s="2">
        <v>45904.683680555558</v>
      </c>
      <c r="Q344" s="2">
        <f t="shared" si="54"/>
        <v>45909</v>
      </c>
      <c r="R344" s="2">
        <v>45904.733854166669</v>
      </c>
      <c r="S344">
        <f t="shared" si="55"/>
        <v>0</v>
      </c>
      <c r="T344" s="2">
        <f t="shared" si="56"/>
        <v>45909</v>
      </c>
      <c r="U344" t="str">
        <f t="shared" si="57"/>
        <v>NO PRAZO</v>
      </c>
      <c r="Z344" s="5" t="s">
        <v>367</v>
      </c>
    </row>
    <row r="345" spans="1:26" hidden="1">
      <c r="A345" s="1">
        <v>20654</v>
      </c>
      <c r="B345" t="s">
        <v>15</v>
      </c>
      <c r="C345" t="s">
        <v>13</v>
      </c>
      <c r="D345" t="s">
        <v>16</v>
      </c>
      <c r="E345" s="1">
        <v>1566</v>
      </c>
      <c r="F345" s="1">
        <v>2025</v>
      </c>
      <c r="G345" t="s">
        <v>11</v>
      </c>
      <c r="H345" s="2">
        <v>45901.750601851854</v>
      </c>
      <c r="I345" s="9">
        <f t="shared" si="49"/>
        <v>45902</v>
      </c>
      <c r="J345" s="2" t="str">
        <f t="shared" si="50"/>
        <v/>
      </c>
      <c r="L345" s="2" t="str">
        <f t="shared" si="51"/>
        <v/>
      </c>
      <c r="N345" s="10" t="str">
        <f t="shared" si="52"/>
        <v/>
      </c>
      <c r="O345" s="2">
        <f t="shared" si="53"/>
        <v>45902</v>
      </c>
      <c r="P345" s="2">
        <v>45902.413715277777</v>
      </c>
      <c r="Q345" s="2">
        <f t="shared" si="54"/>
        <v>45908</v>
      </c>
      <c r="R345" s="2">
        <v>45905.439872685187</v>
      </c>
      <c r="S345">
        <f t="shared" si="55"/>
        <v>0</v>
      </c>
      <c r="T345" s="2">
        <f t="shared" si="56"/>
        <v>45908</v>
      </c>
      <c r="U345" t="str">
        <f t="shared" si="57"/>
        <v>NO PRAZO</v>
      </c>
      <c r="Z345" s="5" t="s">
        <v>368</v>
      </c>
    </row>
    <row r="346" spans="1:26" hidden="1">
      <c r="A346" s="1">
        <v>20653</v>
      </c>
      <c r="B346" t="s">
        <v>15</v>
      </c>
      <c r="C346" t="s">
        <v>13</v>
      </c>
      <c r="D346" t="s">
        <v>21</v>
      </c>
      <c r="E346" s="1">
        <v>1565</v>
      </c>
      <c r="F346" s="1">
        <v>2025</v>
      </c>
      <c r="G346" t="s">
        <v>11</v>
      </c>
      <c r="H346" s="2">
        <v>45901.708935185183</v>
      </c>
      <c r="I346" s="9">
        <f t="shared" si="49"/>
        <v>45904</v>
      </c>
      <c r="J346" s="2">
        <f t="shared" si="50"/>
        <v>45904</v>
      </c>
      <c r="K346" s="2">
        <v>45908.418807870374</v>
      </c>
      <c r="L346" s="2">
        <f t="shared" si="51"/>
        <v>45924</v>
      </c>
      <c r="M346" s="2">
        <v>45910.645636574074</v>
      </c>
      <c r="N346" s="10">
        <f t="shared" si="52"/>
        <v>0</v>
      </c>
      <c r="O346" s="2">
        <f t="shared" si="53"/>
        <v>45925</v>
      </c>
      <c r="P346" s="2">
        <v>45910.466041666667</v>
      </c>
      <c r="Q346" s="2">
        <f t="shared" si="54"/>
        <v>45952</v>
      </c>
      <c r="R346" s="2">
        <v>45943.598009259258</v>
      </c>
      <c r="S346">
        <f t="shared" si="55"/>
        <v>0</v>
      </c>
      <c r="T346" s="2">
        <f t="shared" si="56"/>
        <v>45952</v>
      </c>
      <c r="U346" t="str">
        <f t="shared" si="57"/>
        <v>NO PRAZO</v>
      </c>
      <c r="Z346" s="5" t="s">
        <v>369</v>
      </c>
    </row>
    <row r="347" spans="1:26" hidden="1">
      <c r="A347" s="1">
        <v>20649</v>
      </c>
      <c r="B347" t="s">
        <v>15</v>
      </c>
      <c r="C347" t="s">
        <v>13</v>
      </c>
      <c r="D347" t="s">
        <v>18</v>
      </c>
      <c r="E347" s="1">
        <v>1561</v>
      </c>
      <c r="F347" s="1">
        <v>2025</v>
      </c>
      <c r="G347" t="s">
        <v>11</v>
      </c>
      <c r="H347" s="2">
        <v>45901.594872685186</v>
      </c>
      <c r="I347" s="9">
        <f t="shared" si="49"/>
        <v>45904</v>
      </c>
      <c r="J347" s="2" t="str">
        <f t="shared" si="50"/>
        <v/>
      </c>
      <c r="L347" s="2" t="str">
        <f t="shared" si="51"/>
        <v/>
      </c>
      <c r="N347" s="10" t="str">
        <f t="shared" si="52"/>
        <v/>
      </c>
      <c r="O347" s="2">
        <f t="shared" si="53"/>
        <v>45904</v>
      </c>
      <c r="P347" s="2">
        <v>45901.595636574071</v>
      </c>
      <c r="Q347" s="2">
        <f t="shared" si="54"/>
        <v>45910</v>
      </c>
      <c r="R347" s="2">
        <v>45901.596319444441</v>
      </c>
      <c r="S347">
        <f t="shared" si="55"/>
        <v>0</v>
      </c>
      <c r="T347" s="2">
        <f t="shared" si="56"/>
        <v>45910</v>
      </c>
      <c r="U347" t="str">
        <f t="shared" si="57"/>
        <v>NO PRAZO</v>
      </c>
      <c r="Z347" s="5" t="s">
        <v>370</v>
      </c>
    </row>
    <row r="348" spans="1:26" hidden="1">
      <c r="A348" s="1">
        <v>20645</v>
      </c>
      <c r="B348" t="s">
        <v>24</v>
      </c>
      <c r="C348" t="s">
        <v>13</v>
      </c>
      <c r="D348" t="s">
        <v>18</v>
      </c>
      <c r="E348" s="1">
        <v>1557</v>
      </c>
      <c r="F348" s="1">
        <v>2025</v>
      </c>
      <c r="G348" t="s">
        <v>11</v>
      </c>
      <c r="H348" s="2">
        <v>45901.416817129626</v>
      </c>
      <c r="I348" s="9">
        <f t="shared" si="49"/>
        <v>45904</v>
      </c>
      <c r="J348" s="2" t="str">
        <f t="shared" si="50"/>
        <v/>
      </c>
      <c r="L348" s="2" t="str">
        <f t="shared" si="51"/>
        <v/>
      </c>
      <c r="N348" s="10" t="str">
        <f t="shared" si="52"/>
        <v/>
      </c>
      <c r="O348" s="2">
        <f t="shared" si="53"/>
        <v>45904</v>
      </c>
      <c r="P348" s="2">
        <v>45903.592557870368</v>
      </c>
      <c r="Q348" s="2">
        <f t="shared" si="54"/>
        <v>45910</v>
      </c>
      <c r="R348" s="2">
        <v>45904.39576388889</v>
      </c>
      <c r="S348">
        <f t="shared" si="55"/>
        <v>0</v>
      </c>
      <c r="T348" s="2">
        <f t="shared" si="56"/>
        <v>45910</v>
      </c>
      <c r="U348" t="str">
        <f t="shared" si="57"/>
        <v>NO PRAZO</v>
      </c>
      <c r="Z348" s="5" t="s">
        <v>371</v>
      </c>
    </row>
    <row r="349" spans="1:26" hidden="1">
      <c r="A349" s="1">
        <v>20643</v>
      </c>
      <c r="B349" t="s">
        <v>15</v>
      </c>
      <c r="C349" t="s">
        <v>13</v>
      </c>
      <c r="D349" t="s">
        <v>16</v>
      </c>
      <c r="E349" s="1">
        <v>1555</v>
      </c>
      <c r="F349" s="1">
        <v>2025</v>
      </c>
      <c r="G349" t="s">
        <v>11</v>
      </c>
      <c r="H349" s="2">
        <v>45898.674108796295</v>
      </c>
      <c r="I349" s="9">
        <f t="shared" si="49"/>
        <v>45901</v>
      </c>
      <c r="J349" s="2" t="str">
        <f t="shared" si="50"/>
        <v/>
      </c>
      <c r="L349" s="2" t="str">
        <f t="shared" si="51"/>
        <v/>
      </c>
      <c r="N349" s="10" t="str">
        <f t="shared" si="52"/>
        <v/>
      </c>
      <c r="O349" s="2">
        <f t="shared" si="53"/>
        <v>45901</v>
      </c>
      <c r="P349" s="2">
        <v>45901.679722222223</v>
      </c>
      <c r="Q349" s="2">
        <f t="shared" si="54"/>
        <v>45905</v>
      </c>
      <c r="R349" s="2">
        <v>45905.780046296299</v>
      </c>
      <c r="S349">
        <f t="shared" si="55"/>
        <v>0</v>
      </c>
      <c r="T349" s="2">
        <f t="shared" si="56"/>
        <v>45905</v>
      </c>
      <c r="U349" t="str">
        <f t="shared" si="57"/>
        <v>NO PRAZO</v>
      </c>
      <c r="Z349" s="5" t="s">
        <v>372</v>
      </c>
    </row>
    <row r="350" spans="1:26" hidden="1">
      <c r="A350" s="1">
        <v>20638</v>
      </c>
      <c r="B350" t="s">
        <v>19</v>
      </c>
      <c r="C350" t="s">
        <v>13</v>
      </c>
      <c r="D350" t="s">
        <v>18</v>
      </c>
      <c r="E350" s="1">
        <v>1550</v>
      </c>
      <c r="F350" s="1">
        <v>2025</v>
      </c>
      <c r="G350" t="s">
        <v>11</v>
      </c>
      <c r="H350" s="2">
        <v>45898.458796296298</v>
      </c>
      <c r="I350" s="9">
        <f t="shared" si="49"/>
        <v>45903</v>
      </c>
      <c r="J350" s="2" t="str">
        <f t="shared" si="50"/>
        <v/>
      </c>
      <c r="L350" s="2" t="str">
        <f t="shared" si="51"/>
        <v/>
      </c>
      <c r="N350" s="10" t="str">
        <f t="shared" si="52"/>
        <v/>
      </c>
      <c r="O350" s="2">
        <f t="shared" si="53"/>
        <v>45903</v>
      </c>
      <c r="P350" s="2">
        <v>45901.398020833331</v>
      </c>
      <c r="Q350" s="2">
        <f t="shared" si="54"/>
        <v>45909</v>
      </c>
      <c r="R350" s="2">
        <v>45904.436331018522</v>
      </c>
      <c r="S350">
        <f t="shared" si="55"/>
        <v>0</v>
      </c>
      <c r="T350" s="2">
        <f t="shared" si="56"/>
        <v>45909</v>
      </c>
      <c r="U350" t="str">
        <f t="shared" si="57"/>
        <v>NO PRAZO</v>
      </c>
      <c r="Z350" s="5" t="s">
        <v>373</v>
      </c>
    </row>
    <row r="351" spans="1:26" hidden="1">
      <c r="A351" s="1">
        <v>20637</v>
      </c>
      <c r="B351" t="s">
        <v>15</v>
      </c>
      <c r="C351" t="s">
        <v>13</v>
      </c>
      <c r="D351" t="s">
        <v>14</v>
      </c>
      <c r="E351" s="1">
        <v>1549</v>
      </c>
      <c r="F351" s="1">
        <v>2025</v>
      </c>
      <c r="G351" t="s">
        <v>11</v>
      </c>
      <c r="H351" s="2">
        <v>45898.429270833331</v>
      </c>
      <c r="I351" s="9">
        <f t="shared" si="49"/>
        <v>45901</v>
      </c>
      <c r="J351" s="2" t="str">
        <f t="shared" si="50"/>
        <v/>
      </c>
      <c r="L351" s="2" t="str">
        <f t="shared" si="51"/>
        <v/>
      </c>
      <c r="N351" s="10" t="str">
        <f t="shared" si="52"/>
        <v/>
      </c>
      <c r="O351" s="2">
        <f t="shared" si="53"/>
        <v>45901</v>
      </c>
      <c r="P351" s="2">
        <v>45898.562407407408</v>
      </c>
      <c r="Q351" s="2">
        <f t="shared" si="54"/>
        <v>45902</v>
      </c>
      <c r="R351" s="2">
        <v>45898.56422453704</v>
      </c>
      <c r="S351">
        <f t="shared" si="55"/>
        <v>0</v>
      </c>
      <c r="T351" s="2">
        <f t="shared" si="56"/>
        <v>45902</v>
      </c>
      <c r="U351" t="str">
        <f t="shared" si="57"/>
        <v>NO PRAZO</v>
      </c>
      <c r="Z351" s="5" t="s">
        <v>374</v>
      </c>
    </row>
    <row r="352" spans="1:26" hidden="1">
      <c r="A352" s="1">
        <v>20634</v>
      </c>
      <c r="B352" t="s">
        <v>19</v>
      </c>
      <c r="C352" t="s">
        <v>13</v>
      </c>
      <c r="D352" t="s">
        <v>16</v>
      </c>
      <c r="E352" s="1">
        <v>1546</v>
      </c>
      <c r="F352" s="1">
        <v>2025</v>
      </c>
      <c r="G352" t="s">
        <v>11</v>
      </c>
      <c r="H352" s="2">
        <v>45897.583761574075</v>
      </c>
      <c r="I352" s="9">
        <f t="shared" si="49"/>
        <v>45898</v>
      </c>
      <c r="J352" s="2" t="str">
        <f t="shared" si="50"/>
        <v/>
      </c>
      <c r="L352" s="2" t="str">
        <f t="shared" si="51"/>
        <v/>
      </c>
      <c r="N352" s="10" t="str">
        <f t="shared" si="52"/>
        <v/>
      </c>
      <c r="O352" s="2">
        <f t="shared" si="53"/>
        <v>45898</v>
      </c>
      <c r="P352" s="2">
        <v>45902.609155092592</v>
      </c>
      <c r="Q352" s="2">
        <f t="shared" si="54"/>
        <v>45904</v>
      </c>
      <c r="R352" s="2">
        <v>45902.609502314815</v>
      </c>
      <c r="S352">
        <f t="shared" si="55"/>
        <v>0</v>
      </c>
      <c r="T352" s="2">
        <f t="shared" si="56"/>
        <v>45904</v>
      </c>
      <c r="U352" t="str">
        <f t="shared" si="57"/>
        <v>NO PRAZO</v>
      </c>
      <c r="Z352" s="5" t="s">
        <v>375</v>
      </c>
    </row>
    <row r="353" spans="1:26" hidden="1">
      <c r="A353" s="1">
        <v>20626</v>
      </c>
      <c r="B353" t="s">
        <v>8</v>
      </c>
      <c r="C353" t="s">
        <v>9</v>
      </c>
      <c r="D353" t="s">
        <v>18</v>
      </c>
      <c r="E353" s="1">
        <v>1538</v>
      </c>
      <c r="F353" s="1">
        <v>2025</v>
      </c>
      <c r="G353" t="s">
        <v>11</v>
      </c>
      <c r="H353" s="2">
        <v>45896.667094907411</v>
      </c>
      <c r="I353" s="9">
        <f t="shared" si="49"/>
        <v>45901</v>
      </c>
      <c r="J353" s="2" t="str">
        <f t="shared" si="50"/>
        <v/>
      </c>
      <c r="L353" s="2" t="str">
        <f t="shared" si="51"/>
        <v/>
      </c>
      <c r="N353" s="10" t="str">
        <f t="shared" si="52"/>
        <v/>
      </c>
      <c r="O353" s="2">
        <f t="shared" si="53"/>
        <v>45901</v>
      </c>
      <c r="P353" s="2">
        <v>45897.572893518518</v>
      </c>
      <c r="Q353" s="2">
        <f t="shared" si="54"/>
        <v>45905</v>
      </c>
      <c r="R353" s="2">
        <v>45902.43476851852</v>
      </c>
      <c r="S353">
        <f t="shared" si="55"/>
        <v>0</v>
      </c>
      <c r="T353" s="2">
        <f t="shared" si="56"/>
        <v>45905</v>
      </c>
      <c r="U353" t="str">
        <f t="shared" si="57"/>
        <v>NO PRAZO</v>
      </c>
      <c r="Z353" s="5" t="s">
        <v>376</v>
      </c>
    </row>
    <row r="354" spans="1:26" hidden="1">
      <c r="A354" s="1">
        <v>20622</v>
      </c>
      <c r="B354" t="s">
        <v>17</v>
      </c>
      <c r="C354" t="s">
        <v>13</v>
      </c>
      <c r="D354" t="s">
        <v>18</v>
      </c>
      <c r="E354" s="1">
        <v>1534</v>
      </c>
      <c r="F354" s="1">
        <v>2025</v>
      </c>
      <c r="G354" t="s">
        <v>11</v>
      </c>
      <c r="H354" s="2">
        <v>45896.625416666669</v>
      </c>
      <c r="I354" s="9">
        <f t="shared" si="49"/>
        <v>45901</v>
      </c>
      <c r="J354" s="2" t="str">
        <f t="shared" si="50"/>
        <v/>
      </c>
      <c r="L354" s="2" t="str">
        <f t="shared" si="51"/>
        <v/>
      </c>
      <c r="N354" s="10" t="str">
        <f t="shared" si="52"/>
        <v/>
      </c>
      <c r="O354" s="2">
        <f t="shared" si="53"/>
        <v>45901</v>
      </c>
      <c r="P354" s="2">
        <v>45898.391053240739</v>
      </c>
      <c r="Q354" s="2">
        <f t="shared" si="54"/>
        <v>45905</v>
      </c>
      <c r="R354" s="2">
        <v>45902.423206018517</v>
      </c>
      <c r="S354">
        <f t="shared" si="55"/>
        <v>0</v>
      </c>
      <c r="T354" s="2">
        <f t="shared" si="56"/>
        <v>45905</v>
      </c>
      <c r="U354" t="str">
        <f t="shared" si="57"/>
        <v>NO PRAZO</v>
      </c>
      <c r="Z354" s="4" t="s">
        <v>377</v>
      </c>
    </row>
    <row r="355" spans="1:26">
      <c r="A355" s="1">
        <v>20620</v>
      </c>
      <c r="B355" t="s">
        <v>17</v>
      </c>
      <c r="C355" t="s">
        <v>13</v>
      </c>
      <c r="D355" t="s">
        <v>18</v>
      </c>
      <c r="E355" s="1">
        <v>1532</v>
      </c>
      <c r="F355" s="1">
        <v>2025</v>
      </c>
      <c r="G355" t="s">
        <v>11</v>
      </c>
      <c r="H355" s="2">
        <v>45896.625416666669</v>
      </c>
      <c r="I355" s="9">
        <f t="shared" si="49"/>
        <v>45901</v>
      </c>
      <c r="J355" s="2" t="str">
        <f t="shared" si="50"/>
        <v/>
      </c>
      <c r="L355" s="2" t="str">
        <f t="shared" si="51"/>
        <v/>
      </c>
      <c r="N355" s="10" t="str">
        <f t="shared" si="52"/>
        <v/>
      </c>
      <c r="O355" s="2">
        <f t="shared" si="53"/>
        <v>45901</v>
      </c>
      <c r="P355" s="2">
        <v>45908.440763888888</v>
      </c>
      <c r="Q355" s="2">
        <f t="shared" si="54"/>
        <v>45905</v>
      </c>
      <c r="R355" s="2">
        <v>45909.636782407404</v>
      </c>
      <c r="S355">
        <f t="shared" si="55"/>
        <v>4</v>
      </c>
      <c r="T355" s="2">
        <f t="shared" si="56"/>
        <v>45905</v>
      </c>
      <c r="U355" t="str">
        <f t="shared" si="57"/>
        <v>ATRASO</v>
      </c>
      <c r="Z355" s="5" t="s">
        <v>378</v>
      </c>
    </row>
    <row r="356" spans="1:26" hidden="1">
      <c r="A356" s="1">
        <v>20612</v>
      </c>
      <c r="B356" t="s">
        <v>24</v>
      </c>
      <c r="C356" t="s">
        <v>13</v>
      </c>
      <c r="D356" t="s">
        <v>18</v>
      </c>
      <c r="E356" s="1">
        <v>1524</v>
      </c>
      <c r="F356" s="1">
        <v>2025</v>
      </c>
      <c r="G356" t="s">
        <v>11</v>
      </c>
      <c r="H356" s="2">
        <v>45895.744791666664</v>
      </c>
      <c r="I356" s="9">
        <f t="shared" si="49"/>
        <v>45898</v>
      </c>
      <c r="J356" s="2" t="str">
        <f t="shared" si="50"/>
        <v/>
      </c>
      <c r="L356" s="2" t="str">
        <f t="shared" si="51"/>
        <v/>
      </c>
      <c r="N356" s="10" t="str">
        <f t="shared" si="52"/>
        <v/>
      </c>
      <c r="O356" s="2">
        <f t="shared" si="53"/>
        <v>45898</v>
      </c>
      <c r="P356" s="2">
        <v>45897.506435185183</v>
      </c>
      <c r="Q356" s="2">
        <f t="shared" si="54"/>
        <v>45904</v>
      </c>
      <c r="R356" s="2">
        <v>45897.507175925923</v>
      </c>
      <c r="S356">
        <f t="shared" si="55"/>
        <v>0</v>
      </c>
      <c r="T356" s="2">
        <f t="shared" si="56"/>
        <v>45904</v>
      </c>
      <c r="U356" t="str">
        <f t="shared" si="57"/>
        <v>NO PRAZO</v>
      </c>
      <c r="Z356" s="6" t="s">
        <v>379</v>
      </c>
    </row>
    <row r="357" spans="1:26" hidden="1">
      <c r="A357" s="1">
        <v>20606</v>
      </c>
      <c r="B357" t="s">
        <v>20</v>
      </c>
      <c r="C357" t="s">
        <v>13</v>
      </c>
      <c r="D357" t="s">
        <v>10</v>
      </c>
      <c r="E357" s="1">
        <v>1518</v>
      </c>
      <c r="F357" s="1">
        <v>2025</v>
      </c>
      <c r="G357" t="s">
        <v>11</v>
      </c>
      <c r="H357" s="2">
        <v>45895.500486111108</v>
      </c>
      <c r="I357" s="9">
        <f t="shared" si="49"/>
        <v>45896</v>
      </c>
      <c r="J357" s="2" t="str">
        <f t="shared" si="50"/>
        <v/>
      </c>
      <c r="L357" s="2" t="str">
        <f t="shared" si="51"/>
        <v/>
      </c>
      <c r="N357" s="10" t="str">
        <f t="shared" si="52"/>
        <v/>
      </c>
      <c r="O357" s="2">
        <f t="shared" si="53"/>
        <v>45896</v>
      </c>
      <c r="P357" s="2">
        <v>45896.402511574073</v>
      </c>
      <c r="Q357" s="2">
        <f t="shared" si="54"/>
        <v>45897</v>
      </c>
      <c r="R357" s="2">
        <v>45896.420289351852</v>
      </c>
      <c r="S357">
        <f t="shared" si="55"/>
        <v>0</v>
      </c>
      <c r="T357" s="2">
        <f t="shared" si="56"/>
        <v>45897</v>
      </c>
      <c r="U357" t="str">
        <f t="shared" si="57"/>
        <v>NO PRAZO</v>
      </c>
      <c r="Z357" s="5" t="s">
        <v>380</v>
      </c>
    </row>
    <row r="358" spans="1:26" hidden="1">
      <c r="A358" s="1">
        <v>20604</v>
      </c>
      <c r="B358" t="s">
        <v>15</v>
      </c>
      <c r="C358" t="s">
        <v>13</v>
      </c>
      <c r="D358" t="s">
        <v>10</v>
      </c>
      <c r="E358" s="1">
        <v>1516</v>
      </c>
      <c r="F358" s="1">
        <v>2025</v>
      </c>
      <c r="G358" t="s">
        <v>11</v>
      </c>
      <c r="H358" s="2">
        <v>45895.458680555559</v>
      </c>
      <c r="I358" s="9">
        <f t="shared" si="49"/>
        <v>45896</v>
      </c>
      <c r="J358" s="2" t="str">
        <f t="shared" si="50"/>
        <v/>
      </c>
      <c r="L358" s="2" t="str">
        <f t="shared" si="51"/>
        <v/>
      </c>
      <c r="N358" s="10" t="str">
        <f t="shared" si="52"/>
        <v/>
      </c>
      <c r="O358" s="2">
        <f t="shared" si="53"/>
        <v>45896</v>
      </c>
      <c r="P358" s="2">
        <v>45896.640150462961</v>
      </c>
      <c r="Q358" s="2">
        <f t="shared" si="54"/>
        <v>45897</v>
      </c>
      <c r="R358" s="2">
        <v>45896.642766203702</v>
      </c>
      <c r="S358">
        <f t="shared" si="55"/>
        <v>0</v>
      </c>
      <c r="T358" s="2">
        <f t="shared" si="56"/>
        <v>45897</v>
      </c>
      <c r="U358" t="str">
        <f t="shared" si="57"/>
        <v>NO PRAZO</v>
      </c>
      <c r="Z358" s="5" t="s">
        <v>381</v>
      </c>
    </row>
    <row r="359" spans="1:26">
      <c r="A359" s="1">
        <v>20601</v>
      </c>
      <c r="B359" t="s">
        <v>15</v>
      </c>
      <c r="C359" t="s">
        <v>13</v>
      </c>
      <c r="D359" t="s">
        <v>16</v>
      </c>
      <c r="E359" s="1">
        <v>1513</v>
      </c>
      <c r="F359" s="1">
        <v>2025</v>
      </c>
      <c r="G359" t="s">
        <v>11</v>
      </c>
      <c r="H359" s="2">
        <v>45895.375347222223</v>
      </c>
      <c r="I359" s="9">
        <f t="shared" si="49"/>
        <v>45896</v>
      </c>
      <c r="J359" s="2" t="str">
        <f t="shared" si="50"/>
        <v/>
      </c>
      <c r="L359" s="2" t="str">
        <f t="shared" si="51"/>
        <v/>
      </c>
      <c r="N359" s="10" t="str">
        <f t="shared" si="52"/>
        <v/>
      </c>
      <c r="O359" s="2">
        <f t="shared" si="53"/>
        <v>45896</v>
      </c>
      <c r="P359" s="2">
        <v>45896.423125000001</v>
      </c>
      <c r="Q359" s="2">
        <f t="shared" si="54"/>
        <v>45902</v>
      </c>
      <c r="R359" s="2">
        <v>45904.73196759259</v>
      </c>
      <c r="S359">
        <f t="shared" si="55"/>
        <v>2</v>
      </c>
      <c r="T359" s="2">
        <f t="shared" si="56"/>
        <v>45902</v>
      </c>
      <c r="U359" t="str">
        <f t="shared" si="57"/>
        <v>ATRASO</v>
      </c>
      <c r="Z359" s="5" t="s">
        <v>382</v>
      </c>
    </row>
    <row r="360" spans="1:26" hidden="1">
      <c r="A360" s="1">
        <v>20596</v>
      </c>
      <c r="B360" t="s">
        <v>15</v>
      </c>
      <c r="C360" t="s">
        <v>13</v>
      </c>
      <c r="D360" t="s">
        <v>10</v>
      </c>
      <c r="E360" s="1">
        <v>1508</v>
      </c>
      <c r="F360" s="1">
        <v>2025</v>
      </c>
      <c r="G360" t="s">
        <v>11</v>
      </c>
      <c r="H360" s="2">
        <v>45891.708749999998</v>
      </c>
      <c r="I360" s="9">
        <f t="shared" si="49"/>
        <v>45894</v>
      </c>
      <c r="J360" s="2" t="str">
        <f t="shared" si="50"/>
        <v/>
      </c>
      <c r="L360" s="2" t="str">
        <f t="shared" si="51"/>
        <v/>
      </c>
      <c r="N360" s="10" t="str">
        <f t="shared" si="52"/>
        <v/>
      </c>
      <c r="O360" s="2">
        <f t="shared" si="53"/>
        <v>45894</v>
      </c>
      <c r="P360" s="2">
        <v>45894.612303240741</v>
      </c>
      <c r="Q360" s="2">
        <f t="shared" si="54"/>
        <v>45895</v>
      </c>
      <c r="R360" s="2">
        <v>45894.686631944445</v>
      </c>
      <c r="S360">
        <f t="shared" si="55"/>
        <v>0</v>
      </c>
      <c r="T360" s="2">
        <f t="shared" si="56"/>
        <v>45895</v>
      </c>
      <c r="U360" t="str">
        <f t="shared" si="57"/>
        <v>NO PRAZO</v>
      </c>
      <c r="Z360" s="5" t="s">
        <v>383</v>
      </c>
    </row>
    <row r="361" spans="1:26" hidden="1">
      <c r="A361" s="1">
        <v>20592</v>
      </c>
      <c r="B361" t="s">
        <v>19</v>
      </c>
      <c r="C361" t="s">
        <v>13</v>
      </c>
      <c r="D361" t="s">
        <v>18</v>
      </c>
      <c r="E361" s="1">
        <v>1504</v>
      </c>
      <c r="F361" s="1">
        <v>2025</v>
      </c>
      <c r="G361" t="s">
        <v>11</v>
      </c>
      <c r="H361" s="2">
        <v>45891.583715277775</v>
      </c>
      <c r="I361" s="9">
        <f t="shared" si="49"/>
        <v>45896</v>
      </c>
      <c r="J361" s="2" t="str">
        <f t="shared" si="50"/>
        <v/>
      </c>
      <c r="L361" s="2" t="str">
        <f t="shared" si="51"/>
        <v/>
      </c>
      <c r="N361" s="10" t="str">
        <f t="shared" si="52"/>
        <v/>
      </c>
      <c r="O361" s="2">
        <f t="shared" si="53"/>
        <v>45896</v>
      </c>
      <c r="P361" s="2">
        <v>45894.419583333336</v>
      </c>
      <c r="Q361" s="2">
        <f t="shared" si="54"/>
        <v>45902</v>
      </c>
      <c r="R361" s="2">
        <v>45897.58761574074</v>
      </c>
      <c r="S361">
        <f t="shared" si="55"/>
        <v>0</v>
      </c>
      <c r="T361" s="2">
        <f t="shared" si="56"/>
        <v>45902</v>
      </c>
      <c r="U361" t="str">
        <f t="shared" si="57"/>
        <v>NO PRAZO</v>
      </c>
      <c r="Z361" s="4" t="s">
        <v>384</v>
      </c>
    </row>
    <row r="362" spans="1:26" hidden="1">
      <c r="A362" s="1">
        <v>20591</v>
      </c>
      <c r="B362" t="s">
        <v>15</v>
      </c>
      <c r="C362" t="s">
        <v>13</v>
      </c>
      <c r="D362" t="s">
        <v>10</v>
      </c>
      <c r="E362" s="1">
        <v>1503</v>
      </c>
      <c r="F362" s="1">
        <v>2025</v>
      </c>
      <c r="G362" t="s">
        <v>11</v>
      </c>
      <c r="H362" s="2">
        <v>45891.500381944446</v>
      </c>
      <c r="I362" s="9">
        <f t="shared" si="49"/>
        <v>45894</v>
      </c>
      <c r="J362" s="2" t="str">
        <f t="shared" si="50"/>
        <v/>
      </c>
      <c r="L362" s="2" t="str">
        <f t="shared" si="51"/>
        <v/>
      </c>
      <c r="N362" s="10" t="str">
        <f t="shared" si="52"/>
        <v/>
      </c>
      <c r="O362" s="2">
        <f t="shared" si="53"/>
        <v>45894</v>
      </c>
      <c r="P362" s="2">
        <v>45894.414780092593</v>
      </c>
      <c r="Q362" s="2">
        <f t="shared" si="54"/>
        <v>45895</v>
      </c>
      <c r="R362" s="2">
        <v>45895.629004629627</v>
      </c>
      <c r="S362">
        <f t="shared" si="55"/>
        <v>0</v>
      </c>
      <c r="T362" s="2">
        <f t="shared" si="56"/>
        <v>45895</v>
      </c>
      <c r="U362" t="str">
        <f t="shared" si="57"/>
        <v>NO PRAZO</v>
      </c>
      <c r="Z362" s="8" t="s">
        <v>385</v>
      </c>
    </row>
    <row r="363" spans="1:26" hidden="1">
      <c r="A363" s="1">
        <v>20590</v>
      </c>
      <c r="B363" t="s">
        <v>12</v>
      </c>
      <c r="C363" t="s">
        <v>13</v>
      </c>
      <c r="D363" t="s">
        <v>18</v>
      </c>
      <c r="E363" s="1">
        <v>1502</v>
      </c>
      <c r="F363" s="1">
        <v>2025</v>
      </c>
      <c r="G363" t="s">
        <v>11</v>
      </c>
      <c r="H363" s="2">
        <v>45891.458738425928</v>
      </c>
      <c r="I363" s="9">
        <f t="shared" si="49"/>
        <v>45896</v>
      </c>
      <c r="J363" s="2" t="str">
        <f t="shared" si="50"/>
        <v/>
      </c>
      <c r="L363" s="2" t="str">
        <f t="shared" si="51"/>
        <v/>
      </c>
      <c r="N363" s="10" t="str">
        <f t="shared" si="52"/>
        <v/>
      </c>
      <c r="O363" s="2">
        <f t="shared" si="53"/>
        <v>45896</v>
      </c>
      <c r="P363" s="2">
        <v>45891.495173611111</v>
      </c>
      <c r="Q363" s="2">
        <f t="shared" si="54"/>
        <v>45902</v>
      </c>
      <c r="R363" s="2">
        <v>45891.688506944447</v>
      </c>
      <c r="S363">
        <f t="shared" si="55"/>
        <v>0</v>
      </c>
      <c r="T363" s="2">
        <f t="shared" si="56"/>
        <v>45902</v>
      </c>
      <c r="U363" t="str">
        <f t="shared" si="57"/>
        <v>NO PRAZO</v>
      </c>
      <c r="Z363" s="5" t="s">
        <v>386</v>
      </c>
    </row>
    <row r="364" spans="1:26" hidden="1">
      <c r="A364" s="1">
        <v>20586</v>
      </c>
      <c r="B364" t="s">
        <v>20</v>
      </c>
      <c r="C364" t="s">
        <v>13</v>
      </c>
      <c r="D364" t="s">
        <v>21</v>
      </c>
      <c r="E364" s="1">
        <v>1498</v>
      </c>
      <c r="F364" s="1">
        <v>2025</v>
      </c>
      <c r="G364" t="s">
        <v>11</v>
      </c>
      <c r="H364" s="2">
        <v>45890.706724537034</v>
      </c>
      <c r="I364" s="9">
        <f t="shared" si="49"/>
        <v>45895</v>
      </c>
      <c r="J364" s="2" t="str">
        <f t="shared" si="50"/>
        <v/>
      </c>
      <c r="L364" s="2" t="str">
        <f t="shared" si="51"/>
        <v/>
      </c>
      <c r="N364" s="10" t="str">
        <f t="shared" si="52"/>
        <v/>
      </c>
      <c r="O364" s="2">
        <f t="shared" si="53"/>
        <v>45895</v>
      </c>
      <c r="P364" s="2">
        <v>45891.424756944441</v>
      </c>
      <c r="Q364" s="2">
        <f t="shared" si="54"/>
        <v>45922</v>
      </c>
      <c r="R364" s="2">
        <v>45918.70175925926</v>
      </c>
      <c r="S364">
        <f t="shared" si="55"/>
        <v>0</v>
      </c>
      <c r="T364" s="2">
        <f t="shared" si="56"/>
        <v>45922</v>
      </c>
      <c r="U364" t="str">
        <f t="shared" si="57"/>
        <v>NO PRAZO</v>
      </c>
      <c r="Z364" s="5" t="s">
        <v>387</v>
      </c>
    </row>
    <row r="365" spans="1:26" hidden="1">
      <c r="A365" s="1">
        <v>20582</v>
      </c>
      <c r="B365" t="s">
        <v>12</v>
      </c>
      <c r="C365" t="s">
        <v>13</v>
      </c>
      <c r="D365" t="s">
        <v>18</v>
      </c>
      <c r="E365" s="1">
        <v>1494</v>
      </c>
      <c r="F365" s="1">
        <v>2025</v>
      </c>
      <c r="G365" t="s">
        <v>11</v>
      </c>
      <c r="H365" s="2">
        <v>45890.500358796293</v>
      </c>
      <c r="I365" s="9">
        <f t="shared" si="49"/>
        <v>45895</v>
      </c>
      <c r="J365" s="2" t="str">
        <f t="shared" si="50"/>
        <v/>
      </c>
      <c r="L365" s="2" t="str">
        <f t="shared" si="51"/>
        <v/>
      </c>
      <c r="N365" s="10" t="str">
        <f t="shared" si="52"/>
        <v/>
      </c>
      <c r="O365" s="2">
        <f t="shared" si="53"/>
        <v>45895</v>
      </c>
      <c r="P365" s="2">
        <v>45894.408726851849</v>
      </c>
      <c r="Q365" s="2">
        <f t="shared" si="54"/>
        <v>45901</v>
      </c>
      <c r="R365" s="2">
        <v>45894.409189814818</v>
      </c>
      <c r="S365">
        <f t="shared" si="55"/>
        <v>0</v>
      </c>
      <c r="T365" s="2">
        <f t="shared" si="56"/>
        <v>45901</v>
      </c>
      <c r="U365" t="str">
        <f t="shared" si="57"/>
        <v>NO PRAZO</v>
      </c>
      <c r="Z365" s="4" t="s">
        <v>388</v>
      </c>
    </row>
    <row r="366" spans="1:26" hidden="1">
      <c r="A366" s="1">
        <v>20579</v>
      </c>
      <c r="B366" t="s">
        <v>17</v>
      </c>
      <c r="C366" t="s">
        <v>13</v>
      </c>
      <c r="D366" t="s">
        <v>18</v>
      </c>
      <c r="E366" s="1">
        <v>1491</v>
      </c>
      <c r="F366" s="1">
        <v>2025</v>
      </c>
      <c r="G366" t="s">
        <v>11</v>
      </c>
      <c r="H366" s="2">
        <v>45889.792013888888</v>
      </c>
      <c r="I366" s="9">
        <f t="shared" si="49"/>
        <v>45894</v>
      </c>
      <c r="J366" s="2" t="str">
        <f t="shared" si="50"/>
        <v/>
      </c>
      <c r="L366" s="2" t="str">
        <f t="shared" si="51"/>
        <v/>
      </c>
      <c r="N366" s="10" t="str">
        <f t="shared" si="52"/>
        <v/>
      </c>
      <c r="O366" s="2">
        <f t="shared" si="53"/>
        <v>45894</v>
      </c>
      <c r="P366" s="2">
        <v>45890.699884259258</v>
      </c>
      <c r="Q366" s="2">
        <f t="shared" si="54"/>
        <v>45898</v>
      </c>
      <c r="R366" s="2">
        <v>45891.605115740742</v>
      </c>
      <c r="S366">
        <f t="shared" si="55"/>
        <v>0</v>
      </c>
      <c r="T366" s="2">
        <f t="shared" si="56"/>
        <v>45898</v>
      </c>
      <c r="U366" t="str">
        <f t="shared" si="57"/>
        <v>NO PRAZO</v>
      </c>
      <c r="Z366" s="5" t="s">
        <v>389</v>
      </c>
    </row>
    <row r="367" spans="1:26" hidden="1">
      <c r="A367" s="1">
        <v>20578</v>
      </c>
      <c r="B367" t="s">
        <v>17</v>
      </c>
      <c r="C367" t="s">
        <v>13</v>
      </c>
      <c r="D367" t="s">
        <v>18</v>
      </c>
      <c r="E367" s="1">
        <v>1490</v>
      </c>
      <c r="F367" s="1">
        <v>2025</v>
      </c>
      <c r="G367" t="s">
        <v>11</v>
      </c>
      <c r="H367" s="2">
        <v>45889.792013888888</v>
      </c>
      <c r="I367" s="9">
        <f t="shared" si="49"/>
        <v>45894</v>
      </c>
      <c r="J367" s="2" t="str">
        <f t="shared" si="50"/>
        <v/>
      </c>
      <c r="L367" s="2" t="str">
        <f t="shared" si="51"/>
        <v/>
      </c>
      <c r="N367" s="10" t="str">
        <f t="shared" si="52"/>
        <v/>
      </c>
      <c r="O367" s="2">
        <f t="shared" si="53"/>
        <v>45894</v>
      </c>
      <c r="P367" s="2">
        <v>45890.693749999999</v>
      </c>
      <c r="Q367" s="2">
        <f t="shared" si="54"/>
        <v>45898</v>
      </c>
      <c r="R367" s="2">
        <v>45896.612071759257</v>
      </c>
      <c r="S367">
        <f t="shared" si="55"/>
        <v>0</v>
      </c>
      <c r="T367" s="2">
        <f t="shared" si="56"/>
        <v>45898</v>
      </c>
      <c r="U367" t="str">
        <f t="shared" si="57"/>
        <v>NO PRAZO</v>
      </c>
      <c r="Z367" s="5" t="s">
        <v>390</v>
      </c>
    </row>
    <row r="368" spans="1:26" hidden="1">
      <c r="A368" s="1">
        <v>20574</v>
      </c>
      <c r="B368" t="s">
        <v>24</v>
      </c>
      <c r="C368" t="s">
        <v>13</v>
      </c>
      <c r="D368" t="s">
        <v>18</v>
      </c>
      <c r="E368" s="1">
        <v>1486</v>
      </c>
      <c r="F368" s="1">
        <v>2025</v>
      </c>
      <c r="G368" t="s">
        <v>11</v>
      </c>
      <c r="H368" s="2">
        <v>45889.416967592595</v>
      </c>
      <c r="I368" s="9">
        <f t="shared" si="49"/>
        <v>45894</v>
      </c>
      <c r="J368" s="2" t="str">
        <f t="shared" si="50"/>
        <v/>
      </c>
      <c r="L368" s="2" t="str">
        <f t="shared" si="51"/>
        <v/>
      </c>
      <c r="N368" s="10" t="str">
        <f t="shared" si="52"/>
        <v/>
      </c>
      <c r="O368" s="2">
        <f t="shared" si="53"/>
        <v>45894</v>
      </c>
      <c r="P368" s="2">
        <v>45897.44971064815</v>
      </c>
      <c r="Q368" s="2">
        <f t="shared" si="54"/>
        <v>45898</v>
      </c>
      <c r="R368" s="2">
        <v>45897.450289351851</v>
      </c>
      <c r="S368">
        <f t="shared" si="55"/>
        <v>0</v>
      </c>
      <c r="T368" s="2">
        <f t="shared" si="56"/>
        <v>45898</v>
      </c>
      <c r="U368" t="str">
        <f t="shared" si="57"/>
        <v>NO PRAZO</v>
      </c>
      <c r="Z368" s="5" t="s">
        <v>391</v>
      </c>
    </row>
    <row r="369" spans="1:26" hidden="1">
      <c r="A369" s="1">
        <v>20573</v>
      </c>
      <c r="B369" t="s">
        <v>12</v>
      </c>
      <c r="C369" t="s">
        <v>13</v>
      </c>
      <c r="D369" t="s">
        <v>18</v>
      </c>
      <c r="E369" s="1">
        <v>1485</v>
      </c>
      <c r="F369" s="1">
        <v>2025</v>
      </c>
      <c r="G369" t="s">
        <v>11</v>
      </c>
      <c r="H369" s="2">
        <v>45888.791956018518</v>
      </c>
      <c r="I369" s="9">
        <f t="shared" si="49"/>
        <v>45891</v>
      </c>
      <c r="J369" s="2" t="str">
        <f t="shared" si="50"/>
        <v/>
      </c>
      <c r="L369" s="2" t="str">
        <f t="shared" si="51"/>
        <v/>
      </c>
      <c r="N369" s="10" t="str">
        <f t="shared" si="52"/>
        <v/>
      </c>
      <c r="O369" s="2">
        <f t="shared" si="53"/>
        <v>45891</v>
      </c>
      <c r="P369" s="2">
        <v>45894.407650462963</v>
      </c>
      <c r="Q369" s="2">
        <f t="shared" si="54"/>
        <v>45897</v>
      </c>
      <c r="R369" s="2">
        <v>45894.408078703702</v>
      </c>
      <c r="S369">
        <f t="shared" si="55"/>
        <v>0</v>
      </c>
      <c r="T369" s="2">
        <f t="shared" si="56"/>
        <v>45897</v>
      </c>
      <c r="U369" t="str">
        <f t="shared" si="57"/>
        <v>NO PRAZO</v>
      </c>
      <c r="Z369" s="5" t="s">
        <v>392</v>
      </c>
    </row>
    <row r="370" spans="1:26" hidden="1">
      <c r="A370" s="1">
        <v>20572</v>
      </c>
      <c r="B370" t="s">
        <v>23</v>
      </c>
      <c r="C370" t="s">
        <v>13</v>
      </c>
      <c r="D370" t="s">
        <v>16</v>
      </c>
      <c r="E370" s="1">
        <v>1484</v>
      </c>
      <c r="F370" s="1">
        <v>2025</v>
      </c>
      <c r="G370" t="s">
        <v>11</v>
      </c>
      <c r="H370" s="2">
        <v>45888.750300925924</v>
      </c>
      <c r="I370" s="9">
        <f t="shared" si="49"/>
        <v>45889</v>
      </c>
      <c r="J370" s="2" t="str">
        <f t="shared" si="50"/>
        <v/>
      </c>
      <c r="L370" s="2" t="str">
        <f t="shared" si="51"/>
        <v/>
      </c>
      <c r="N370" s="10" t="str">
        <f t="shared" si="52"/>
        <v/>
      </c>
      <c r="O370" s="2">
        <f t="shared" si="53"/>
        <v>45889</v>
      </c>
      <c r="P370" s="2">
        <v>45894.470810185187</v>
      </c>
      <c r="Q370" s="2">
        <f t="shared" si="54"/>
        <v>45895</v>
      </c>
      <c r="R370" s="2">
        <v>45894.47152777778</v>
      </c>
      <c r="S370">
        <f t="shared" si="55"/>
        <v>0</v>
      </c>
      <c r="T370" s="2">
        <f t="shared" si="56"/>
        <v>45895</v>
      </c>
      <c r="U370" t="str">
        <f t="shared" si="57"/>
        <v>NO PRAZO</v>
      </c>
      <c r="Z370" s="5" t="s">
        <v>393</v>
      </c>
    </row>
    <row r="371" spans="1:26" hidden="1">
      <c r="A371" s="1">
        <v>20571</v>
      </c>
      <c r="B371" t="s">
        <v>15</v>
      </c>
      <c r="C371" t="s">
        <v>13</v>
      </c>
      <c r="D371" t="s">
        <v>21</v>
      </c>
      <c r="E371" s="1">
        <v>1483</v>
      </c>
      <c r="F371" s="1">
        <v>2025</v>
      </c>
      <c r="G371" t="s">
        <v>11</v>
      </c>
      <c r="H371" s="2">
        <v>45888.749131944445</v>
      </c>
      <c r="I371" s="9">
        <f t="shared" si="49"/>
        <v>45891</v>
      </c>
      <c r="J371" s="2">
        <f t="shared" si="50"/>
        <v>45891</v>
      </c>
      <c r="K371" s="2">
        <v>45889.416979166665</v>
      </c>
      <c r="L371" s="2">
        <f t="shared" si="51"/>
        <v>45911</v>
      </c>
      <c r="M371" s="2">
        <v>45889.4294212963</v>
      </c>
      <c r="N371" s="10">
        <f t="shared" si="52"/>
        <v>0</v>
      </c>
      <c r="O371" s="2">
        <f t="shared" si="53"/>
        <v>45912</v>
      </c>
      <c r="P371" s="2">
        <v>45888.749606481484</v>
      </c>
      <c r="Q371" s="2">
        <f t="shared" si="54"/>
        <v>45939</v>
      </c>
      <c r="R371" s="2">
        <v>45890.733472222222</v>
      </c>
      <c r="S371">
        <f t="shared" si="55"/>
        <v>0</v>
      </c>
      <c r="T371" s="2">
        <f t="shared" si="56"/>
        <v>45939</v>
      </c>
      <c r="U371" t="str">
        <f t="shared" si="57"/>
        <v>NO PRAZO</v>
      </c>
      <c r="Z371" s="5" t="s">
        <v>394</v>
      </c>
    </row>
    <row r="372" spans="1:26" hidden="1">
      <c r="A372" s="1">
        <v>20563</v>
      </c>
      <c r="B372" t="s">
        <v>20</v>
      </c>
      <c r="C372" t="s">
        <v>13</v>
      </c>
      <c r="D372" t="s">
        <v>18</v>
      </c>
      <c r="E372" s="1">
        <v>1475</v>
      </c>
      <c r="F372" s="1">
        <v>2025</v>
      </c>
      <c r="G372" t="s">
        <v>11</v>
      </c>
      <c r="H372" s="2">
        <v>45888.583657407406</v>
      </c>
      <c r="I372" s="9">
        <f t="shared" si="49"/>
        <v>45891</v>
      </c>
      <c r="J372" s="2" t="str">
        <f t="shared" si="50"/>
        <v/>
      </c>
      <c r="L372" s="2" t="str">
        <f t="shared" si="51"/>
        <v/>
      </c>
      <c r="N372" s="10" t="str">
        <f t="shared" si="52"/>
        <v/>
      </c>
      <c r="O372" s="2">
        <f t="shared" si="53"/>
        <v>45891</v>
      </c>
      <c r="P372" s="2">
        <v>45889.408877314818</v>
      </c>
      <c r="Q372" s="2">
        <f t="shared" si="54"/>
        <v>45897</v>
      </c>
      <c r="R372" s="2">
        <v>45889.550636574073</v>
      </c>
      <c r="S372">
        <f t="shared" si="55"/>
        <v>0</v>
      </c>
      <c r="T372" s="2">
        <f t="shared" si="56"/>
        <v>45897</v>
      </c>
      <c r="U372" t="str">
        <f t="shared" si="57"/>
        <v>NO PRAZO</v>
      </c>
      <c r="Z372" s="5" t="s">
        <v>395</v>
      </c>
    </row>
    <row r="373" spans="1:26" hidden="1">
      <c r="A373" s="1">
        <v>20558</v>
      </c>
      <c r="B373" t="s">
        <v>22</v>
      </c>
      <c r="C373" t="s">
        <v>13</v>
      </c>
      <c r="D373" t="s">
        <v>18</v>
      </c>
      <c r="E373" s="1">
        <v>1470</v>
      </c>
      <c r="F373" s="1">
        <v>2025</v>
      </c>
      <c r="G373" t="s">
        <v>11</v>
      </c>
      <c r="H373" s="2">
        <v>45888.375277777777</v>
      </c>
      <c r="I373" s="9">
        <f t="shared" si="49"/>
        <v>45891</v>
      </c>
      <c r="J373" s="2" t="str">
        <f t="shared" si="50"/>
        <v/>
      </c>
      <c r="L373" s="2" t="str">
        <f t="shared" si="51"/>
        <v/>
      </c>
      <c r="N373" s="10" t="str">
        <f t="shared" si="52"/>
        <v/>
      </c>
      <c r="O373" s="2">
        <f t="shared" si="53"/>
        <v>45891</v>
      </c>
      <c r="P373" s="2">
        <v>45897.449293981481</v>
      </c>
      <c r="Q373" s="2">
        <f t="shared" si="54"/>
        <v>45897</v>
      </c>
      <c r="R373" s="2">
        <v>45897.449525462966</v>
      </c>
      <c r="S373">
        <f t="shared" si="55"/>
        <v>0</v>
      </c>
      <c r="T373" s="2">
        <f t="shared" si="56"/>
        <v>45897</v>
      </c>
      <c r="U373" t="str">
        <f t="shared" si="57"/>
        <v>NO PRAZO</v>
      </c>
      <c r="Z373" s="5" t="s">
        <v>396</v>
      </c>
    </row>
    <row r="374" spans="1:26" hidden="1">
      <c r="A374" s="1">
        <v>20555</v>
      </c>
      <c r="B374" t="s">
        <v>22</v>
      </c>
      <c r="C374" t="s">
        <v>13</v>
      </c>
      <c r="D374" t="s">
        <v>16</v>
      </c>
      <c r="E374" s="1">
        <v>1467</v>
      </c>
      <c r="F374" s="1">
        <v>2025</v>
      </c>
      <c r="G374" t="s">
        <v>11</v>
      </c>
      <c r="H374" s="2">
        <v>45888.333611111113</v>
      </c>
      <c r="I374" s="9">
        <f t="shared" si="49"/>
        <v>45889</v>
      </c>
      <c r="J374" s="2" t="str">
        <f t="shared" si="50"/>
        <v/>
      </c>
      <c r="L374" s="2" t="str">
        <f t="shared" si="51"/>
        <v/>
      </c>
      <c r="N374" s="10" t="str">
        <f t="shared" si="52"/>
        <v/>
      </c>
      <c r="O374" s="2">
        <f t="shared" si="53"/>
        <v>45889</v>
      </c>
      <c r="P374" s="2">
        <v>45894.440497685187</v>
      </c>
      <c r="Q374" s="2">
        <f t="shared" si="54"/>
        <v>45895</v>
      </c>
      <c r="R374" s="2">
        <v>45895.743506944447</v>
      </c>
      <c r="S374">
        <f t="shared" si="55"/>
        <v>0</v>
      </c>
      <c r="T374" s="2">
        <f t="shared" si="56"/>
        <v>45895</v>
      </c>
      <c r="U374" t="str">
        <f t="shared" si="57"/>
        <v>NO PRAZO</v>
      </c>
      <c r="Z374" s="5" t="s">
        <v>397</v>
      </c>
    </row>
    <row r="375" spans="1:26" hidden="1">
      <c r="A375" s="1">
        <v>20554</v>
      </c>
      <c r="B375" t="s">
        <v>15</v>
      </c>
      <c r="C375" t="s">
        <v>13</v>
      </c>
      <c r="D375" t="s">
        <v>10</v>
      </c>
      <c r="E375" s="1">
        <v>1466</v>
      </c>
      <c r="F375" s="1">
        <v>2025</v>
      </c>
      <c r="G375" t="s">
        <v>11</v>
      </c>
      <c r="H375" s="2">
        <v>45888.333611111113</v>
      </c>
      <c r="I375" s="9">
        <f t="shared" si="49"/>
        <v>45889</v>
      </c>
      <c r="J375" s="2" t="str">
        <f t="shared" si="50"/>
        <v/>
      </c>
      <c r="L375" s="2" t="str">
        <f t="shared" si="51"/>
        <v/>
      </c>
      <c r="N375" s="10" t="str">
        <f t="shared" si="52"/>
        <v/>
      </c>
      <c r="O375" s="2">
        <f t="shared" si="53"/>
        <v>45889</v>
      </c>
      <c r="P375" s="2">
        <v>45889.491342592592</v>
      </c>
      <c r="Q375" s="2">
        <f t="shared" si="54"/>
        <v>45890</v>
      </c>
      <c r="R375" s="2">
        <v>45890.732604166667</v>
      </c>
      <c r="S375">
        <f t="shared" si="55"/>
        <v>0</v>
      </c>
      <c r="T375" s="2">
        <f t="shared" si="56"/>
        <v>45890</v>
      </c>
      <c r="U375" t="str">
        <f t="shared" si="57"/>
        <v>NO PRAZO</v>
      </c>
      <c r="Z375" s="5" t="s">
        <v>398</v>
      </c>
    </row>
    <row r="376" spans="1:26" hidden="1">
      <c r="A376" s="1">
        <v>20550</v>
      </c>
      <c r="B376" t="s">
        <v>15</v>
      </c>
      <c r="C376" t="s">
        <v>13</v>
      </c>
      <c r="D376" t="s">
        <v>16</v>
      </c>
      <c r="E376" s="1">
        <v>1462</v>
      </c>
      <c r="F376" s="1">
        <v>2025</v>
      </c>
      <c r="G376" t="s">
        <v>11</v>
      </c>
      <c r="H376" s="2">
        <v>45887.473993055559</v>
      </c>
      <c r="I376" s="9">
        <f t="shared" si="49"/>
        <v>45888</v>
      </c>
      <c r="J376" s="2" t="str">
        <f t="shared" si="50"/>
        <v/>
      </c>
      <c r="L376" s="2" t="str">
        <f t="shared" si="51"/>
        <v/>
      </c>
      <c r="N376" s="10" t="str">
        <f t="shared" si="52"/>
        <v/>
      </c>
      <c r="O376" s="2">
        <f t="shared" si="53"/>
        <v>45888</v>
      </c>
      <c r="P376" s="2">
        <v>45888.651736111111</v>
      </c>
      <c r="Q376" s="2">
        <f t="shared" si="54"/>
        <v>45894</v>
      </c>
      <c r="R376" s="2">
        <v>45888.674722222226</v>
      </c>
      <c r="S376">
        <f t="shared" si="55"/>
        <v>0</v>
      </c>
      <c r="T376" s="2">
        <f t="shared" si="56"/>
        <v>45894</v>
      </c>
      <c r="U376" t="str">
        <f t="shared" si="57"/>
        <v>NO PRAZO</v>
      </c>
      <c r="Z376" s="7" t="s">
        <v>399</v>
      </c>
    </row>
    <row r="377" spans="1:26" hidden="1">
      <c r="A377" s="1">
        <v>20549</v>
      </c>
      <c r="B377" t="s">
        <v>12</v>
      </c>
      <c r="C377" t="s">
        <v>13</v>
      </c>
      <c r="D377" t="s">
        <v>16</v>
      </c>
      <c r="E377" s="1">
        <v>1461</v>
      </c>
      <c r="F377" s="1">
        <v>2025</v>
      </c>
      <c r="G377" t="s">
        <v>11</v>
      </c>
      <c r="H377" s="2">
        <v>45884.750416666669</v>
      </c>
      <c r="I377" s="9">
        <f t="shared" si="49"/>
        <v>45887</v>
      </c>
      <c r="J377" s="2" t="str">
        <f t="shared" si="50"/>
        <v/>
      </c>
      <c r="L377" s="2" t="str">
        <f t="shared" si="51"/>
        <v/>
      </c>
      <c r="N377" s="10" t="str">
        <f t="shared" si="52"/>
        <v/>
      </c>
      <c r="O377" s="2">
        <f t="shared" si="53"/>
        <v>45887</v>
      </c>
      <c r="P377" s="2">
        <v>45889.660891203705</v>
      </c>
      <c r="Q377" s="2">
        <f t="shared" si="54"/>
        <v>45891</v>
      </c>
      <c r="R377" s="2">
        <v>45890.700520833336</v>
      </c>
      <c r="S377">
        <f t="shared" si="55"/>
        <v>0</v>
      </c>
      <c r="T377" s="2">
        <f t="shared" si="56"/>
        <v>45891</v>
      </c>
      <c r="U377" t="str">
        <f t="shared" si="57"/>
        <v>NO PRAZO</v>
      </c>
      <c r="Z377" s="5" t="s">
        <v>400</v>
      </c>
    </row>
    <row r="378" spans="1:26" hidden="1">
      <c r="A378" s="1">
        <v>20548</v>
      </c>
      <c r="B378" t="s">
        <v>12</v>
      </c>
      <c r="C378" t="s">
        <v>13</v>
      </c>
      <c r="D378" t="s">
        <v>18</v>
      </c>
      <c r="E378" s="1">
        <v>1460</v>
      </c>
      <c r="F378" s="1">
        <v>2025</v>
      </c>
      <c r="G378" t="s">
        <v>11</v>
      </c>
      <c r="H378" s="2">
        <v>45884.667094907411</v>
      </c>
      <c r="I378" s="9">
        <f t="shared" si="49"/>
        <v>45889</v>
      </c>
      <c r="J378" s="2" t="str">
        <f t="shared" si="50"/>
        <v/>
      </c>
      <c r="L378" s="2" t="str">
        <f t="shared" si="51"/>
        <v/>
      </c>
      <c r="N378" s="10" t="str">
        <f t="shared" si="52"/>
        <v/>
      </c>
      <c r="O378" s="2">
        <f t="shared" si="53"/>
        <v>45889</v>
      </c>
      <c r="P378" s="2">
        <v>45890.665567129632</v>
      </c>
      <c r="Q378" s="2">
        <f t="shared" si="54"/>
        <v>45895</v>
      </c>
      <c r="R378" s="2">
        <v>45890.665810185186</v>
      </c>
      <c r="S378">
        <f t="shared" si="55"/>
        <v>0</v>
      </c>
      <c r="T378" s="2">
        <f t="shared" si="56"/>
        <v>45895</v>
      </c>
      <c r="U378" t="str">
        <f t="shared" si="57"/>
        <v>NO PRAZO</v>
      </c>
      <c r="Z378" s="5" t="s">
        <v>401</v>
      </c>
    </row>
    <row r="379" spans="1:26" hidden="1">
      <c r="A379" s="1">
        <v>20544</v>
      </c>
      <c r="B379" t="s">
        <v>19</v>
      </c>
      <c r="C379" t="s">
        <v>9</v>
      </c>
      <c r="D379" t="s">
        <v>14</v>
      </c>
      <c r="E379" s="1">
        <v>1456</v>
      </c>
      <c r="F379" s="1">
        <v>2025</v>
      </c>
      <c r="G379" t="s">
        <v>11</v>
      </c>
      <c r="H379" s="2">
        <v>45884.417071759257</v>
      </c>
      <c r="I379" s="9">
        <f t="shared" si="49"/>
        <v>45887</v>
      </c>
      <c r="J379" s="2" t="str">
        <f t="shared" si="50"/>
        <v/>
      </c>
      <c r="L379" s="2" t="str">
        <f t="shared" si="51"/>
        <v/>
      </c>
      <c r="N379" s="10" t="str">
        <f t="shared" si="52"/>
        <v/>
      </c>
      <c r="O379" s="2">
        <f t="shared" si="53"/>
        <v>45887</v>
      </c>
      <c r="P379" s="2">
        <v>45887.616620370369</v>
      </c>
      <c r="Q379" s="2">
        <f t="shared" si="54"/>
        <v>45888</v>
      </c>
      <c r="R379" s="2">
        <v>45887.6247337963</v>
      </c>
      <c r="S379">
        <f t="shared" si="55"/>
        <v>0</v>
      </c>
      <c r="T379" s="2">
        <f t="shared" si="56"/>
        <v>45888</v>
      </c>
      <c r="U379" t="str">
        <f t="shared" si="57"/>
        <v>NO PRAZO</v>
      </c>
      <c r="Z379" s="5" t="s">
        <v>402</v>
      </c>
    </row>
    <row r="380" spans="1:26" hidden="1">
      <c r="A380" s="1">
        <v>20543</v>
      </c>
      <c r="B380" t="s">
        <v>19</v>
      </c>
      <c r="C380" t="s">
        <v>13</v>
      </c>
      <c r="D380" t="s">
        <v>14</v>
      </c>
      <c r="E380" s="1">
        <v>1455</v>
      </c>
      <c r="F380" s="1">
        <v>2025</v>
      </c>
      <c r="G380" t="s">
        <v>11</v>
      </c>
      <c r="H380" s="2">
        <v>45884.417071759257</v>
      </c>
      <c r="I380" s="9">
        <f t="shared" si="49"/>
        <v>45887</v>
      </c>
      <c r="J380" s="2" t="str">
        <f t="shared" si="50"/>
        <v/>
      </c>
      <c r="L380" s="2" t="str">
        <f t="shared" si="51"/>
        <v/>
      </c>
      <c r="N380" s="10" t="str">
        <f t="shared" si="52"/>
        <v/>
      </c>
      <c r="O380" s="2">
        <f t="shared" si="53"/>
        <v>45887</v>
      </c>
      <c r="P380" s="2">
        <v>45887.616041666668</v>
      </c>
      <c r="Q380" s="2">
        <f t="shared" si="54"/>
        <v>45888</v>
      </c>
      <c r="R380" s="2">
        <v>45887.624780092592</v>
      </c>
      <c r="S380">
        <f t="shared" si="55"/>
        <v>0</v>
      </c>
      <c r="T380" s="2">
        <f t="shared" si="56"/>
        <v>45888</v>
      </c>
      <c r="U380" t="str">
        <f t="shared" si="57"/>
        <v>NO PRAZO</v>
      </c>
      <c r="Z380" s="5" t="s">
        <v>403</v>
      </c>
    </row>
    <row r="381" spans="1:26" hidden="1">
      <c r="A381" s="1">
        <v>20539</v>
      </c>
      <c r="B381" t="s">
        <v>8</v>
      </c>
      <c r="C381" t="s">
        <v>9</v>
      </c>
      <c r="D381" t="s">
        <v>10</v>
      </c>
      <c r="E381" s="1">
        <v>1451</v>
      </c>
      <c r="F381" s="1">
        <v>2025</v>
      </c>
      <c r="G381" t="s">
        <v>11</v>
      </c>
      <c r="H381" s="2">
        <v>45883.458738425928</v>
      </c>
      <c r="I381" s="9">
        <f t="shared" si="49"/>
        <v>45884</v>
      </c>
      <c r="J381" s="2" t="str">
        <f t="shared" si="50"/>
        <v/>
      </c>
      <c r="L381" s="2" t="str">
        <f t="shared" si="51"/>
        <v/>
      </c>
      <c r="N381" s="10" t="str">
        <f t="shared" si="52"/>
        <v/>
      </c>
      <c r="O381" s="2">
        <f t="shared" si="53"/>
        <v>45884</v>
      </c>
      <c r="P381" s="2">
        <v>45887.731249999997</v>
      </c>
      <c r="Q381" s="2">
        <f t="shared" si="54"/>
        <v>45887</v>
      </c>
      <c r="R381" s="2">
        <v>45887.782407407409</v>
      </c>
      <c r="S381">
        <f t="shared" si="55"/>
        <v>0</v>
      </c>
      <c r="T381" s="2">
        <f t="shared" si="56"/>
        <v>45887</v>
      </c>
      <c r="U381" t="str">
        <f t="shared" si="57"/>
        <v>NO PRAZO</v>
      </c>
      <c r="Z381" s="5" t="s">
        <v>404</v>
      </c>
    </row>
    <row r="382" spans="1:26" hidden="1">
      <c r="A382" s="1">
        <v>20520</v>
      </c>
      <c r="B382" t="s">
        <v>22</v>
      </c>
      <c r="C382" t="s">
        <v>9</v>
      </c>
      <c r="D382" t="s">
        <v>16</v>
      </c>
      <c r="E382" s="1">
        <v>1432</v>
      </c>
      <c r="F382" s="1">
        <v>2025</v>
      </c>
      <c r="G382" t="s">
        <v>11</v>
      </c>
      <c r="H382" s="2">
        <v>45882.500335648147</v>
      </c>
      <c r="I382" s="9">
        <f t="shared" si="49"/>
        <v>45883</v>
      </c>
      <c r="J382" s="2" t="str">
        <f t="shared" si="50"/>
        <v/>
      </c>
      <c r="L382" s="2" t="str">
        <f t="shared" si="51"/>
        <v/>
      </c>
      <c r="N382" s="10" t="str">
        <f t="shared" si="52"/>
        <v/>
      </c>
      <c r="O382" s="2">
        <f t="shared" si="53"/>
        <v>45883</v>
      </c>
      <c r="P382" s="2">
        <v>45889.669432870367</v>
      </c>
      <c r="Q382" s="2">
        <f t="shared" si="54"/>
        <v>45889</v>
      </c>
      <c r="R382" s="2">
        <v>45889.669560185182</v>
      </c>
      <c r="S382">
        <f t="shared" si="55"/>
        <v>0</v>
      </c>
      <c r="T382" s="2">
        <f t="shared" si="56"/>
        <v>45889</v>
      </c>
      <c r="U382" t="str">
        <f t="shared" si="57"/>
        <v>NO PRAZO</v>
      </c>
      <c r="Z382" s="5" t="s">
        <v>405</v>
      </c>
    </row>
    <row r="383" spans="1:26" hidden="1">
      <c r="A383" s="1">
        <v>20519</v>
      </c>
      <c r="B383" t="s">
        <v>22</v>
      </c>
      <c r="C383" t="s">
        <v>13</v>
      </c>
      <c r="D383" t="s">
        <v>16</v>
      </c>
      <c r="E383" s="1">
        <v>1431</v>
      </c>
      <c r="F383" s="1">
        <v>2025</v>
      </c>
      <c r="G383" t="s">
        <v>11</v>
      </c>
      <c r="H383" s="2">
        <v>45882.500335648147</v>
      </c>
      <c r="I383" s="9">
        <f t="shared" si="49"/>
        <v>45883</v>
      </c>
      <c r="J383" s="2" t="str">
        <f t="shared" si="50"/>
        <v/>
      </c>
      <c r="L383" s="2" t="str">
        <f t="shared" si="51"/>
        <v/>
      </c>
      <c r="N383" s="10" t="str">
        <f t="shared" si="52"/>
        <v/>
      </c>
      <c r="O383" s="2">
        <f t="shared" si="53"/>
        <v>45883</v>
      </c>
      <c r="P383" s="2">
        <v>45889.65996527778</v>
      </c>
      <c r="Q383" s="2">
        <f t="shared" si="54"/>
        <v>45889</v>
      </c>
      <c r="R383" s="2">
        <v>45889.668726851851</v>
      </c>
      <c r="S383">
        <f t="shared" si="55"/>
        <v>0</v>
      </c>
      <c r="T383" s="2">
        <f t="shared" si="56"/>
        <v>45889</v>
      </c>
      <c r="U383" t="str">
        <f t="shared" si="57"/>
        <v>NO PRAZO</v>
      </c>
      <c r="Z383" s="5" t="s">
        <v>406</v>
      </c>
    </row>
    <row r="384" spans="1:26" hidden="1">
      <c r="A384" s="1">
        <v>20511</v>
      </c>
      <c r="B384" t="s">
        <v>15</v>
      </c>
      <c r="C384" t="s">
        <v>13</v>
      </c>
      <c r="D384" t="s">
        <v>16</v>
      </c>
      <c r="E384" s="1">
        <v>1423</v>
      </c>
      <c r="F384" s="1">
        <v>2025</v>
      </c>
      <c r="G384" t="s">
        <v>11</v>
      </c>
      <c r="H384" s="2">
        <v>45882.417013888888</v>
      </c>
      <c r="I384" s="9">
        <f t="shared" ref="I384:I447" si="58">IF(OR(D384="ORIENTAÇÃO",D384="BUG IMPEDITIVO",D384="BUG NÃO IMPEDITIVO"),WORKDAY(H384,1,Z$2:Z$500),IF(OR(D384="MELHORIA PEQUENA",D384="MELHORIA MÉDIA"),WORKDAY(H384,3,Z$2:Z$500),""))</f>
        <v>45883</v>
      </c>
      <c r="J384" s="2" t="str">
        <f t="shared" si="50"/>
        <v/>
      </c>
      <c r="L384" s="2" t="str">
        <f t="shared" si="51"/>
        <v/>
      </c>
      <c r="N384" s="10" t="str">
        <f t="shared" si="52"/>
        <v/>
      </c>
      <c r="O384" s="2">
        <f t="shared" si="53"/>
        <v>45883</v>
      </c>
      <c r="P384" s="2">
        <v>45887.678217592591</v>
      </c>
      <c r="Q384" s="2">
        <f t="shared" si="54"/>
        <v>45889</v>
      </c>
      <c r="R384" s="2">
        <v>45887.782789351855</v>
      </c>
      <c r="S384">
        <f t="shared" si="55"/>
        <v>0</v>
      </c>
      <c r="T384" s="2">
        <f t="shared" si="56"/>
        <v>45889</v>
      </c>
      <c r="U384" t="str">
        <f t="shared" si="57"/>
        <v>NO PRAZO</v>
      </c>
      <c r="Z384" s="5" t="s">
        <v>407</v>
      </c>
    </row>
    <row r="385" spans="1:26" hidden="1">
      <c r="A385" s="1">
        <v>20507</v>
      </c>
      <c r="B385" t="s">
        <v>20</v>
      </c>
      <c r="C385" t="s">
        <v>13</v>
      </c>
      <c r="D385" t="s">
        <v>18</v>
      </c>
      <c r="E385" s="1">
        <v>1419</v>
      </c>
      <c r="F385" s="1">
        <v>2025</v>
      </c>
      <c r="G385" t="s">
        <v>11</v>
      </c>
      <c r="H385" s="2">
        <v>45881.667002314818</v>
      </c>
      <c r="I385" s="9">
        <f t="shared" si="58"/>
        <v>45884</v>
      </c>
      <c r="J385" s="2" t="str">
        <f t="shared" si="50"/>
        <v/>
      </c>
      <c r="L385" s="2" t="str">
        <f t="shared" si="51"/>
        <v/>
      </c>
      <c r="N385" s="10" t="str">
        <f t="shared" si="52"/>
        <v/>
      </c>
      <c r="O385" s="2">
        <f t="shared" si="53"/>
        <v>45884</v>
      </c>
      <c r="P385" s="2">
        <v>45882.543310185189</v>
      </c>
      <c r="Q385" s="2">
        <f t="shared" si="54"/>
        <v>45890</v>
      </c>
      <c r="R385" s="2">
        <v>45884.640775462962</v>
      </c>
      <c r="S385">
        <f t="shared" si="55"/>
        <v>0</v>
      </c>
      <c r="T385" s="2">
        <f t="shared" si="56"/>
        <v>45890</v>
      </c>
      <c r="U385" t="str">
        <f t="shared" si="57"/>
        <v>NO PRAZO</v>
      </c>
      <c r="Z385" s="5" t="s">
        <v>408</v>
      </c>
    </row>
    <row r="386" spans="1:26" hidden="1">
      <c r="A386" s="1">
        <v>20502</v>
      </c>
      <c r="B386" t="s">
        <v>17</v>
      </c>
      <c r="C386" t="s">
        <v>13</v>
      </c>
      <c r="D386" t="s">
        <v>18</v>
      </c>
      <c r="E386" s="1">
        <v>1414</v>
      </c>
      <c r="F386" s="1">
        <v>2025</v>
      </c>
      <c r="G386" t="s">
        <v>11</v>
      </c>
      <c r="H386" s="2">
        <v>45880.791944444441</v>
      </c>
      <c r="I386" s="9">
        <f t="shared" si="58"/>
        <v>45883</v>
      </c>
      <c r="J386" s="2" t="str">
        <f t="shared" si="50"/>
        <v/>
      </c>
      <c r="L386" s="2" t="str">
        <f t="shared" si="51"/>
        <v/>
      </c>
      <c r="N386" s="10" t="str">
        <f t="shared" si="52"/>
        <v/>
      </c>
      <c r="O386" s="2">
        <f t="shared" si="53"/>
        <v>45883</v>
      </c>
      <c r="P386" s="2">
        <v>45882.650266203702</v>
      </c>
      <c r="Q386" s="2">
        <f t="shared" si="54"/>
        <v>45889</v>
      </c>
      <c r="R386" s="2">
        <v>45882.704965277779</v>
      </c>
      <c r="S386">
        <f t="shared" si="55"/>
        <v>0</v>
      </c>
      <c r="T386" s="2">
        <f t="shared" si="56"/>
        <v>45889</v>
      </c>
      <c r="U386" t="str">
        <f t="shared" si="57"/>
        <v>NO PRAZO</v>
      </c>
      <c r="Z386" s="5" t="s">
        <v>409</v>
      </c>
    </row>
    <row r="387" spans="1:26" hidden="1">
      <c r="A387" s="1">
        <v>20492</v>
      </c>
      <c r="B387" t="s">
        <v>22</v>
      </c>
      <c r="C387" t="s">
        <v>13</v>
      </c>
      <c r="D387" t="s">
        <v>10</v>
      </c>
      <c r="E387" s="1">
        <v>1404</v>
      </c>
      <c r="F387" s="1">
        <v>2025</v>
      </c>
      <c r="G387" t="s">
        <v>11</v>
      </c>
      <c r="H387" s="2">
        <v>45880.500300925924</v>
      </c>
      <c r="I387" s="9">
        <f t="shared" si="58"/>
        <v>45881</v>
      </c>
      <c r="J387" s="2" t="str">
        <f t="shared" ref="J387:J450" si="59">IF(K387&lt;&gt;"",I387,"")</f>
        <v/>
      </c>
      <c r="L387" s="2" t="str">
        <f t="shared" ref="L387:L450" si="60">IF(J387="","",WORKDAY(J387,14,Z$2:Z$500))</f>
        <v/>
      </c>
      <c r="N387" s="10" t="str">
        <f t="shared" ref="N387:N450" si="61">IF(M387="","",MAX(0,INT(M387)-INT(L387)))</f>
        <v/>
      </c>
      <c r="O387" s="2">
        <f t="shared" ref="O387:O450" si="62">IF(L387="",I387,WORKDAY(L387,1,Z$2:Z$500))</f>
        <v>45881</v>
      </c>
      <c r="P387" s="2">
        <v>45882.572280092594</v>
      </c>
      <c r="Q387" s="2">
        <f t="shared" ref="Q387:Q450" si="63">IF(OR(D387="ORIENTAÇÃO",D387="BUG IMPEDITIVO"),WORKDAY(O387,1,Z$2:Z$500),IF(OR(D387="MELHORIA PEQUENA",D387="BUG NÃO IMPEDITIVO"),WORKDAY(O387,4,Z$2:Z$500),IF(D387="MELHORIA MÉDIA",WORKDAY(O387,19,Z$2:Z$500),"")))</f>
        <v>45882</v>
      </c>
      <c r="R387" s="2">
        <v>45882.617812500001</v>
      </c>
      <c r="S387">
        <f t="shared" ref="S387:S450" si="64">MAX(0,INT(R387)-INT(Q387))</f>
        <v>0</v>
      </c>
      <c r="T387" s="2">
        <f t="shared" ref="T387:T450" si="65">IF(D387="MELHORIA MÉDIA",IF(K387&lt;&gt;"",WORKDAY(I387,34,$Z$2:$Z$1000),WORKDAY(I387,19,$Z$2:$Z$1000)),IF(OR(D387="MELHORIA PEQUENA",D387="BUG NÃO IMPEDITIVO"),WORKDAY(I387,4,$Z$2:$Z$1000),IF(OR(D387="ORIENTAÇÃO",D387="BUG IMPEDITIVO"),WORKDAY(I387,1,$Z$2:$Z$1000),"")))</f>
        <v>45882</v>
      </c>
      <c r="U387" t="str">
        <f t="shared" ref="U387:U450" si="66">IF(INT(R387)&lt;=INT(T387),"NO PRAZO","ATRASO")</f>
        <v>NO PRAZO</v>
      </c>
      <c r="Z387" s="5" t="s">
        <v>410</v>
      </c>
    </row>
    <row r="388" spans="1:26" hidden="1">
      <c r="A388" s="1">
        <v>20491</v>
      </c>
      <c r="B388" t="s">
        <v>22</v>
      </c>
      <c r="C388" t="s">
        <v>13</v>
      </c>
      <c r="D388" t="s">
        <v>10</v>
      </c>
      <c r="E388" s="1">
        <v>1403</v>
      </c>
      <c r="F388" s="1">
        <v>2025</v>
      </c>
      <c r="G388" t="s">
        <v>11</v>
      </c>
      <c r="H388" s="2">
        <v>45880.500300925924</v>
      </c>
      <c r="I388" s="9">
        <f t="shared" si="58"/>
        <v>45881</v>
      </c>
      <c r="J388" s="2" t="str">
        <f t="shared" si="59"/>
        <v/>
      </c>
      <c r="L388" s="2" t="str">
        <f t="shared" si="60"/>
        <v/>
      </c>
      <c r="N388" s="10" t="str">
        <f t="shared" si="61"/>
        <v/>
      </c>
      <c r="O388" s="2">
        <f t="shared" si="62"/>
        <v>45881</v>
      </c>
      <c r="P388" s="2">
        <v>45882.565763888888</v>
      </c>
      <c r="Q388" s="2">
        <f t="shared" si="63"/>
        <v>45882</v>
      </c>
      <c r="R388" s="2">
        <v>45882.617766203701</v>
      </c>
      <c r="S388">
        <f t="shared" si="64"/>
        <v>0</v>
      </c>
      <c r="T388" s="2">
        <f t="shared" si="65"/>
        <v>45882</v>
      </c>
      <c r="U388" t="str">
        <f t="shared" si="66"/>
        <v>NO PRAZO</v>
      </c>
      <c r="Z388" s="5" t="s">
        <v>411</v>
      </c>
    </row>
    <row r="389" spans="1:26" hidden="1">
      <c r="A389" s="1">
        <v>20480</v>
      </c>
      <c r="B389" t="s">
        <v>8</v>
      </c>
      <c r="C389" t="s">
        <v>9</v>
      </c>
      <c r="D389" t="s">
        <v>10</v>
      </c>
      <c r="E389" s="1">
        <v>1392</v>
      </c>
      <c r="F389" s="1">
        <v>2025</v>
      </c>
      <c r="G389" t="s">
        <v>11</v>
      </c>
      <c r="H389" s="2">
        <v>45876.70921296296</v>
      </c>
      <c r="I389" s="9">
        <f t="shared" si="58"/>
        <v>45877</v>
      </c>
      <c r="J389" s="2" t="str">
        <f t="shared" si="59"/>
        <v/>
      </c>
      <c r="L389" s="2" t="str">
        <f t="shared" si="60"/>
        <v/>
      </c>
      <c r="N389" s="10" t="str">
        <f t="shared" si="61"/>
        <v/>
      </c>
      <c r="O389" s="2">
        <f t="shared" si="62"/>
        <v>45877</v>
      </c>
      <c r="P389" s="2">
        <v>45880.378483796296</v>
      </c>
      <c r="Q389" s="2">
        <f t="shared" si="63"/>
        <v>45880</v>
      </c>
      <c r="R389" s="2">
        <v>45880.667905092596</v>
      </c>
      <c r="S389">
        <f t="shared" si="64"/>
        <v>0</v>
      </c>
      <c r="T389" s="2">
        <f t="shared" si="65"/>
        <v>45880</v>
      </c>
      <c r="U389" t="str">
        <f t="shared" si="66"/>
        <v>NO PRAZO</v>
      </c>
      <c r="Z389" s="5" t="s">
        <v>412</v>
      </c>
    </row>
    <row r="390" spans="1:26" hidden="1">
      <c r="A390" s="1">
        <v>20472</v>
      </c>
      <c r="B390" t="s">
        <v>20</v>
      </c>
      <c r="C390" t="s">
        <v>13</v>
      </c>
      <c r="D390" t="s">
        <v>10</v>
      </c>
      <c r="E390" s="1">
        <v>1384</v>
      </c>
      <c r="F390" s="1">
        <v>2025</v>
      </c>
      <c r="G390" t="s">
        <v>11</v>
      </c>
      <c r="H390" s="2">
        <v>45875.66747685185</v>
      </c>
      <c r="I390" s="9">
        <f t="shared" si="58"/>
        <v>45876</v>
      </c>
      <c r="J390" s="2" t="str">
        <f t="shared" si="59"/>
        <v/>
      </c>
      <c r="L390" s="2" t="str">
        <f t="shared" si="60"/>
        <v/>
      </c>
      <c r="N390" s="10" t="str">
        <f t="shared" si="61"/>
        <v/>
      </c>
      <c r="O390" s="2">
        <f t="shared" si="62"/>
        <v>45876</v>
      </c>
      <c r="P390" s="2">
        <v>45877.566712962966</v>
      </c>
      <c r="Q390" s="2">
        <f t="shared" si="63"/>
        <v>45877</v>
      </c>
      <c r="R390" s="2">
        <v>45877.720520833333</v>
      </c>
      <c r="S390">
        <f t="shared" si="64"/>
        <v>0</v>
      </c>
      <c r="T390" s="2">
        <f t="shared" si="65"/>
        <v>45877</v>
      </c>
      <c r="U390" t="str">
        <f t="shared" si="66"/>
        <v>NO PRAZO</v>
      </c>
      <c r="Z390" s="5" t="s">
        <v>413</v>
      </c>
    </row>
    <row r="391" spans="1:26" hidden="1">
      <c r="A391" s="1">
        <v>20471</v>
      </c>
      <c r="B391" t="s">
        <v>20</v>
      </c>
      <c r="C391" t="s">
        <v>13</v>
      </c>
      <c r="D391" t="s">
        <v>21</v>
      </c>
      <c r="E391" s="1">
        <v>1383</v>
      </c>
      <c r="F391" s="1">
        <v>2025</v>
      </c>
      <c r="G391" t="s">
        <v>11</v>
      </c>
      <c r="H391" s="2">
        <v>45875.66747685185</v>
      </c>
      <c r="I391" s="9">
        <f t="shared" si="58"/>
        <v>45880</v>
      </c>
      <c r="J391" s="2" t="str">
        <f t="shared" si="59"/>
        <v/>
      </c>
      <c r="L391" s="2" t="str">
        <f t="shared" si="60"/>
        <v/>
      </c>
      <c r="N391" s="10" t="str">
        <f t="shared" si="61"/>
        <v/>
      </c>
      <c r="O391" s="2">
        <f t="shared" si="62"/>
        <v>45880</v>
      </c>
      <c r="P391" s="2">
        <v>45895.407916666663</v>
      </c>
      <c r="Q391" s="2">
        <f t="shared" si="63"/>
        <v>45905</v>
      </c>
      <c r="R391" s="2">
        <v>45895.408402777779</v>
      </c>
      <c r="S391">
        <f t="shared" si="64"/>
        <v>0</v>
      </c>
      <c r="T391" s="2">
        <f t="shared" si="65"/>
        <v>45905</v>
      </c>
      <c r="U391" t="str">
        <f t="shared" si="66"/>
        <v>NO PRAZO</v>
      </c>
      <c r="Z391" s="5" t="s">
        <v>414</v>
      </c>
    </row>
    <row r="392" spans="1:26" hidden="1">
      <c r="A392" s="1">
        <v>20470</v>
      </c>
      <c r="B392" t="s">
        <v>20</v>
      </c>
      <c r="C392" t="s">
        <v>13</v>
      </c>
      <c r="D392" t="s">
        <v>18</v>
      </c>
      <c r="E392" s="1">
        <v>1382</v>
      </c>
      <c r="F392" s="1">
        <v>2025</v>
      </c>
      <c r="G392" t="s">
        <v>11</v>
      </c>
      <c r="H392" s="2">
        <v>45875.500833333332</v>
      </c>
      <c r="I392" s="9">
        <f t="shared" si="58"/>
        <v>45880</v>
      </c>
      <c r="J392" s="2" t="str">
        <f t="shared" si="59"/>
        <v/>
      </c>
      <c r="L392" s="2" t="str">
        <f t="shared" si="60"/>
        <v/>
      </c>
      <c r="N392" s="10" t="str">
        <f t="shared" si="61"/>
        <v/>
      </c>
      <c r="O392" s="2">
        <f t="shared" si="62"/>
        <v>45880</v>
      </c>
      <c r="P392" s="2">
        <v>45877.71979166667</v>
      </c>
      <c r="Q392" s="2">
        <f t="shared" si="63"/>
        <v>45884</v>
      </c>
      <c r="R392" s="2">
        <v>45881.697615740741</v>
      </c>
      <c r="S392">
        <f t="shared" si="64"/>
        <v>0</v>
      </c>
      <c r="T392" s="2">
        <f t="shared" si="65"/>
        <v>45884</v>
      </c>
      <c r="U392" t="str">
        <f t="shared" si="66"/>
        <v>NO PRAZO</v>
      </c>
      <c r="Z392" s="5" t="s">
        <v>415</v>
      </c>
    </row>
    <row r="393" spans="1:26" hidden="1">
      <c r="A393" s="1">
        <v>20464</v>
      </c>
      <c r="B393" t="s">
        <v>20</v>
      </c>
      <c r="C393" t="s">
        <v>13</v>
      </c>
      <c r="D393" t="s">
        <v>18</v>
      </c>
      <c r="E393" s="1">
        <v>1376</v>
      </c>
      <c r="F393" s="1">
        <v>2025</v>
      </c>
      <c r="G393" t="s">
        <v>11</v>
      </c>
      <c r="H393" s="2">
        <v>45874.500763888886</v>
      </c>
      <c r="I393" s="9">
        <f t="shared" si="58"/>
        <v>45877</v>
      </c>
      <c r="J393" s="2" t="str">
        <f t="shared" si="59"/>
        <v/>
      </c>
      <c r="L393" s="2" t="str">
        <f t="shared" si="60"/>
        <v/>
      </c>
      <c r="N393" s="10" t="str">
        <f t="shared" si="61"/>
        <v/>
      </c>
      <c r="O393" s="2">
        <f t="shared" si="62"/>
        <v>45877</v>
      </c>
      <c r="P393" s="2">
        <v>45881.710439814815</v>
      </c>
      <c r="Q393" s="2">
        <f t="shared" si="63"/>
        <v>45883</v>
      </c>
      <c r="R393" s="2">
        <v>45881.711064814815</v>
      </c>
      <c r="S393">
        <f t="shared" si="64"/>
        <v>0</v>
      </c>
      <c r="T393" s="2">
        <f t="shared" si="65"/>
        <v>45883</v>
      </c>
      <c r="U393" t="str">
        <f t="shared" si="66"/>
        <v>NO PRAZO</v>
      </c>
      <c r="Z393" s="5" t="s">
        <v>416</v>
      </c>
    </row>
    <row r="394" spans="1:26" hidden="1">
      <c r="A394" s="1">
        <v>20463</v>
      </c>
      <c r="B394" t="s">
        <v>15</v>
      </c>
      <c r="C394" t="s">
        <v>13</v>
      </c>
      <c r="D394" t="s">
        <v>18</v>
      </c>
      <c r="E394" s="1">
        <v>1375</v>
      </c>
      <c r="F394" s="1">
        <v>2025</v>
      </c>
      <c r="G394" t="s">
        <v>11</v>
      </c>
      <c r="H394" s="2">
        <v>45874.495011574072</v>
      </c>
      <c r="I394" s="9">
        <f t="shared" si="58"/>
        <v>45877</v>
      </c>
      <c r="J394" s="2" t="str">
        <f t="shared" si="59"/>
        <v/>
      </c>
      <c r="L394" s="2" t="str">
        <f t="shared" si="60"/>
        <v/>
      </c>
      <c r="N394" s="10" t="str">
        <f t="shared" si="61"/>
        <v/>
      </c>
      <c r="O394" s="2">
        <f t="shared" si="62"/>
        <v>45877</v>
      </c>
      <c r="P394" s="2">
        <v>45874.579143518517</v>
      </c>
      <c r="Q394" s="2">
        <f t="shared" si="63"/>
        <v>45883</v>
      </c>
      <c r="R394" s="2">
        <v>45880.629131944443</v>
      </c>
      <c r="S394">
        <f t="shared" si="64"/>
        <v>0</v>
      </c>
      <c r="T394" s="2">
        <f t="shared" si="65"/>
        <v>45883</v>
      </c>
      <c r="U394" t="str">
        <f t="shared" si="66"/>
        <v>NO PRAZO</v>
      </c>
      <c r="Z394" s="5" t="s">
        <v>417</v>
      </c>
    </row>
    <row r="395" spans="1:26" hidden="1">
      <c r="A395" s="1">
        <v>20457</v>
      </c>
      <c r="B395" t="s">
        <v>20</v>
      </c>
      <c r="C395" t="s">
        <v>13</v>
      </c>
      <c r="D395" t="s">
        <v>16</v>
      </c>
      <c r="E395" s="1">
        <v>1369</v>
      </c>
      <c r="F395" s="1">
        <v>2025</v>
      </c>
      <c r="G395" t="s">
        <v>11</v>
      </c>
      <c r="H395" s="2">
        <v>45873.667442129627</v>
      </c>
      <c r="I395" s="9">
        <f t="shared" si="58"/>
        <v>45874</v>
      </c>
      <c r="J395" s="2" t="str">
        <f t="shared" si="59"/>
        <v/>
      </c>
      <c r="L395" s="2" t="str">
        <f t="shared" si="60"/>
        <v/>
      </c>
      <c r="N395" s="10" t="str">
        <f t="shared" si="61"/>
        <v/>
      </c>
      <c r="O395" s="2">
        <f t="shared" si="62"/>
        <v>45874</v>
      </c>
      <c r="P395" s="2">
        <v>45880.710763888892</v>
      </c>
      <c r="Q395" s="2">
        <f t="shared" si="63"/>
        <v>45880</v>
      </c>
      <c r="R395" s="2">
        <v>45880.731979166667</v>
      </c>
      <c r="S395">
        <f t="shared" si="64"/>
        <v>0</v>
      </c>
      <c r="T395" s="2">
        <f t="shared" si="65"/>
        <v>45880</v>
      </c>
      <c r="U395" t="str">
        <f t="shared" si="66"/>
        <v>NO PRAZO</v>
      </c>
      <c r="Z395" s="5" t="s">
        <v>418</v>
      </c>
    </row>
    <row r="396" spans="1:26" hidden="1">
      <c r="A396" s="1">
        <v>20454</v>
      </c>
      <c r="B396" t="s">
        <v>15</v>
      </c>
      <c r="C396" t="s">
        <v>13</v>
      </c>
      <c r="D396" t="s">
        <v>10</v>
      </c>
      <c r="E396" s="1">
        <v>1366</v>
      </c>
      <c r="F396" s="1">
        <v>2025</v>
      </c>
      <c r="G396" t="s">
        <v>11</v>
      </c>
      <c r="H396" s="2">
        <v>45873.375763888886</v>
      </c>
      <c r="I396" s="9">
        <f t="shared" si="58"/>
        <v>45874</v>
      </c>
      <c r="J396" s="2" t="str">
        <f t="shared" si="59"/>
        <v/>
      </c>
      <c r="L396" s="2" t="str">
        <f t="shared" si="60"/>
        <v/>
      </c>
      <c r="N396" s="10" t="str">
        <f t="shared" si="61"/>
        <v/>
      </c>
      <c r="O396" s="2">
        <f t="shared" si="62"/>
        <v>45874</v>
      </c>
      <c r="P396" s="2">
        <v>45873.413460648146</v>
      </c>
      <c r="Q396" s="2">
        <f t="shared" si="63"/>
        <v>45875</v>
      </c>
      <c r="R396" s="2">
        <v>45873.421875</v>
      </c>
      <c r="S396">
        <f t="shared" si="64"/>
        <v>0</v>
      </c>
      <c r="T396" s="2">
        <f t="shared" si="65"/>
        <v>45875</v>
      </c>
      <c r="U396" t="str">
        <f t="shared" si="66"/>
        <v>NO PRAZO</v>
      </c>
      <c r="Z396" s="5" t="s">
        <v>419</v>
      </c>
    </row>
    <row r="397" spans="1:26" hidden="1">
      <c r="A397" s="1">
        <v>20445</v>
      </c>
      <c r="B397" t="s">
        <v>15</v>
      </c>
      <c r="C397" t="s">
        <v>13</v>
      </c>
      <c r="D397" t="s">
        <v>10</v>
      </c>
      <c r="E397" s="1">
        <v>1357</v>
      </c>
      <c r="F397" s="1">
        <v>2025</v>
      </c>
      <c r="G397" t="s">
        <v>11</v>
      </c>
      <c r="H397" s="2">
        <v>45870.417326388888</v>
      </c>
      <c r="I397" s="9">
        <f t="shared" si="58"/>
        <v>45873</v>
      </c>
      <c r="J397" s="2" t="str">
        <f t="shared" si="59"/>
        <v/>
      </c>
      <c r="L397" s="2" t="str">
        <f t="shared" si="60"/>
        <v/>
      </c>
      <c r="N397" s="10" t="str">
        <f t="shared" si="61"/>
        <v/>
      </c>
      <c r="O397" s="2">
        <f t="shared" si="62"/>
        <v>45873</v>
      </c>
      <c r="P397" s="2">
        <v>45870.59479166667</v>
      </c>
      <c r="Q397" s="2">
        <f t="shared" si="63"/>
        <v>45874</v>
      </c>
      <c r="R397" s="2">
        <v>45870.746053240742</v>
      </c>
      <c r="S397">
        <f t="shared" si="64"/>
        <v>0</v>
      </c>
      <c r="T397" s="2">
        <f t="shared" si="65"/>
        <v>45874</v>
      </c>
      <c r="U397" t="str">
        <f t="shared" si="66"/>
        <v>NO PRAZO</v>
      </c>
      <c r="Z397" s="5" t="s">
        <v>420</v>
      </c>
    </row>
    <row r="398" spans="1:26" hidden="1">
      <c r="A398" s="1">
        <v>20439</v>
      </c>
      <c r="B398" t="s">
        <v>20</v>
      </c>
      <c r="C398" t="s">
        <v>13</v>
      </c>
      <c r="D398" t="s">
        <v>18</v>
      </c>
      <c r="E398" s="1">
        <v>1351</v>
      </c>
      <c r="F398" s="1">
        <v>2025</v>
      </c>
      <c r="G398" t="s">
        <v>11</v>
      </c>
      <c r="H398" s="2">
        <v>45869.500636574077</v>
      </c>
      <c r="I398" s="9">
        <f t="shared" si="58"/>
        <v>45874</v>
      </c>
      <c r="J398" s="2" t="str">
        <f t="shared" si="59"/>
        <v/>
      </c>
      <c r="L398" s="2" t="str">
        <f t="shared" si="60"/>
        <v/>
      </c>
      <c r="N398" s="10" t="str">
        <f t="shared" si="61"/>
        <v/>
      </c>
      <c r="O398" s="2">
        <f t="shared" si="62"/>
        <v>45874</v>
      </c>
      <c r="P398" s="2">
        <v>45870.526273148149</v>
      </c>
      <c r="Q398" s="2">
        <f t="shared" si="63"/>
        <v>45880</v>
      </c>
      <c r="R398" s="2">
        <v>45876.691747685189</v>
      </c>
      <c r="S398">
        <f t="shared" si="64"/>
        <v>0</v>
      </c>
      <c r="T398" s="2">
        <f t="shared" si="65"/>
        <v>45880</v>
      </c>
      <c r="U398" t="str">
        <f t="shared" si="66"/>
        <v>NO PRAZO</v>
      </c>
      <c r="Z398" s="5" t="s">
        <v>421</v>
      </c>
    </row>
    <row r="399" spans="1:26" hidden="1">
      <c r="A399" s="1">
        <v>20436</v>
      </c>
      <c r="B399" t="s">
        <v>20</v>
      </c>
      <c r="C399" t="s">
        <v>13</v>
      </c>
      <c r="D399" t="s">
        <v>14</v>
      </c>
      <c r="E399" s="1">
        <v>1348</v>
      </c>
      <c r="F399" s="1">
        <v>2025</v>
      </c>
      <c r="G399" t="s">
        <v>11</v>
      </c>
      <c r="H399" s="2">
        <v>45869.458935185183</v>
      </c>
      <c r="I399" s="9">
        <f t="shared" si="58"/>
        <v>45870</v>
      </c>
      <c r="J399" s="2" t="str">
        <f t="shared" si="59"/>
        <v/>
      </c>
      <c r="L399" s="2" t="str">
        <f t="shared" si="60"/>
        <v/>
      </c>
      <c r="N399" s="10" t="str">
        <f t="shared" si="61"/>
        <v/>
      </c>
      <c r="O399" s="2">
        <f t="shared" si="62"/>
        <v>45870</v>
      </c>
      <c r="P399" s="2">
        <v>45873.724849537037</v>
      </c>
      <c r="Q399" s="2">
        <f t="shared" si="63"/>
        <v>45873</v>
      </c>
      <c r="R399" s="2">
        <v>45873.759016203701</v>
      </c>
      <c r="S399">
        <f t="shared" si="64"/>
        <v>0</v>
      </c>
      <c r="T399" s="2">
        <f t="shared" si="65"/>
        <v>45873</v>
      </c>
      <c r="U399" t="str">
        <f t="shared" si="66"/>
        <v>NO PRAZO</v>
      </c>
      <c r="Z399" s="5" t="s">
        <v>422</v>
      </c>
    </row>
    <row r="400" spans="1:26" hidden="1">
      <c r="A400" s="1">
        <v>20433</v>
      </c>
      <c r="B400" t="s">
        <v>22</v>
      </c>
      <c r="C400" t="s">
        <v>13</v>
      </c>
      <c r="D400" t="s">
        <v>10</v>
      </c>
      <c r="E400" s="1">
        <v>1345</v>
      </c>
      <c r="F400" s="1">
        <v>2025</v>
      </c>
      <c r="G400" t="s">
        <v>11</v>
      </c>
      <c r="H400" s="2">
        <v>45869.417303240742</v>
      </c>
      <c r="I400" s="9">
        <f t="shared" si="58"/>
        <v>45870</v>
      </c>
      <c r="J400" s="2" t="str">
        <f t="shared" si="59"/>
        <v/>
      </c>
      <c r="L400" s="2" t="str">
        <f t="shared" si="60"/>
        <v/>
      </c>
      <c r="N400" s="10" t="str">
        <f t="shared" si="61"/>
        <v/>
      </c>
      <c r="O400" s="2">
        <f t="shared" si="62"/>
        <v>45870</v>
      </c>
      <c r="P400" s="2">
        <v>45870.589398148149</v>
      </c>
      <c r="Q400" s="2">
        <f t="shared" si="63"/>
        <v>45873</v>
      </c>
      <c r="R400" s="2">
        <v>45870.746886574074</v>
      </c>
      <c r="S400">
        <f t="shared" si="64"/>
        <v>0</v>
      </c>
      <c r="T400" s="2">
        <f t="shared" si="65"/>
        <v>45873</v>
      </c>
      <c r="U400" t="str">
        <f t="shared" si="66"/>
        <v>NO PRAZO</v>
      </c>
      <c r="Z400" s="5" t="s">
        <v>423</v>
      </c>
    </row>
    <row r="401" spans="1:26" hidden="1">
      <c r="A401" s="1">
        <v>20430</v>
      </c>
      <c r="B401" t="s">
        <v>20</v>
      </c>
      <c r="C401" t="s">
        <v>13</v>
      </c>
      <c r="D401" t="s">
        <v>18</v>
      </c>
      <c r="E401" s="1">
        <v>1342</v>
      </c>
      <c r="F401" s="1">
        <v>2025</v>
      </c>
      <c r="G401" t="s">
        <v>11</v>
      </c>
      <c r="H401" s="2">
        <v>45869.391631944447</v>
      </c>
      <c r="I401" s="9">
        <f t="shared" si="58"/>
        <v>45874</v>
      </c>
      <c r="J401" s="2" t="str">
        <f t="shared" si="59"/>
        <v/>
      </c>
      <c r="L401" s="2" t="str">
        <f t="shared" si="60"/>
        <v/>
      </c>
      <c r="N401" s="10" t="str">
        <f t="shared" si="61"/>
        <v/>
      </c>
      <c r="O401" s="2">
        <f t="shared" si="62"/>
        <v>45874</v>
      </c>
      <c r="P401" s="2">
        <v>45875.470023148147</v>
      </c>
      <c r="Q401" s="2">
        <f t="shared" si="63"/>
        <v>45880</v>
      </c>
      <c r="R401" s="2">
        <v>45875.471574074072</v>
      </c>
      <c r="S401">
        <f t="shared" si="64"/>
        <v>0</v>
      </c>
      <c r="T401" s="2">
        <f t="shared" si="65"/>
        <v>45880</v>
      </c>
      <c r="U401" t="str">
        <f t="shared" si="66"/>
        <v>NO PRAZO</v>
      </c>
      <c r="Z401" s="5" t="s">
        <v>424</v>
      </c>
    </row>
    <row r="402" spans="1:26" hidden="1">
      <c r="A402" s="1">
        <v>20429</v>
      </c>
      <c r="B402" t="s">
        <v>15</v>
      </c>
      <c r="C402" t="s">
        <v>9</v>
      </c>
      <c r="D402" t="s">
        <v>10</v>
      </c>
      <c r="E402" s="1">
        <v>1341</v>
      </c>
      <c r="F402" s="1">
        <v>2025</v>
      </c>
      <c r="G402" t="s">
        <v>11</v>
      </c>
      <c r="H402" s="2">
        <v>45869.375625000001</v>
      </c>
      <c r="I402" s="9">
        <f t="shared" si="58"/>
        <v>45870</v>
      </c>
      <c r="J402" s="2" t="str">
        <f t="shared" si="59"/>
        <v/>
      </c>
      <c r="L402" s="2" t="str">
        <f t="shared" si="60"/>
        <v/>
      </c>
      <c r="N402" s="10" t="str">
        <f t="shared" si="61"/>
        <v/>
      </c>
      <c r="O402" s="2">
        <f t="shared" si="62"/>
        <v>45870</v>
      </c>
      <c r="P402" s="2">
        <v>45870.577222222222</v>
      </c>
      <c r="Q402" s="2">
        <f t="shared" si="63"/>
        <v>45873</v>
      </c>
      <c r="R402" s="2">
        <v>45870.603668981479</v>
      </c>
      <c r="S402">
        <f t="shared" si="64"/>
        <v>0</v>
      </c>
      <c r="T402" s="2">
        <f t="shared" si="65"/>
        <v>45873</v>
      </c>
      <c r="U402" t="str">
        <f t="shared" si="66"/>
        <v>NO PRAZO</v>
      </c>
      <c r="Z402" s="5" t="s">
        <v>425</v>
      </c>
    </row>
    <row r="403" spans="1:26" hidden="1">
      <c r="A403" s="1">
        <v>20425</v>
      </c>
      <c r="B403" t="s">
        <v>15</v>
      </c>
      <c r="C403" t="s">
        <v>9</v>
      </c>
      <c r="D403" t="s">
        <v>10</v>
      </c>
      <c r="E403" s="1">
        <v>1337</v>
      </c>
      <c r="F403" s="1">
        <v>2025</v>
      </c>
      <c r="G403" t="s">
        <v>11</v>
      </c>
      <c r="H403" s="2">
        <v>45868.667280092595</v>
      </c>
      <c r="I403" s="9">
        <f t="shared" si="58"/>
        <v>45869</v>
      </c>
      <c r="J403" s="2" t="str">
        <f t="shared" si="59"/>
        <v/>
      </c>
      <c r="L403" s="2" t="str">
        <f t="shared" si="60"/>
        <v/>
      </c>
      <c r="N403" s="10" t="str">
        <f t="shared" si="61"/>
        <v/>
      </c>
      <c r="O403" s="2">
        <f t="shared" si="62"/>
        <v>45869</v>
      </c>
      <c r="P403" s="2">
        <v>45869.619988425926</v>
      </c>
      <c r="Q403" s="2">
        <f t="shared" si="63"/>
        <v>45870</v>
      </c>
      <c r="R403" s="2">
        <v>45869.727708333332</v>
      </c>
      <c r="S403">
        <f t="shared" si="64"/>
        <v>0</v>
      </c>
      <c r="T403" s="2">
        <f t="shared" si="65"/>
        <v>45870</v>
      </c>
      <c r="U403" t="str">
        <f t="shared" si="66"/>
        <v>NO PRAZO</v>
      </c>
      <c r="Z403" s="5" t="s">
        <v>426</v>
      </c>
    </row>
    <row r="404" spans="1:26" hidden="1">
      <c r="A404" s="1">
        <v>20422</v>
      </c>
      <c r="B404" t="s">
        <v>15</v>
      </c>
      <c r="C404" t="s">
        <v>13</v>
      </c>
      <c r="D404" t="s">
        <v>18</v>
      </c>
      <c r="E404" s="1">
        <v>1334</v>
      </c>
      <c r="F404" s="1">
        <v>2025</v>
      </c>
      <c r="G404" t="s">
        <v>11</v>
      </c>
      <c r="H404" s="2">
        <v>45867.488865740743</v>
      </c>
      <c r="I404" s="9">
        <f t="shared" si="58"/>
        <v>45870</v>
      </c>
      <c r="J404" s="2" t="str">
        <f t="shared" si="59"/>
        <v/>
      </c>
      <c r="L404" s="2" t="str">
        <f t="shared" si="60"/>
        <v/>
      </c>
      <c r="N404" s="10" t="str">
        <f t="shared" si="61"/>
        <v/>
      </c>
      <c r="O404" s="2">
        <f t="shared" si="62"/>
        <v>45870</v>
      </c>
      <c r="P404" s="2">
        <v>45867.497256944444</v>
      </c>
      <c r="Q404" s="2">
        <f t="shared" si="63"/>
        <v>45876</v>
      </c>
      <c r="R404" s="2">
        <v>45867.752812500003</v>
      </c>
      <c r="S404">
        <f t="shared" si="64"/>
        <v>0</v>
      </c>
      <c r="T404" s="2">
        <f t="shared" si="65"/>
        <v>45876</v>
      </c>
      <c r="U404" t="str">
        <f t="shared" si="66"/>
        <v>NO PRAZO</v>
      </c>
      <c r="Z404" s="5" t="s">
        <v>427</v>
      </c>
    </row>
    <row r="405" spans="1:26" hidden="1">
      <c r="A405" s="1">
        <v>20421</v>
      </c>
      <c r="B405" t="s">
        <v>15</v>
      </c>
      <c r="C405" t="s">
        <v>13</v>
      </c>
      <c r="D405" t="s">
        <v>18</v>
      </c>
      <c r="E405" s="1">
        <v>1333</v>
      </c>
      <c r="F405" s="1">
        <v>2025</v>
      </c>
      <c r="G405" t="s">
        <v>11</v>
      </c>
      <c r="H405" s="2">
        <v>45867.487974537034</v>
      </c>
      <c r="I405" s="9">
        <f t="shared" si="58"/>
        <v>45870</v>
      </c>
      <c r="J405" s="2" t="str">
        <f t="shared" si="59"/>
        <v/>
      </c>
      <c r="L405" s="2" t="str">
        <f t="shared" si="60"/>
        <v/>
      </c>
      <c r="N405" s="10" t="str">
        <f t="shared" si="61"/>
        <v/>
      </c>
      <c r="O405" s="2">
        <f t="shared" si="62"/>
        <v>45870</v>
      </c>
      <c r="P405" s="2">
        <v>45867.493252314816</v>
      </c>
      <c r="Q405" s="2">
        <f t="shared" si="63"/>
        <v>45876</v>
      </c>
      <c r="R405" s="2">
        <v>45867.75273148148</v>
      </c>
      <c r="S405">
        <f t="shared" si="64"/>
        <v>0</v>
      </c>
      <c r="T405" s="2">
        <f t="shared" si="65"/>
        <v>45876</v>
      </c>
      <c r="U405" t="str">
        <f t="shared" si="66"/>
        <v>NO PRAZO</v>
      </c>
      <c r="Z405" s="4" t="s">
        <v>428</v>
      </c>
    </row>
    <row r="406" spans="1:26" hidden="1">
      <c r="A406" s="1">
        <v>20420</v>
      </c>
      <c r="B406" t="s">
        <v>15</v>
      </c>
      <c r="C406" t="s">
        <v>13</v>
      </c>
      <c r="D406" t="s">
        <v>18</v>
      </c>
      <c r="E406" s="1">
        <v>1332</v>
      </c>
      <c r="F406" s="1">
        <v>2025</v>
      </c>
      <c r="G406" t="s">
        <v>11</v>
      </c>
      <c r="H406" s="2">
        <v>45867.48746527778</v>
      </c>
      <c r="I406" s="9">
        <f t="shared" si="58"/>
        <v>45870</v>
      </c>
      <c r="J406" s="2" t="str">
        <f t="shared" si="59"/>
        <v/>
      </c>
      <c r="L406" s="2" t="str">
        <f t="shared" si="60"/>
        <v/>
      </c>
      <c r="N406" s="10" t="str">
        <f t="shared" si="61"/>
        <v/>
      </c>
      <c r="O406" s="2">
        <f t="shared" si="62"/>
        <v>45870</v>
      </c>
      <c r="P406" s="2">
        <v>45867.492256944446</v>
      </c>
      <c r="Q406" s="2">
        <f t="shared" si="63"/>
        <v>45876</v>
      </c>
      <c r="R406" s="2">
        <v>45867.752685185187</v>
      </c>
      <c r="S406">
        <f t="shared" si="64"/>
        <v>0</v>
      </c>
      <c r="T406" s="2">
        <f t="shared" si="65"/>
        <v>45876</v>
      </c>
      <c r="U406" t="str">
        <f t="shared" si="66"/>
        <v>NO PRAZO</v>
      </c>
      <c r="Z406" s="5" t="s">
        <v>429</v>
      </c>
    </row>
    <row r="407" spans="1:26" hidden="1">
      <c r="A407" s="1">
        <v>20419</v>
      </c>
      <c r="B407" t="s">
        <v>15</v>
      </c>
      <c r="C407" t="s">
        <v>13</v>
      </c>
      <c r="D407" t="s">
        <v>10</v>
      </c>
      <c r="E407" s="1">
        <v>1331</v>
      </c>
      <c r="F407" s="1">
        <v>2025</v>
      </c>
      <c r="G407" t="s">
        <v>11</v>
      </c>
      <c r="H407" s="2">
        <v>45867.45888888889</v>
      </c>
      <c r="I407" s="9">
        <f t="shared" si="58"/>
        <v>45868</v>
      </c>
      <c r="J407" s="2" t="str">
        <f t="shared" si="59"/>
        <v/>
      </c>
      <c r="L407" s="2" t="str">
        <f t="shared" si="60"/>
        <v/>
      </c>
      <c r="N407" s="10" t="str">
        <f t="shared" si="61"/>
        <v/>
      </c>
      <c r="O407" s="2">
        <f t="shared" si="62"/>
        <v>45868</v>
      </c>
      <c r="P407" s="2">
        <v>45869.439826388887</v>
      </c>
      <c r="Q407" s="2">
        <f t="shared" si="63"/>
        <v>45869</v>
      </c>
      <c r="R407" s="2">
        <v>45869.497256944444</v>
      </c>
      <c r="S407">
        <f t="shared" si="64"/>
        <v>0</v>
      </c>
      <c r="T407" s="2">
        <f t="shared" si="65"/>
        <v>45869</v>
      </c>
      <c r="U407" t="str">
        <f t="shared" si="66"/>
        <v>NO PRAZO</v>
      </c>
      <c r="Z407" s="5" t="s">
        <v>430</v>
      </c>
    </row>
    <row r="408" spans="1:26" hidden="1">
      <c r="A408" s="1">
        <v>20418</v>
      </c>
      <c r="B408" t="s">
        <v>15</v>
      </c>
      <c r="C408" t="s">
        <v>13</v>
      </c>
      <c r="D408" t="s">
        <v>10</v>
      </c>
      <c r="E408" s="1">
        <v>1330</v>
      </c>
      <c r="F408" s="1">
        <v>2025</v>
      </c>
      <c r="G408" t="s">
        <v>11</v>
      </c>
      <c r="H408" s="2">
        <v>45867.45888888889</v>
      </c>
      <c r="I408" s="9">
        <f t="shared" si="58"/>
        <v>45868</v>
      </c>
      <c r="J408" s="2" t="str">
        <f t="shared" si="59"/>
        <v/>
      </c>
      <c r="L408" s="2" t="str">
        <f t="shared" si="60"/>
        <v/>
      </c>
      <c r="N408" s="10" t="str">
        <f t="shared" si="61"/>
        <v/>
      </c>
      <c r="O408" s="2">
        <f t="shared" si="62"/>
        <v>45868</v>
      </c>
      <c r="P408" s="2">
        <v>45869.468101851853</v>
      </c>
      <c r="Q408" s="2">
        <f t="shared" si="63"/>
        <v>45869</v>
      </c>
      <c r="R408" s="2">
        <v>45869.498090277775</v>
      </c>
      <c r="S408">
        <f t="shared" si="64"/>
        <v>0</v>
      </c>
      <c r="T408" s="2">
        <f t="shared" si="65"/>
        <v>45869</v>
      </c>
      <c r="U408" t="str">
        <f t="shared" si="66"/>
        <v>NO PRAZO</v>
      </c>
      <c r="Z408" s="5" t="s">
        <v>431</v>
      </c>
    </row>
    <row r="409" spans="1:26">
      <c r="A409" s="1">
        <v>20417</v>
      </c>
      <c r="B409" t="s">
        <v>20</v>
      </c>
      <c r="C409" t="s">
        <v>13</v>
      </c>
      <c r="D409" t="s">
        <v>21</v>
      </c>
      <c r="E409" s="1">
        <v>1329</v>
      </c>
      <c r="F409" s="1">
        <v>2025</v>
      </c>
      <c r="G409" t="s">
        <v>11</v>
      </c>
      <c r="H409" s="2">
        <v>45867.417222222219</v>
      </c>
      <c r="I409" s="9">
        <f t="shared" si="58"/>
        <v>45870</v>
      </c>
      <c r="J409" s="2">
        <f t="shared" si="59"/>
        <v>45870</v>
      </c>
      <c r="K409" s="2">
        <v>45888.684236111112</v>
      </c>
      <c r="L409" s="2">
        <f t="shared" si="60"/>
        <v>45890</v>
      </c>
      <c r="M409" s="2">
        <v>45895.503113425926</v>
      </c>
      <c r="N409" s="10">
        <f t="shared" si="61"/>
        <v>5</v>
      </c>
      <c r="O409" s="2">
        <f t="shared" si="62"/>
        <v>45891</v>
      </c>
      <c r="P409" s="2">
        <v>45890.690995370373</v>
      </c>
      <c r="Q409" s="2">
        <f t="shared" si="63"/>
        <v>45918</v>
      </c>
      <c r="R409" s="2">
        <v>45933.420995370368</v>
      </c>
      <c r="S409">
        <f t="shared" si="64"/>
        <v>15</v>
      </c>
      <c r="T409" s="2">
        <f t="shared" si="65"/>
        <v>45918</v>
      </c>
      <c r="U409" t="str">
        <f t="shared" si="66"/>
        <v>ATRASO</v>
      </c>
      <c r="Z409" s="5" t="s">
        <v>432</v>
      </c>
    </row>
    <row r="410" spans="1:26" hidden="1">
      <c r="A410" s="1">
        <v>20415</v>
      </c>
      <c r="B410" t="s">
        <v>22</v>
      </c>
      <c r="C410" t="s">
        <v>13</v>
      </c>
      <c r="D410" t="s">
        <v>18</v>
      </c>
      <c r="E410" s="1">
        <v>1327</v>
      </c>
      <c r="F410" s="1">
        <v>2025</v>
      </c>
      <c r="G410" t="s">
        <v>11</v>
      </c>
      <c r="H410" s="2">
        <v>45867.406967592593</v>
      </c>
      <c r="I410" s="9">
        <f t="shared" si="58"/>
        <v>45870</v>
      </c>
      <c r="J410" s="2" t="str">
        <f t="shared" si="59"/>
        <v/>
      </c>
      <c r="L410" s="2" t="str">
        <f t="shared" si="60"/>
        <v/>
      </c>
      <c r="N410" s="10" t="str">
        <f t="shared" si="61"/>
        <v/>
      </c>
      <c r="O410" s="2">
        <f t="shared" si="62"/>
        <v>45870</v>
      </c>
      <c r="P410" s="2">
        <v>45867.407881944448</v>
      </c>
      <c r="Q410" s="2">
        <f t="shared" si="63"/>
        <v>45876</v>
      </c>
      <c r="R410" s="2">
        <v>45868.375694444447</v>
      </c>
      <c r="S410">
        <f t="shared" si="64"/>
        <v>0</v>
      </c>
      <c r="T410" s="2">
        <f t="shared" si="65"/>
        <v>45876</v>
      </c>
      <c r="U410" t="str">
        <f t="shared" si="66"/>
        <v>NO PRAZO</v>
      </c>
      <c r="Z410" s="5" t="s">
        <v>433</v>
      </c>
    </row>
    <row r="411" spans="1:26" hidden="1">
      <c r="A411" s="1">
        <v>20411</v>
      </c>
      <c r="B411" t="s">
        <v>15</v>
      </c>
      <c r="C411" t="s">
        <v>13</v>
      </c>
      <c r="D411" t="s">
        <v>18</v>
      </c>
      <c r="E411" s="1">
        <v>1323</v>
      </c>
      <c r="F411" s="1">
        <v>2025</v>
      </c>
      <c r="G411" t="s">
        <v>11</v>
      </c>
      <c r="H411" s="2">
        <v>45866.675949074073</v>
      </c>
      <c r="I411" s="9">
        <f t="shared" si="58"/>
        <v>45869</v>
      </c>
      <c r="J411" s="2" t="str">
        <f t="shared" si="59"/>
        <v/>
      </c>
      <c r="L411" s="2" t="str">
        <f t="shared" si="60"/>
        <v/>
      </c>
      <c r="N411" s="10" t="str">
        <f t="shared" si="61"/>
        <v/>
      </c>
      <c r="O411" s="2">
        <f t="shared" si="62"/>
        <v>45869</v>
      </c>
      <c r="P411" s="2">
        <v>45867.405578703707</v>
      </c>
      <c r="Q411" s="2">
        <f t="shared" si="63"/>
        <v>45875</v>
      </c>
      <c r="R411" s="2">
        <v>45867.449062500003</v>
      </c>
      <c r="S411">
        <f t="shared" si="64"/>
        <v>0</v>
      </c>
      <c r="T411" s="2">
        <f t="shared" si="65"/>
        <v>45875</v>
      </c>
      <c r="U411" t="str">
        <f t="shared" si="66"/>
        <v>NO PRAZO</v>
      </c>
      <c r="Z411" s="5" t="s">
        <v>434</v>
      </c>
    </row>
    <row r="412" spans="1:26" hidden="1">
      <c r="A412" s="1">
        <v>20407</v>
      </c>
      <c r="B412" t="s">
        <v>12</v>
      </c>
      <c r="C412" t="s">
        <v>13</v>
      </c>
      <c r="D412" t="s">
        <v>10</v>
      </c>
      <c r="E412" s="1">
        <v>1319</v>
      </c>
      <c r="F412" s="1">
        <v>2025</v>
      </c>
      <c r="G412" t="s">
        <v>11</v>
      </c>
      <c r="H412" s="2">
        <v>45866.417187500003</v>
      </c>
      <c r="I412" s="9">
        <f t="shared" si="58"/>
        <v>45867</v>
      </c>
      <c r="J412" s="2" t="str">
        <f t="shared" si="59"/>
        <v/>
      </c>
      <c r="L412" s="2" t="str">
        <f t="shared" si="60"/>
        <v/>
      </c>
      <c r="N412" s="10" t="str">
        <f t="shared" si="61"/>
        <v/>
      </c>
      <c r="O412" s="2">
        <f t="shared" si="62"/>
        <v>45867</v>
      </c>
      <c r="P412" s="2">
        <v>45868.418645833335</v>
      </c>
      <c r="Q412" s="2">
        <f t="shared" si="63"/>
        <v>45868</v>
      </c>
      <c r="R412" s="2">
        <v>45868.498541666668</v>
      </c>
      <c r="S412">
        <f t="shared" si="64"/>
        <v>0</v>
      </c>
      <c r="T412" s="2">
        <f t="shared" si="65"/>
        <v>45868</v>
      </c>
      <c r="U412" t="str">
        <f t="shared" si="66"/>
        <v>NO PRAZO</v>
      </c>
      <c r="Z412" s="5" t="s">
        <v>435</v>
      </c>
    </row>
    <row r="413" spans="1:26" hidden="1">
      <c r="A413" s="1">
        <v>20406</v>
      </c>
      <c r="B413" t="s">
        <v>15</v>
      </c>
      <c r="C413" t="s">
        <v>13</v>
      </c>
      <c r="D413" t="s">
        <v>10</v>
      </c>
      <c r="E413" s="1">
        <v>1318</v>
      </c>
      <c r="F413" s="1">
        <v>2025</v>
      </c>
      <c r="G413" t="s">
        <v>11</v>
      </c>
      <c r="H413" s="2">
        <v>45866.417187500003</v>
      </c>
      <c r="I413" s="9">
        <f t="shared" si="58"/>
        <v>45867</v>
      </c>
      <c r="J413" s="2" t="str">
        <f t="shared" si="59"/>
        <v/>
      </c>
      <c r="L413" s="2" t="str">
        <f t="shared" si="60"/>
        <v/>
      </c>
      <c r="N413" s="10" t="str">
        <f t="shared" si="61"/>
        <v/>
      </c>
      <c r="O413" s="2">
        <f t="shared" si="62"/>
        <v>45867</v>
      </c>
      <c r="P413" s="2">
        <v>45866.737627314818</v>
      </c>
      <c r="Q413" s="2">
        <f t="shared" si="63"/>
        <v>45868</v>
      </c>
      <c r="R413" s="2">
        <v>45866.77070601852</v>
      </c>
      <c r="S413">
        <f t="shared" si="64"/>
        <v>0</v>
      </c>
      <c r="T413" s="2">
        <f t="shared" si="65"/>
        <v>45868</v>
      </c>
      <c r="U413" t="str">
        <f t="shared" si="66"/>
        <v>NO PRAZO</v>
      </c>
      <c r="Z413" s="5" t="s">
        <v>436</v>
      </c>
    </row>
    <row r="414" spans="1:26" hidden="1">
      <c r="A414" s="1">
        <v>20405</v>
      </c>
      <c r="B414" t="s">
        <v>15</v>
      </c>
      <c r="C414" t="s">
        <v>13</v>
      </c>
      <c r="D414" t="s">
        <v>10</v>
      </c>
      <c r="E414" s="1">
        <v>1317</v>
      </c>
      <c r="F414" s="1">
        <v>2025</v>
      </c>
      <c r="G414" t="s">
        <v>11</v>
      </c>
      <c r="H414" s="2">
        <v>45863.708749999998</v>
      </c>
      <c r="I414" s="9">
        <f t="shared" si="58"/>
        <v>45866</v>
      </c>
      <c r="J414" s="2" t="str">
        <f t="shared" si="59"/>
        <v/>
      </c>
      <c r="L414" s="2" t="str">
        <f t="shared" si="60"/>
        <v/>
      </c>
      <c r="N414" s="10" t="str">
        <f t="shared" si="61"/>
        <v/>
      </c>
      <c r="O414" s="2">
        <f t="shared" si="62"/>
        <v>45866</v>
      </c>
      <c r="P414" s="2">
        <v>45866.745787037034</v>
      </c>
      <c r="Q414" s="2">
        <f t="shared" si="63"/>
        <v>45867</v>
      </c>
      <c r="R414" s="2">
        <v>45866.770671296297</v>
      </c>
      <c r="S414">
        <f t="shared" si="64"/>
        <v>0</v>
      </c>
      <c r="T414" s="2">
        <f t="shared" si="65"/>
        <v>45867</v>
      </c>
      <c r="U414" t="str">
        <f t="shared" si="66"/>
        <v>NO PRAZO</v>
      </c>
      <c r="Z414" s="5" t="s">
        <v>437</v>
      </c>
    </row>
    <row r="415" spans="1:26" hidden="1">
      <c r="A415" s="1">
        <v>20402</v>
      </c>
      <c r="B415" t="s">
        <v>15</v>
      </c>
      <c r="C415" t="s">
        <v>13</v>
      </c>
      <c r="D415" t="s">
        <v>10</v>
      </c>
      <c r="E415" s="1">
        <v>1314</v>
      </c>
      <c r="F415" s="1">
        <v>2025</v>
      </c>
      <c r="G415" t="s">
        <v>11</v>
      </c>
      <c r="H415" s="2">
        <v>45863.375428240739</v>
      </c>
      <c r="I415" s="9">
        <f t="shared" si="58"/>
        <v>45866</v>
      </c>
      <c r="J415" s="2" t="str">
        <f t="shared" si="59"/>
        <v/>
      </c>
      <c r="L415" s="2" t="str">
        <f t="shared" si="60"/>
        <v/>
      </c>
      <c r="N415" s="10" t="str">
        <f t="shared" si="61"/>
        <v/>
      </c>
      <c r="O415" s="2">
        <f t="shared" si="62"/>
        <v>45866</v>
      </c>
      <c r="P415" s="2">
        <v>45863.715092592596</v>
      </c>
      <c r="Q415" s="2">
        <f t="shared" si="63"/>
        <v>45867</v>
      </c>
      <c r="R415" s="2">
        <v>45863.721435185187</v>
      </c>
      <c r="S415">
        <f t="shared" si="64"/>
        <v>0</v>
      </c>
      <c r="T415" s="2">
        <f t="shared" si="65"/>
        <v>45867</v>
      </c>
      <c r="U415" t="str">
        <f t="shared" si="66"/>
        <v>NO PRAZO</v>
      </c>
      <c r="Z415" s="5" t="s">
        <v>438</v>
      </c>
    </row>
    <row r="416" spans="1:26" hidden="1">
      <c r="A416" s="1">
        <v>20401</v>
      </c>
      <c r="B416" t="s">
        <v>15</v>
      </c>
      <c r="C416" t="s">
        <v>13</v>
      </c>
      <c r="D416" t="s">
        <v>10</v>
      </c>
      <c r="E416" s="1">
        <v>1313</v>
      </c>
      <c r="F416" s="1">
        <v>2025</v>
      </c>
      <c r="G416" t="s">
        <v>11</v>
      </c>
      <c r="H416" s="2">
        <v>45863.375428240739</v>
      </c>
      <c r="I416" s="9">
        <f t="shared" si="58"/>
        <v>45866</v>
      </c>
      <c r="J416" s="2" t="str">
        <f t="shared" si="59"/>
        <v/>
      </c>
      <c r="L416" s="2" t="str">
        <f t="shared" si="60"/>
        <v/>
      </c>
      <c r="N416" s="10" t="str">
        <f t="shared" si="61"/>
        <v/>
      </c>
      <c r="O416" s="2">
        <f t="shared" si="62"/>
        <v>45866</v>
      </c>
      <c r="P416" s="2">
        <v>45866.75540509259</v>
      </c>
      <c r="Q416" s="2">
        <f t="shared" si="63"/>
        <v>45867</v>
      </c>
      <c r="R416" s="2">
        <v>45866.770636574074</v>
      </c>
      <c r="S416">
        <f t="shared" si="64"/>
        <v>0</v>
      </c>
      <c r="T416" s="2">
        <f t="shared" si="65"/>
        <v>45867</v>
      </c>
      <c r="U416" t="str">
        <f t="shared" si="66"/>
        <v>NO PRAZO</v>
      </c>
      <c r="Z416" s="4" t="s">
        <v>439</v>
      </c>
    </row>
    <row r="417" spans="1:26" hidden="1">
      <c r="A417" s="1">
        <v>20394</v>
      </c>
      <c r="B417" t="s">
        <v>15</v>
      </c>
      <c r="C417" t="s">
        <v>13</v>
      </c>
      <c r="D417" t="s">
        <v>18</v>
      </c>
      <c r="E417" s="1">
        <v>1306</v>
      </c>
      <c r="F417" s="1">
        <v>2025</v>
      </c>
      <c r="G417" t="s">
        <v>11</v>
      </c>
      <c r="H417" s="2">
        <v>45862.375393518516</v>
      </c>
      <c r="I417" s="9">
        <f t="shared" si="58"/>
        <v>45867</v>
      </c>
      <c r="J417" s="2" t="str">
        <f t="shared" si="59"/>
        <v/>
      </c>
      <c r="L417" s="2" t="str">
        <f t="shared" si="60"/>
        <v/>
      </c>
      <c r="N417" s="10" t="str">
        <f t="shared" si="61"/>
        <v/>
      </c>
      <c r="O417" s="2">
        <f t="shared" si="62"/>
        <v>45867</v>
      </c>
      <c r="P417" s="2">
        <v>45863.593159722222</v>
      </c>
      <c r="Q417" s="2">
        <f t="shared" si="63"/>
        <v>45873</v>
      </c>
      <c r="R417" s="2">
        <v>45863.744375000002</v>
      </c>
      <c r="S417">
        <f t="shared" si="64"/>
        <v>0</v>
      </c>
      <c r="T417" s="2">
        <f t="shared" si="65"/>
        <v>45873</v>
      </c>
      <c r="U417" t="str">
        <f t="shared" si="66"/>
        <v>NO PRAZO</v>
      </c>
      <c r="Z417" s="5" t="s">
        <v>440</v>
      </c>
    </row>
    <row r="418" spans="1:26" hidden="1">
      <c r="A418" s="1">
        <v>20391</v>
      </c>
      <c r="B418" t="s">
        <v>17</v>
      </c>
      <c r="C418" t="s">
        <v>13</v>
      </c>
      <c r="D418" t="s">
        <v>18</v>
      </c>
      <c r="E418" s="1">
        <v>1303</v>
      </c>
      <c r="F418" s="1">
        <v>2025</v>
      </c>
      <c r="G418" t="s">
        <v>11</v>
      </c>
      <c r="H418" s="2">
        <v>45861.458703703705</v>
      </c>
      <c r="I418" s="9">
        <f t="shared" si="58"/>
        <v>45866</v>
      </c>
      <c r="J418" s="2" t="str">
        <f t="shared" si="59"/>
        <v/>
      </c>
      <c r="L418" s="2" t="str">
        <f t="shared" si="60"/>
        <v/>
      </c>
      <c r="N418" s="10" t="str">
        <f t="shared" si="61"/>
        <v/>
      </c>
      <c r="O418" s="2">
        <f t="shared" si="62"/>
        <v>45866</v>
      </c>
      <c r="P418" s="2">
        <v>45862.475092592591</v>
      </c>
      <c r="Q418" s="2">
        <f t="shared" si="63"/>
        <v>45870</v>
      </c>
      <c r="R418" s="2">
        <v>45863.431689814817</v>
      </c>
      <c r="S418">
        <f t="shared" si="64"/>
        <v>0</v>
      </c>
      <c r="T418" s="2">
        <f t="shared" si="65"/>
        <v>45870</v>
      </c>
      <c r="U418" t="str">
        <f t="shared" si="66"/>
        <v>NO PRAZO</v>
      </c>
      <c r="Z418" s="5" t="s">
        <v>441</v>
      </c>
    </row>
    <row r="419" spans="1:26" hidden="1">
      <c r="A419" s="1">
        <v>20388</v>
      </c>
      <c r="B419" t="s">
        <v>17</v>
      </c>
      <c r="C419" t="s">
        <v>13</v>
      </c>
      <c r="D419" t="s">
        <v>18</v>
      </c>
      <c r="E419" s="1">
        <v>1300</v>
      </c>
      <c r="F419" s="1">
        <v>2025</v>
      </c>
      <c r="G419" t="s">
        <v>11</v>
      </c>
      <c r="H419" s="2">
        <v>45861.417013888888</v>
      </c>
      <c r="I419" s="9">
        <f t="shared" si="58"/>
        <v>45866</v>
      </c>
      <c r="J419" s="2" t="str">
        <f t="shared" si="59"/>
        <v/>
      </c>
      <c r="L419" s="2" t="str">
        <f t="shared" si="60"/>
        <v/>
      </c>
      <c r="N419" s="10" t="str">
        <f t="shared" si="61"/>
        <v/>
      </c>
      <c r="O419" s="2">
        <f t="shared" si="62"/>
        <v>45866</v>
      </c>
      <c r="P419" s="2">
        <v>45862.474421296298</v>
      </c>
      <c r="Q419" s="2">
        <f t="shared" si="63"/>
        <v>45870</v>
      </c>
      <c r="R419" s="2">
        <v>45863.430601851855</v>
      </c>
      <c r="S419">
        <f t="shared" si="64"/>
        <v>0</v>
      </c>
      <c r="T419" s="2">
        <f t="shared" si="65"/>
        <v>45870</v>
      </c>
      <c r="U419" t="str">
        <f t="shared" si="66"/>
        <v>NO PRAZO</v>
      </c>
      <c r="Z419" s="5" t="s">
        <v>442</v>
      </c>
    </row>
    <row r="420" spans="1:26" hidden="1">
      <c r="A420" s="1">
        <v>20387</v>
      </c>
      <c r="B420" t="s">
        <v>15</v>
      </c>
      <c r="C420" t="s">
        <v>13</v>
      </c>
      <c r="D420" t="s">
        <v>10</v>
      </c>
      <c r="E420" s="1">
        <v>1299</v>
      </c>
      <c r="F420" s="1">
        <v>2025</v>
      </c>
      <c r="G420" t="s">
        <v>11</v>
      </c>
      <c r="H420" s="2">
        <v>45861.37537037037</v>
      </c>
      <c r="I420" s="9">
        <f t="shared" si="58"/>
        <v>45862</v>
      </c>
      <c r="J420" s="2" t="str">
        <f t="shared" si="59"/>
        <v/>
      </c>
      <c r="L420" s="2" t="str">
        <f t="shared" si="60"/>
        <v/>
      </c>
      <c r="N420" s="10" t="str">
        <f t="shared" si="61"/>
        <v/>
      </c>
      <c r="O420" s="2">
        <f t="shared" si="62"/>
        <v>45862</v>
      </c>
      <c r="P420" s="2">
        <v>45862.589050925926</v>
      </c>
      <c r="Q420" s="2">
        <f t="shared" si="63"/>
        <v>45863</v>
      </c>
      <c r="R420" s="2">
        <v>45863.397361111114</v>
      </c>
      <c r="S420">
        <f t="shared" si="64"/>
        <v>0</v>
      </c>
      <c r="T420" s="2">
        <f t="shared" si="65"/>
        <v>45863</v>
      </c>
      <c r="U420" t="str">
        <f t="shared" si="66"/>
        <v>NO PRAZO</v>
      </c>
      <c r="Z420" s="5" t="s">
        <v>443</v>
      </c>
    </row>
    <row r="421" spans="1:26" hidden="1">
      <c r="A421" s="1">
        <v>20386</v>
      </c>
      <c r="B421" t="s">
        <v>15</v>
      </c>
      <c r="C421" t="s">
        <v>13</v>
      </c>
      <c r="D421" t="s">
        <v>18</v>
      </c>
      <c r="E421" s="1">
        <v>1298</v>
      </c>
      <c r="F421" s="1">
        <v>2025</v>
      </c>
      <c r="G421" t="s">
        <v>11</v>
      </c>
      <c r="H421" s="2">
        <v>45860.756192129629</v>
      </c>
      <c r="I421" s="9">
        <f t="shared" si="58"/>
        <v>45863</v>
      </c>
      <c r="J421" s="2" t="str">
        <f t="shared" si="59"/>
        <v/>
      </c>
      <c r="L421" s="2" t="str">
        <f t="shared" si="60"/>
        <v/>
      </c>
      <c r="N421" s="10" t="str">
        <f t="shared" si="61"/>
        <v/>
      </c>
      <c r="O421" s="2">
        <f t="shared" si="62"/>
        <v>45863</v>
      </c>
      <c r="P421" s="2">
        <v>45862.399097222224</v>
      </c>
      <c r="Q421" s="2">
        <f t="shared" si="63"/>
        <v>45869</v>
      </c>
      <c r="R421" s="2">
        <v>45862.431087962963</v>
      </c>
      <c r="S421">
        <f t="shared" si="64"/>
        <v>0</v>
      </c>
      <c r="T421" s="2">
        <f t="shared" si="65"/>
        <v>45869</v>
      </c>
      <c r="U421" t="str">
        <f t="shared" si="66"/>
        <v>NO PRAZO</v>
      </c>
      <c r="Z421" s="5" t="s">
        <v>444</v>
      </c>
    </row>
    <row r="422" spans="1:26" hidden="1">
      <c r="A422" s="1">
        <v>20382</v>
      </c>
      <c r="B422" t="s">
        <v>17</v>
      </c>
      <c r="C422" t="s">
        <v>9</v>
      </c>
      <c r="D422" t="s">
        <v>18</v>
      </c>
      <c r="E422" s="1">
        <v>1294</v>
      </c>
      <c r="F422" s="1">
        <v>2025</v>
      </c>
      <c r="G422" t="s">
        <v>11</v>
      </c>
      <c r="H422" s="2">
        <v>45860.667013888888</v>
      </c>
      <c r="I422" s="9">
        <f t="shared" si="58"/>
        <v>45863</v>
      </c>
      <c r="J422" s="2" t="str">
        <f t="shared" si="59"/>
        <v/>
      </c>
      <c r="L422" s="2" t="str">
        <f t="shared" si="60"/>
        <v/>
      </c>
      <c r="N422" s="10" t="str">
        <f t="shared" si="61"/>
        <v/>
      </c>
      <c r="O422" s="2">
        <f t="shared" si="62"/>
        <v>45863</v>
      </c>
      <c r="P422" s="2">
        <v>45866.68068287037</v>
      </c>
      <c r="Q422" s="2">
        <f t="shared" si="63"/>
        <v>45869</v>
      </c>
      <c r="R422" s="2">
        <v>45867.358807870369</v>
      </c>
      <c r="S422">
        <f t="shared" si="64"/>
        <v>0</v>
      </c>
      <c r="T422" s="2">
        <f t="shared" si="65"/>
        <v>45869</v>
      </c>
      <c r="U422" t="str">
        <f t="shared" si="66"/>
        <v>NO PRAZO</v>
      </c>
      <c r="Z422" s="5" t="s">
        <v>445</v>
      </c>
    </row>
    <row r="423" spans="1:26" hidden="1">
      <c r="A423" s="1">
        <v>20376</v>
      </c>
      <c r="B423" t="s">
        <v>15</v>
      </c>
      <c r="C423" t="s">
        <v>13</v>
      </c>
      <c r="D423" t="s">
        <v>18</v>
      </c>
      <c r="E423" s="1">
        <v>1288</v>
      </c>
      <c r="F423" s="1">
        <v>2025</v>
      </c>
      <c r="G423" t="s">
        <v>11</v>
      </c>
      <c r="H423" s="2">
        <v>45860.500347222223</v>
      </c>
      <c r="I423" s="9">
        <f t="shared" si="58"/>
        <v>45863</v>
      </c>
      <c r="J423" s="2" t="str">
        <f t="shared" si="59"/>
        <v/>
      </c>
      <c r="L423" s="2" t="str">
        <f t="shared" si="60"/>
        <v/>
      </c>
      <c r="N423" s="10" t="str">
        <f t="shared" si="61"/>
        <v/>
      </c>
      <c r="O423" s="2">
        <f t="shared" si="62"/>
        <v>45863</v>
      </c>
      <c r="P423" s="2">
        <v>45862.39340277778</v>
      </c>
      <c r="Q423" s="2">
        <f t="shared" si="63"/>
        <v>45869</v>
      </c>
      <c r="R423" s="2">
        <v>45862.433993055558</v>
      </c>
      <c r="S423">
        <f t="shared" si="64"/>
        <v>0</v>
      </c>
      <c r="T423" s="2">
        <f t="shared" si="65"/>
        <v>45869</v>
      </c>
      <c r="U423" t="str">
        <f t="shared" si="66"/>
        <v>NO PRAZO</v>
      </c>
      <c r="Z423" s="4" t="s">
        <v>446</v>
      </c>
    </row>
    <row r="424" spans="1:26" hidden="1">
      <c r="A424" s="1">
        <v>20371</v>
      </c>
      <c r="B424" t="s">
        <v>8</v>
      </c>
      <c r="C424" t="s">
        <v>13</v>
      </c>
      <c r="D424" t="s">
        <v>10</v>
      </c>
      <c r="E424" s="1">
        <v>1283</v>
      </c>
      <c r="F424" s="1">
        <v>2025</v>
      </c>
      <c r="G424" t="s">
        <v>11</v>
      </c>
      <c r="H424" s="2">
        <v>45859.708634259259</v>
      </c>
      <c r="I424" s="9">
        <f t="shared" si="58"/>
        <v>45860</v>
      </c>
      <c r="J424" s="2" t="str">
        <f t="shared" si="59"/>
        <v/>
      </c>
      <c r="L424" s="2" t="str">
        <f t="shared" si="60"/>
        <v/>
      </c>
      <c r="N424" s="10" t="str">
        <f t="shared" si="61"/>
        <v/>
      </c>
      <c r="O424" s="2">
        <f t="shared" si="62"/>
        <v>45860</v>
      </c>
      <c r="P424" s="2">
        <v>45861.672395833331</v>
      </c>
      <c r="Q424" s="2">
        <f t="shared" si="63"/>
        <v>45861</v>
      </c>
      <c r="R424" s="2">
        <v>45861.723321759258</v>
      </c>
      <c r="S424">
        <f t="shared" si="64"/>
        <v>0</v>
      </c>
      <c r="T424" s="2">
        <f t="shared" si="65"/>
        <v>45861</v>
      </c>
      <c r="U424" t="str">
        <f t="shared" si="66"/>
        <v>NO PRAZO</v>
      </c>
      <c r="Z424" s="5" t="s">
        <v>447</v>
      </c>
    </row>
    <row r="425" spans="1:26" hidden="1">
      <c r="A425" s="1">
        <v>20368</v>
      </c>
      <c r="B425" t="s">
        <v>17</v>
      </c>
      <c r="C425" t="s">
        <v>13</v>
      </c>
      <c r="D425" t="s">
        <v>18</v>
      </c>
      <c r="E425" s="1">
        <v>1280</v>
      </c>
      <c r="F425" s="1">
        <v>2025</v>
      </c>
      <c r="G425" t="s">
        <v>11</v>
      </c>
      <c r="H425" s="2">
        <v>45859.625289351854</v>
      </c>
      <c r="I425" s="9">
        <f t="shared" si="58"/>
        <v>45862</v>
      </c>
      <c r="J425" s="2" t="str">
        <f t="shared" si="59"/>
        <v/>
      </c>
      <c r="L425" s="2" t="str">
        <f t="shared" si="60"/>
        <v/>
      </c>
      <c r="N425" s="10" t="str">
        <f t="shared" si="61"/>
        <v/>
      </c>
      <c r="O425" s="2">
        <f t="shared" si="62"/>
        <v>45862</v>
      </c>
      <c r="P425" s="2">
        <v>45866.680023148147</v>
      </c>
      <c r="Q425" s="2">
        <f t="shared" si="63"/>
        <v>45868</v>
      </c>
      <c r="R425" s="2">
        <v>45866.680266203701</v>
      </c>
      <c r="S425">
        <f t="shared" si="64"/>
        <v>0</v>
      </c>
      <c r="T425" s="2">
        <f t="shared" si="65"/>
        <v>45868</v>
      </c>
      <c r="U425" t="str">
        <f t="shared" si="66"/>
        <v>NO PRAZO</v>
      </c>
      <c r="Z425" s="5" t="s">
        <v>448</v>
      </c>
    </row>
    <row r="426" spans="1:26" hidden="1">
      <c r="A426" s="1">
        <v>20362</v>
      </c>
      <c r="B426" t="s">
        <v>15</v>
      </c>
      <c r="C426" t="s">
        <v>13</v>
      </c>
      <c r="D426" t="s">
        <v>10</v>
      </c>
      <c r="E426" s="1">
        <v>1274</v>
      </c>
      <c r="F426" s="1">
        <v>2025</v>
      </c>
      <c r="G426" t="s">
        <v>11</v>
      </c>
      <c r="H426" s="2">
        <v>45859.583611111113</v>
      </c>
      <c r="I426" s="9">
        <f t="shared" si="58"/>
        <v>45860</v>
      </c>
      <c r="J426" s="2" t="str">
        <f t="shared" si="59"/>
        <v/>
      </c>
      <c r="L426" s="2" t="str">
        <f t="shared" si="60"/>
        <v/>
      </c>
      <c r="N426" s="10" t="str">
        <f t="shared" si="61"/>
        <v/>
      </c>
      <c r="O426" s="2">
        <f t="shared" si="62"/>
        <v>45860</v>
      </c>
      <c r="P426" s="2">
        <v>45861.592685185184</v>
      </c>
      <c r="Q426" s="2">
        <f t="shared" si="63"/>
        <v>45861</v>
      </c>
      <c r="R426" s="2">
        <v>45861.599560185183</v>
      </c>
      <c r="S426">
        <f t="shared" si="64"/>
        <v>0</v>
      </c>
      <c r="T426" s="2">
        <f t="shared" si="65"/>
        <v>45861</v>
      </c>
      <c r="U426" t="str">
        <f t="shared" si="66"/>
        <v>NO PRAZO</v>
      </c>
      <c r="Z426" s="5" t="s">
        <v>449</v>
      </c>
    </row>
    <row r="427" spans="1:26" hidden="1">
      <c r="A427" s="1">
        <v>20357</v>
      </c>
      <c r="B427" t="s">
        <v>15</v>
      </c>
      <c r="C427" t="s">
        <v>13</v>
      </c>
      <c r="D427" t="s">
        <v>10</v>
      </c>
      <c r="E427" s="1">
        <v>1269</v>
      </c>
      <c r="F427" s="1">
        <v>2025</v>
      </c>
      <c r="G427" t="s">
        <v>11</v>
      </c>
      <c r="H427" s="2">
        <v>45859.375289351854</v>
      </c>
      <c r="I427" s="9">
        <f t="shared" si="58"/>
        <v>45860</v>
      </c>
      <c r="J427" s="2" t="str">
        <f t="shared" si="59"/>
        <v/>
      </c>
      <c r="L427" s="2" t="str">
        <f t="shared" si="60"/>
        <v/>
      </c>
      <c r="N427" s="10" t="str">
        <f t="shared" si="61"/>
        <v/>
      </c>
      <c r="O427" s="2">
        <f t="shared" si="62"/>
        <v>45860</v>
      </c>
      <c r="P427" s="2">
        <v>45861.581990740742</v>
      </c>
      <c r="Q427" s="2">
        <f t="shared" si="63"/>
        <v>45861</v>
      </c>
      <c r="R427" s="2">
        <v>45861.600312499999</v>
      </c>
      <c r="S427">
        <f t="shared" si="64"/>
        <v>0</v>
      </c>
      <c r="T427" s="2">
        <f t="shared" si="65"/>
        <v>45861</v>
      </c>
      <c r="U427" t="str">
        <f t="shared" si="66"/>
        <v>NO PRAZO</v>
      </c>
      <c r="Z427" s="6" t="s">
        <v>450</v>
      </c>
    </row>
    <row r="428" spans="1:26" hidden="1">
      <c r="A428" s="1">
        <v>20356</v>
      </c>
      <c r="B428" t="s">
        <v>15</v>
      </c>
      <c r="C428" t="s">
        <v>13</v>
      </c>
      <c r="D428" t="s">
        <v>10</v>
      </c>
      <c r="E428" s="1">
        <v>1268</v>
      </c>
      <c r="F428" s="1">
        <v>2025</v>
      </c>
      <c r="G428" t="s">
        <v>11</v>
      </c>
      <c r="H428" s="2">
        <v>45859.375289351854</v>
      </c>
      <c r="I428" s="9">
        <f t="shared" si="58"/>
        <v>45860</v>
      </c>
      <c r="J428" s="2" t="str">
        <f t="shared" si="59"/>
        <v/>
      </c>
      <c r="L428" s="2" t="str">
        <f t="shared" si="60"/>
        <v/>
      </c>
      <c r="N428" s="10" t="str">
        <f t="shared" si="61"/>
        <v/>
      </c>
      <c r="O428" s="2">
        <f t="shared" si="62"/>
        <v>45860</v>
      </c>
      <c r="P428" s="2">
        <v>45861.57508101852</v>
      </c>
      <c r="Q428" s="2">
        <f t="shared" si="63"/>
        <v>45861</v>
      </c>
      <c r="R428" s="2">
        <v>45861.600081018521</v>
      </c>
      <c r="S428">
        <f t="shared" si="64"/>
        <v>0</v>
      </c>
      <c r="T428" s="2">
        <f t="shared" si="65"/>
        <v>45861</v>
      </c>
      <c r="U428" t="str">
        <f t="shared" si="66"/>
        <v>NO PRAZO</v>
      </c>
      <c r="Z428" s="4" t="s">
        <v>451</v>
      </c>
    </row>
    <row r="429" spans="1:26" hidden="1">
      <c r="A429" s="1">
        <v>20352</v>
      </c>
      <c r="B429" t="s">
        <v>15</v>
      </c>
      <c r="C429" t="s">
        <v>13</v>
      </c>
      <c r="D429" t="s">
        <v>18</v>
      </c>
      <c r="E429" s="1">
        <v>1264</v>
      </c>
      <c r="F429" s="1">
        <v>2025</v>
      </c>
      <c r="G429" t="s">
        <v>11</v>
      </c>
      <c r="H429" s="2">
        <v>45856.666921296295</v>
      </c>
      <c r="I429" s="9">
        <f t="shared" si="58"/>
        <v>45861</v>
      </c>
      <c r="J429" s="2" t="str">
        <f t="shared" si="59"/>
        <v/>
      </c>
      <c r="L429" s="2" t="str">
        <f t="shared" si="60"/>
        <v/>
      </c>
      <c r="N429" s="10" t="str">
        <f t="shared" si="61"/>
        <v/>
      </c>
      <c r="O429" s="2">
        <f t="shared" si="62"/>
        <v>45861</v>
      </c>
      <c r="P429" s="2">
        <v>45859.703101851854</v>
      </c>
      <c r="Q429" s="2">
        <f t="shared" si="63"/>
        <v>45867</v>
      </c>
      <c r="R429" s="2">
        <v>45859.748784722222</v>
      </c>
      <c r="S429">
        <f t="shared" si="64"/>
        <v>0</v>
      </c>
      <c r="T429" s="2">
        <f t="shared" si="65"/>
        <v>45867</v>
      </c>
      <c r="U429" t="str">
        <f t="shared" si="66"/>
        <v>NO PRAZO</v>
      </c>
      <c r="Z429" s="5" t="s">
        <v>452</v>
      </c>
    </row>
    <row r="430" spans="1:26" hidden="1">
      <c r="A430" s="1">
        <v>20350</v>
      </c>
      <c r="B430" t="s">
        <v>17</v>
      </c>
      <c r="C430" t="s">
        <v>13</v>
      </c>
      <c r="D430" t="s">
        <v>18</v>
      </c>
      <c r="E430" s="1">
        <v>1262</v>
      </c>
      <c r="F430" s="1">
        <v>2025</v>
      </c>
      <c r="G430" t="s">
        <v>11</v>
      </c>
      <c r="H430" s="2">
        <v>45856.583611111113</v>
      </c>
      <c r="I430" s="9">
        <f t="shared" si="58"/>
        <v>45861</v>
      </c>
      <c r="J430" s="2" t="str">
        <f t="shared" si="59"/>
        <v/>
      </c>
      <c r="L430" s="2" t="str">
        <f t="shared" si="60"/>
        <v/>
      </c>
      <c r="N430" s="10" t="str">
        <f t="shared" si="61"/>
        <v/>
      </c>
      <c r="O430" s="2">
        <f t="shared" si="62"/>
        <v>45861</v>
      </c>
      <c r="P430" s="2">
        <v>45860.604768518519</v>
      </c>
      <c r="Q430" s="2">
        <f t="shared" si="63"/>
        <v>45867</v>
      </c>
      <c r="R430" s="2">
        <v>45861.684872685182</v>
      </c>
      <c r="S430">
        <f t="shared" si="64"/>
        <v>0</v>
      </c>
      <c r="T430" s="2">
        <f t="shared" si="65"/>
        <v>45867</v>
      </c>
      <c r="U430" t="str">
        <f t="shared" si="66"/>
        <v>NO PRAZO</v>
      </c>
      <c r="Z430" s="5" t="s">
        <v>453</v>
      </c>
    </row>
    <row r="431" spans="1:26" hidden="1">
      <c r="A431" s="1">
        <v>20347</v>
      </c>
      <c r="B431" t="s">
        <v>12</v>
      </c>
      <c r="C431" t="s">
        <v>13</v>
      </c>
      <c r="D431" t="s">
        <v>18</v>
      </c>
      <c r="E431" s="1">
        <v>1259</v>
      </c>
      <c r="F431" s="1">
        <v>2025</v>
      </c>
      <c r="G431" t="s">
        <v>11</v>
      </c>
      <c r="H431" s="2">
        <v>45856.458611111113</v>
      </c>
      <c r="I431" s="9">
        <f t="shared" si="58"/>
        <v>45861</v>
      </c>
      <c r="J431" s="2" t="str">
        <f t="shared" si="59"/>
        <v/>
      </c>
      <c r="L431" s="2" t="str">
        <f t="shared" si="60"/>
        <v/>
      </c>
      <c r="N431" s="10" t="str">
        <f t="shared" si="61"/>
        <v/>
      </c>
      <c r="O431" s="2">
        <f t="shared" si="62"/>
        <v>45861</v>
      </c>
      <c r="P431" s="2">
        <v>45861.422824074078</v>
      </c>
      <c r="Q431" s="2">
        <f t="shared" si="63"/>
        <v>45867</v>
      </c>
      <c r="R431" s="2">
        <v>45861.423217592594</v>
      </c>
      <c r="S431">
        <f t="shared" si="64"/>
        <v>0</v>
      </c>
      <c r="T431" s="2">
        <f t="shared" si="65"/>
        <v>45867</v>
      </c>
      <c r="U431" t="str">
        <f t="shared" si="66"/>
        <v>NO PRAZO</v>
      </c>
      <c r="Z431" s="5" t="s">
        <v>454</v>
      </c>
    </row>
    <row r="432" spans="1:26" hidden="1">
      <c r="A432" s="1">
        <v>20344</v>
      </c>
      <c r="B432" t="s">
        <v>19</v>
      </c>
      <c r="C432" t="s">
        <v>13</v>
      </c>
      <c r="D432" t="s">
        <v>10</v>
      </c>
      <c r="E432" s="1">
        <v>1256</v>
      </c>
      <c r="F432" s="1">
        <v>2025</v>
      </c>
      <c r="G432" t="s">
        <v>11</v>
      </c>
      <c r="H432" s="2">
        <v>45856.3752662037</v>
      </c>
      <c r="I432" s="9">
        <f t="shared" si="58"/>
        <v>45859</v>
      </c>
      <c r="J432" s="2" t="str">
        <f t="shared" si="59"/>
        <v/>
      </c>
      <c r="L432" s="2" t="str">
        <f t="shared" si="60"/>
        <v/>
      </c>
      <c r="N432" s="10" t="str">
        <f t="shared" si="61"/>
        <v/>
      </c>
      <c r="O432" s="2">
        <f t="shared" si="62"/>
        <v>45859</v>
      </c>
      <c r="P432" s="2">
        <v>45856.630555555559</v>
      </c>
      <c r="Q432" s="2">
        <f t="shared" si="63"/>
        <v>45860</v>
      </c>
      <c r="R432" s="2">
        <v>45859.749479166669</v>
      </c>
      <c r="S432">
        <f t="shared" si="64"/>
        <v>0</v>
      </c>
      <c r="T432" s="2">
        <f t="shared" si="65"/>
        <v>45860</v>
      </c>
      <c r="U432" t="str">
        <f t="shared" si="66"/>
        <v>NO PRAZO</v>
      </c>
      <c r="Z432" s="5" t="s">
        <v>455</v>
      </c>
    </row>
    <row r="433" spans="1:26" hidden="1">
      <c r="A433" s="1">
        <v>20342</v>
      </c>
      <c r="B433" t="s">
        <v>15</v>
      </c>
      <c r="C433" t="s">
        <v>9</v>
      </c>
      <c r="D433" t="s">
        <v>10</v>
      </c>
      <c r="E433" s="1">
        <v>1254</v>
      </c>
      <c r="F433" s="1">
        <v>2025</v>
      </c>
      <c r="G433" t="s">
        <v>11</v>
      </c>
      <c r="H433" s="2">
        <v>45855.750231481485</v>
      </c>
      <c r="I433" s="9">
        <f t="shared" si="58"/>
        <v>45856</v>
      </c>
      <c r="J433" s="2" t="str">
        <f t="shared" si="59"/>
        <v/>
      </c>
      <c r="L433" s="2" t="str">
        <f t="shared" si="60"/>
        <v/>
      </c>
      <c r="N433" s="10" t="str">
        <f t="shared" si="61"/>
        <v/>
      </c>
      <c r="O433" s="2">
        <f t="shared" si="62"/>
        <v>45856</v>
      </c>
      <c r="P433" s="2">
        <v>45859.429131944446</v>
      </c>
      <c r="Q433" s="2">
        <f t="shared" si="63"/>
        <v>45859</v>
      </c>
      <c r="R433" s="2">
        <v>45859.433819444443</v>
      </c>
      <c r="S433">
        <f t="shared" si="64"/>
        <v>0</v>
      </c>
      <c r="T433" s="2">
        <f t="shared" si="65"/>
        <v>45859</v>
      </c>
      <c r="U433" t="str">
        <f t="shared" si="66"/>
        <v>NO PRAZO</v>
      </c>
      <c r="Z433" s="5" t="s">
        <v>456</v>
      </c>
    </row>
    <row r="434" spans="1:26" hidden="1">
      <c r="A434" s="1">
        <v>20341</v>
      </c>
      <c r="B434" t="s">
        <v>15</v>
      </c>
      <c r="C434" t="s">
        <v>13</v>
      </c>
      <c r="D434" t="s">
        <v>10</v>
      </c>
      <c r="E434" s="1">
        <v>1253</v>
      </c>
      <c r="F434" s="1">
        <v>2025</v>
      </c>
      <c r="G434" t="s">
        <v>11</v>
      </c>
      <c r="H434" s="2">
        <v>45855.750231481485</v>
      </c>
      <c r="I434" s="9">
        <f t="shared" si="58"/>
        <v>45856</v>
      </c>
      <c r="J434" s="2" t="str">
        <f t="shared" si="59"/>
        <v/>
      </c>
      <c r="L434" s="2" t="str">
        <f t="shared" si="60"/>
        <v/>
      </c>
      <c r="N434" s="10" t="str">
        <f t="shared" si="61"/>
        <v/>
      </c>
      <c r="O434" s="2">
        <f t="shared" si="62"/>
        <v>45856</v>
      </c>
      <c r="P434" s="2">
        <v>45859.430567129632</v>
      </c>
      <c r="Q434" s="2">
        <f t="shared" si="63"/>
        <v>45859</v>
      </c>
      <c r="R434" s="2">
        <v>45859.434282407405</v>
      </c>
      <c r="S434">
        <f t="shared" si="64"/>
        <v>0</v>
      </c>
      <c r="T434" s="2">
        <f t="shared" si="65"/>
        <v>45859</v>
      </c>
      <c r="U434" t="str">
        <f t="shared" si="66"/>
        <v>NO PRAZO</v>
      </c>
      <c r="Z434" s="5" t="s">
        <v>457</v>
      </c>
    </row>
    <row r="435" spans="1:26" hidden="1">
      <c r="A435" s="1">
        <v>20340</v>
      </c>
      <c r="B435" t="s">
        <v>23</v>
      </c>
      <c r="C435" t="s">
        <v>9</v>
      </c>
      <c r="D435" t="s">
        <v>18</v>
      </c>
      <c r="E435" s="1">
        <v>1252</v>
      </c>
      <c r="F435" s="1">
        <v>2025</v>
      </c>
      <c r="G435" t="s">
        <v>11</v>
      </c>
      <c r="H435" s="2">
        <v>45855.71234953704</v>
      </c>
      <c r="I435" s="9">
        <f t="shared" si="58"/>
        <v>45860</v>
      </c>
      <c r="J435" s="2" t="str">
        <f t="shared" si="59"/>
        <v/>
      </c>
      <c r="L435" s="2" t="str">
        <f t="shared" si="60"/>
        <v/>
      </c>
      <c r="N435" s="10" t="str">
        <f t="shared" si="61"/>
        <v/>
      </c>
      <c r="O435" s="2">
        <f t="shared" si="62"/>
        <v>45860</v>
      </c>
      <c r="P435" s="2">
        <v>45855.712685185186</v>
      </c>
      <c r="Q435" s="2">
        <f t="shared" si="63"/>
        <v>45866</v>
      </c>
      <c r="R435" s="2">
        <v>45860.770509259259</v>
      </c>
      <c r="S435">
        <f t="shared" si="64"/>
        <v>0</v>
      </c>
      <c r="T435" s="2">
        <f t="shared" si="65"/>
        <v>45866</v>
      </c>
      <c r="U435" t="str">
        <f t="shared" si="66"/>
        <v>NO PRAZO</v>
      </c>
      <c r="Z435" s="7" t="s">
        <v>458</v>
      </c>
    </row>
    <row r="436" spans="1:26" hidden="1">
      <c r="A436" s="1">
        <v>20333</v>
      </c>
      <c r="B436" t="s">
        <v>17</v>
      </c>
      <c r="C436" t="s">
        <v>13</v>
      </c>
      <c r="D436" t="s">
        <v>18</v>
      </c>
      <c r="E436" s="1">
        <v>1245</v>
      </c>
      <c r="F436" s="1">
        <v>2025</v>
      </c>
      <c r="G436" t="s">
        <v>11</v>
      </c>
      <c r="H436" s="2">
        <v>45855.666909722226</v>
      </c>
      <c r="I436" s="9">
        <f t="shared" si="58"/>
        <v>45860</v>
      </c>
      <c r="J436" s="2" t="str">
        <f t="shared" si="59"/>
        <v/>
      </c>
      <c r="L436" s="2" t="str">
        <f t="shared" si="60"/>
        <v/>
      </c>
      <c r="N436" s="10" t="str">
        <f t="shared" si="61"/>
        <v/>
      </c>
      <c r="O436" s="2">
        <f t="shared" si="62"/>
        <v>45860</v>
      </c>
      <c r="P436" s="2">
        <v>45863.590798611112</v>
      </c>
      <c r="Q436" s="2">
        <f t="shared" si="63"/>
        <v>45866</v>
      </c>
      <c r="R436" s="2">
        <v>45863.649548611109</v>
      </c>
      <c r="S436">
        <f t="shared" si="64"/>
        <v>0</v>
      </c>
      <c r="T436" s="2">
        <f t="shared" si="65"/>
        <v>45866</v>
      </c>
      <c r="U436" t="str">
        <f t="shared" si="66"/>
        <v>NO PRAZO</v>
      </c>
      <c r="Z436" s="5" t="s">
        <v>459</v>
      </c>
    </row>
    <row r="437" spans="1:26" hidden="1">
      <c r="A437" s="1">
        <v>20328</v>
      </c>
      <c r="B437" t="s">
        <v>15</v>
      </c>
      <c r="C437" t="s">
        <v>13</v>
      </c>
      <c r="D437" t="s">
        <v>16</v>
      </c>
      <c r="E437" s="1">
        <v>1240</v>
      </c>
      <c r="F437" s="1">
        <v>2025</v>
      </c>
      <c r="G437" t="s">
        <v>11</v>
      </c>
      <c r="H437" s="2">
        <v>45854.750208333331</v>
      </c>
      <c r="I437" s="9">
        <f t="shared" si="58"/>
        <v>45855</v>
      </c>
      <c r="J437" s="2" t="str">
        <f t="shared" si="59"/>
        <v/>
      </c>
      <c r="L437" s="2" t="str">
        <f t="shared" si="60"/>
        <v/>
      </c>
      <c r="N437" s="10" t="str">
        <f t="shared" si="61"/>
        <v/>
      </c>
      <c r="O437" s="2">
        <f t="shared" si="62"/>
        <v>45855</v>
      </c>
      <c r="P437" s="2">
        <v>45861.565613425926</v>
      </c>
      <c r="Q437" s="2">
        <f t="shared" si="63"/>
        <v>45861</v>
      </c>
      <c r="R437" s="2">
        <v>45861.569340277776</v>
      </c>
      <c r="S437">
        <f t="shared" si="64"/>
        <v>0</v>
      </c>
      <c r="T437" s="2">
        <f t="shared" si="65"/>
        <v>45861</v>
      </c>
      <c r="U437" t="str">
        <f t="shared" si="66"/>
        <v>NO PRAZO</v>
      </c>
      <c r="Z437" s="5" t="s">
        <v>460</v>
      </c>
    </row>
    <row r="438" spans="1:26" hidden="1">
      <c r="A438" s="1">
        <v>20326</v>
      </c>
      <c r="B438" t="s">
        <v>15</v>
      </c>
      <c r="C438" t="s">
        <v>13</v>
      </c>
      <c r="D438" t="s">
        <v>10</v>
      </c>
      <c r="E438" s="1">
        <v>1238</v>
      </c>
      <c r="F438" s="1">
        <v>2025</v>
      </c>
      <c r="G438" t="s">
        <v>11</v>
      </c>
      <c r="H438" s="2">
        <v>45854.708541666667</v>
      </c>
      <c r="I438" s="9">
        <f t="shared" si="58"/>
        <v>45855</v>
      </c>
      <c r="J438" s="2" t="str">
        <f t="shared" si="59"/>
        <v/>
      </c>
      <c r="L438" s="2" t="str">
        <f t="shared" si="60"/>
        <v/>
      </c>
      <c r="N438" s="10" t="str">
        <f t="shared" si="61"/>
        <v/>
      </c>
      <c r="O438" s="2">
        <f t="shared" si="62"/>
        <v>45855</v>
      </c>
      <c r="P438" s="2">
        <v>45855.713564814818</v>
      </c>
      <c r="Q438" s="2">
        <f t="shared" si="63"/>
        <v>45856</v>
      </c>
      <c r="R438" s="2">
        <v>45855.764976851853</v>
      </c>
      <c r="S438">
        <f t="shared" si="64"/>
        <v>0</v>
      </c>
      <c r="T438" s="2">
        <f t="shared" si="65"/>
        <v>45856</v>
      </c>
      <c r="U438" t="str">
        <f t="shared" si="66"/>
        <v>NO PRAZO</v>
      </c>
      <c r="Z438" s="5" t="s">
        <v>461</v>
      </c>
    </row>
    <row r="439" spans="1:26" hidden="1">
      <c r="A439" s="1">
        <v>20324</v>
      </c>
      <c r="B439" t="s">
        <v>15</v>
      </c>
      <c r="C439" t="s">
        <v>13</v>
      </c>
      <c r="D439" t="s">
        <v>16</v>
      </c>
      <c r="E439" s="1">
        <v>1236</v>
      </c>
      <c r="F439" s="1">
        <v>2025</v>
      </c>
      <c r="G439" t="s">
        <v>11</v>
      </c>
      <c r="H439" s="2">
        <v>45854.66915509259</v>
      </c>
      <c r="I439" s="9">
        <f t="shared" si="58"/>
        <v>45855</v>
      </c>
      <c r="J439" s="2" t="str">
        <f t="shared" si="59"/>
        <v/>
      </c>
      <c r="L439" s="2" t="str">
        <f t="shared" si="60"/>
        <v/>
      </c>
      <c r="N439" s="10" t="str">
        <f t="shared" si="61"/>
        <v/>
      </c>
      <c r="O439" s="2">
        <f t="shared" si="62"/>
        <v>45855</v>
      </c>
      <c r="P439" s="2">
        <v>45855.688217592593</v>
      </c>
      <c r="Q439" s="2">
        <f t="shared" si="63"/>
        <v>45861</v>
      </c>
      <c r="R439" s="2">
        <v>45859.45113425926</v>
      </c>
      <c r="S439">
        <f t="shared" si="64"/>
        <v>0</v>
      </c>
      <c r="T439" s="2">
        <f t="shared" si="65"/>
        <v>45861</v>
      </c>
      <c r="U439" t="str">
        <f t="shared" si="66"/>
        <v>NO PRAZO</v>
      </c>
      <c r="Z439" s="5" t="s">
        <v>462</v>
      </c>
    </row>
    <row r="440" spans="1:26" hidden="1">
      <c r="A440" s="1">
        <v>20314</v>
      </c>
      <c r="B440" t="s">
        <v>15</v>
      </c>
      <c r="C440" t="s">
        <v>13</v>
      </c>
      <c r="D440" t="s">
        <v>18</v>
      </c>
      <c r="E440" s="1">
        <v>1226</v>
      </c>
      <c r="F440" s="1">
        <v>2025</v>
      </c>
      <c r="G440" t="s">
        <v>11</v>
      </c>
      <c r="H440" s="2">
        <v>45853.660613425927</v>
      </c>
      <c r="I440" s="9">
        <f t="shared" si="58"/>
        <v>45856</v>
      </c>
      <c r="J440" s="2" t="str">
        <f t="shared" si="59"/>
        <v/>
      </c>
      <c r="L440" s="2" t="str">
        <f t="shared" si="60"/>
        <v/>
      </c>
      <c r="N440" s="10" t="str">
        <f t="shared" si="61"/>
        <v/>
      </c>
      <c r="O440" s="2">
        <f t="shared" si="62"/>
        <v>45856</v>
      </c>
      <c r="P440" s="2">
        <v>45853.662152777775</v>
      </c>
      <c r="Q440" s="2">
        <f t="shared" si="63"/>
        <v>45862</v>
      </c>
      <c r="R440" s="2">
        <v>45854.417569444442</v>
      </c>
      <c r="S440">
        <f t="shared" si="64"/>
        <v>0</v>
      </c>
      <c r="T440" s="2">
        <f t="shared" si="65"/>
        <v>45862</v>
      </c>
      <c r="U440" t="str">
        <f t="shared" si="66"/>
        <v>NO PRAZO</v>
      </c>
      <c r="Z440" s="4" t="s">
        <v>463</v>
      </c>
    </row>
    <row r="441" spans="1:26" hidden="1">
      <c r="A441" s="1">
        <v>20312</v>
      </c>
      <c r="B441" t="s">
        <v>12</v>
      </c>
      <c r="C441" t="s">
        <v>9</v>
      </c>
      <c r="D441" t="s">
        <v>21</v>
      </c>
      <c r="E441" s="1">
        <v>1224</v>
      </c>
      <c r="F441" s="1">
        <v>2025</v>
      </c>
      <c r="G441" t="s">
        <v>11</v>
      </c>
      <c r="H441" s="2">
        <v>45853.625162037039</v>
      </c>
      <c r="I441" s="9">
        <f t="shared" si="58"/>
        <v>45856</v>
      </c>
      <c r="J441" s="2">
        <f t="shared" si="59"/>
        <v>45856</v>
      </c>
      <c r="K441" s="2">
        <v>45880.419583333336</v>
      </c>
      <c r="L441" s="2">
        <f t="shared" si="60"/>
        <v>45876</v>
      </c>
      <c r="M441" s="2">
        <v>45882.505682870367</v>
      </c>
      <c r="N441" s="10">
        <f t="shared" si="61"/>
        <v>6</v>
      </c>
      <c r="O441" s="2">
        <f t="shared" si="62"/>
        <v>45877</v>
      </c>
      <c r="P441" s="2">
        <v>45883.736805555556</v>
      </c>
      <c r="Q441" s="2">
        <f t="shared" si="63"/>
        <v>45904</v>
      </c>
      <c r="R441" s="2">
        <v>45890.458854166667</v>
      </c>
      <c r="S441">
        <f t="shared" si="64"/>
        <v>0</v>
      </c>
      <c r="T441" s="2">
        <f t="shared" si="65"/>
        <v>45904</v>
      </c>
      <c r="U441" t="str">
        <f t="shared" si="66"/>
        <v>NO PRAZO</v>
      </c>
      <c r="Z441" s="5" t="s">
        <v>464</v>
      </c>
    </row>
    <row r="442" spans="1:26" hidden="1">
      <c r="A442" s="1">
        <v>20308</v>
      </c>
      <c r="B442" t="s">
        <v>12</v>
      </c>
      <c r="C442" t="s">
        <v>13</v>
      </c>
      <c r="D442" t="s">
        <v>16</v>
      </c>
      <c r="E442" s="1">
        <v>1220</v>
      </c>
      <c r="F442" s="1">
        <v>2025</v>
      </c>
      <c r="G442" t="s">
        <v>11</v>
      </c>
      <c r="H442" s="2">
        <v>45853.500173611108</v>
      </c>
      <c r="I442" s="9">
        <f t="shared" si="58"/>
        <v>45854</v>
      </c>
      <c r="J442" s="2" t="str">
        <f t="shared" si="59"/>
        <v/>
      </c>
      <c r="L442" s="2" t="str">
        <f t="shared" si="60"/>
        <v/>
      </c>
      <c r="N442" s="10" t="str">
        <f t="shared" si="61"/>
        <v/>
      </c>
      <c r="O442" s="2">
        <f t="shared" si="62"/>
        <v>45854</v>
      </c>
      <c r="P442" s="2">
        <v>45859.909155092595</v>
      </c>
      <c r="Q442" s="2">
        <f t="shared" si="63"/>
        <v>45860</v>
      </c>
      <c r="R442" s="2">
        <v>45859.912037037036</v>
      </c>
      <c r="S442">
        <f t="shared" si="64"/>
        <v>0</v>
      </c>
      <c r="T442" s="2">
        <f t="shared" si="65"/>
        <v>45860</v>
      </c>
      <c r="U442" t="str">
        <f t="shared" si="66"/>
        <v>NO PRAZO</v>
      </c>
      <c r="Z442" s="5" t="s">
        <v>465</v>
      </c>
    </row>
    <row r="443" spans="1:26" hidden="1">
      <c r="A443" s="1">
        <v>20302</v>
      </c>
      <c r="B443" t="s">
        <v>12</v>
      </c>
      <c r="C443" t="s">
        <v>13</v>
      </c>
      <c r="D443" t="s">
        <v>16</v>
      </c>
      <c r="E443" s="1">
        <v>1214</v>
      </c>
      <c r="F443" s="1">
        <v>2025</v>
      </c>
      <c r="G443" t="s">
        <v>11</v>
      </c>
      <c r="H443" s="2">
        <v>45853.416817129626</v>
      </c>
      <c r="I443" s="9">
        <f t="shared" si="58"/>
        <v>45854</v>
      </c>
      <c r="J443" s="2" t="str">
        <f t="shared" si="59"/>
        <v/>
      </c>
      <c r="L443" s="2" t="str">
        <f t="shared" si="60"/>
        <v/>
      </c>
      <c r="N443" s="10" t="str">
        <f t="shared" si="61"/>
        <v/>
      </c>
      <c r="O443" s="2">
        <f t="shared" si="62"/>
        <v>45854</v>
      </c>
      <c r="P443" s="2">
        <v>45859.90861111111</v>
      </c>
      <c r="Q443" s="2">
        <f t="shared" si="63"/>
        <v>45860</v>
      </c>
      <c r="R443" s="2">
        <v>45859.912199074075</v>
      </c>
      <c r="S443">
        <f t="shared" si="64"/>
        <v>0</v>
      </c>
      <c r="T443" s="2">
        <f t="shared" si="65"/>
        <v>45860</v>
      </c>
      <c r="U443" t="str">
        <f t="shared" si="66"/>
        <v>NO PRAZO</v>
      </c>
    </row>
    <row r="444" spans="1:26" hidden="1">
      <c r="A444" s="1">
        <v>20300</v>
      </c>
      <c r="B444" t="s">
        <v>12</v>
      </c>
      <c r="C444" t="s">
        <v>13</v>
      </c>
      <c r="D444" t="s">
        <v>16</v>
      </c>
      <c r="E444" s="1">
        <v>1212</v>
      </c>
      <c r="F444" s="1">
        <v>2025</v>
      </c>
      <c r="G444" t="s">
        <v>11</v>
      </c>
      <c r="H444" s="2">
        <v>45853.375173611108</v>
      </c>
      <c r="I444" s="9">
        <f t="shared" si="58"/>
        <v>45854</v>
      </c>
      <c r="J444" s="2" t="str">
        <f t="shared" si="59"/>
        <v/>
      </c>
      <c r="L444" s="2" t="str">
        <f t="shared" si="60"/>
        <v/>
      </c>
      <c r="N444" s="10" t="str">
        <f t="shared" si="61"/>
        <v/>
      </c>
      <c r="O444" s="2">
        <f t="shared" si="62"/>
        <v>45854</v>
      </c>
      <c r="P444" s="2">
        <v>45854.613634259258</v>
      </c>
      <c r="Q444" s="2">
        <f t="shared" si="63"/>
        <v>45860</v>
      </c>
      <c r="R444" s="2">
        <v>45855.765509259261</v>
      </c>
      <c r="S444">
        <f t="shared" si="64"/>
        <v>0</v>
      </c>
      <c r="T444" s="2">
        <f t="shared" si="65"/>
        <v>45860</v>
      </c>
      <c r="U444" t="str">
        <f t="shared" si="66"/>
        <v>NO PRAZO</v>
      </c>
    </row>
    <row r="445" spans="1:26" hidden="1">
      <c r="A445" s="1">
        <v>20294</v>
      </c>
      <c r="B445" t="s">
        <v>15</v>
      </c>
      <c r="C445" t="s">
        <v>13</v>
      </c>
      <c r="D445" t="s">
        <v>10</v>
      </c>
      <c r="E445" s="1">
        <v>1206</v>
      </c>
      <c r="F445" s="1">
        <v>2025</v>
      </c>
      <c r="G445" t="s">
        <v>11</v>
      </c>
      <c r="H445" s="2">
        <v>45852.583495370367</v>
      </c>
      <c r="I445" s="9">
        <f t="shared" si="58"/>
        <v>45853</v>
      </c>
      <c r="J445" s="2" t="str">
        <f t="shared" si="59"/>
        <v/>
      </c>
      <c r="L445" s="2" t="str">
        <f t="shared" si="60"/>
        <v/>
      </c>
      <c r="N445" s="10" t="str">
        <f t="shared" si="61"/>
        <v/>
      </c>
      <c r="O445" s="2">
        <f t="shared" si="62"/>
        <v>45853</v>
      </c>
      <c r="P445" s="2">
        <v>45854.675763888888</v>
      </c>
      <c r="Q445" s="2">
        <f t="shared" si="63"/>
        <v>45854</v>
      </c>
      <c r="R445" s="2">
        <v>45854.677037037036</v>
      </c>
      <c r="S445">
        <f t="shared" si="64"/>
        <v>0</v>
      </c>
      <c r="T445" s="2">
        <f t="shared" si="65"/>
        <v>45854</v>
      </c>
      <c r="U445" t="str">
        <f t="shared" si="66"/>
        <v>NO PRAZO</v>
      </c>
    </row>
    <row r="446" spans="1:26" hidden="1">
      <c r="A446" s="1">
        <v>20293</v>
      </c>
      <c r="B446" t="s">
        <v>8</v>
      </c>
      <c r="C446" t="s">
        <v>9</v>
      </c>
      <c r="D446" t="s">
        <v>18</v>
      </c>
      <c r="E446" s="1">
        <v>1205</v>
      </c>
      <c r="F446" s="1">
        <v>2025</v>
      </c>
      <c r="G446" t="s">
        <v>11</v>
      </c>
      <c r="H446" s="2">
        <v>45852.500185185185</v>
      </c>
      <c r="I446" s="9">
        <f t="shared" si="58"/>
        <v>45855</v>
      </c>
      <c r="J446" s="2" t="str">
        <f t="shared" si="59"/>
        <v/>
      </c>
      <c r="L446" s="2" t="str">
        <f t="shared" si="60"/>
        <v/>
      </c>
      <c r="N446" s="10" t="str">
        <f t="shared" si="61"/>
        <v/>
      </c>
      <c r="O446" s="2">
        <f t="shared" si="62"/>
        <v>45855</v>
      </c>
      <c r="P446" s="2">
        <v>45853.707569444443</v>
      </c>
      <c r="Q446" s="2">
        <f t="shared" si="63"/>
        <v>45861</v>
      </c>
      <c r="R446" s="2">
        <v>45859.450659722221</v>
      </c>
      <c r="S446">
        <f t="shared" si="64"/>
        <v>0</v>
      </c>
      <c r="T446" s="2">
        <f t="shared" si="65"/>
        <v>45861</v>
      </c>
      <c r="U446" t="str">
        <f t="shared" si="66"/>
        <v>NO PRAZO</v>
      </c>
    </row>
    <row r="447" spans="1:26" hidden="1">
      <c r="A447" s="1">
        <v>20292</v>
      </c>
      <c r="B447" t="s">
        <v>24</v>
      </c>
      <c r="C447" t="s">
        <v>13</v>
      </c>
      <c r="D447" t="s">
        <v>10</v>
      </c>
      <c r="E447" s="1">
        <v>1204</v>
      </c>
      <c r="F447" s="1">
        <v>2025</v>
      </c>
      <c r="G447" t="s">
        <v>11</v>
      </c>
      <c r="H447" s="2">
        <v>45852.375162037039</v>
      </c>
      <c r="I447" s="9">
        <f t="shared" si="58"/>
        <v>45853</v>
      </c>
      <c r="J447" s="2" t="str">
        <f t="shared" si="59"/>
        <v/>
      </c>
      <c r="L447" s="2" t="str">
        <f t="shared" si="60"/>
        <v/>
      </c>
      <c r="N447" s="10" t="str">
        <f t="shared" si="61"/>
        <v/>
      </c>
      <c r="O447" s="2">
        <f t="shared" si="62"/>
        <v>45853</v>
      </c>
      <c r="P447" s="2">
        <v>45853.467511574076</v>
      </c>
      <c r="Q447" s="2">
        <f t="shared" si="63"/>
        <v>45854</v>
      </c>
      <c r="R447" s="2">
        <v>45853.470636574071</v>
      </c>
      <c r="S447">
        <f t="shared" si="64"/>
        <v>0</v>
      </c>
      <c r="T447" s="2">
        <f t="shared" si="65"/>
        <v>45854</v>
      </c>
      <c r="U447" t="str">
        <f t="shared" si="66"/>
        <v>NO PRAZO</v>
      </c>
    </row>
    <row r="448" spans="1:26" hidden="1">
      <c r="A448" s="1">
        <v>20291</v>
      </c>
      <c r="B448" t="s">
        <v>19</v>
      </c>
      <c r="C448" t="s">
        <v>13</v>
      </c>
      <c r="D448" t="s">
        <v>16</v>
      </c>
      <c r="E448" s="1">
        <v>1203</v>
      </c>
      <c r="F448" s="1">
        <v>2025</v>
      </c>
      <c r="G448" t="s">
        <v>11</v>
      </c>
      <c r="H448" s="2">
        <v>45849.750150462962</v>
      </c>
      <c r="I448" s="9">
        <f t="shared" ref="I448:I511" si="67">IF(OR(D448="ORIENTAÇÃO",D448="BUG IMPEDITIVO",D448="BUG NÃO IMPEDITIVO"),WORKDAY(H448,1,Z$2:Z$500),IF(OR(D448="MELHORIA PEQUENA",D448="MELHORIA MÉDIA"),WORKDAY(H448,3,Z$2:Z$500),""))</f>
        <v>45852</v>
      </c>
      <c r="J448" s="2" t="str">
        <f t="shared" si="59"/>
        <v/>
      </c>
      <c r="L448" s="2" t="str">
        <f t="shared" si="60"/>
        <v/>
      </c>
      <c r="N448" s="10" t="str">
        <f t="shared" si="61"/>
        <v/>
      </c>
      <c r="O448" s="2">
        <f t="shared" si="62"/>
        <v>45852</v>
      </c>
      <c r="P448" s="2">
        <v>45852.420949074076</v>
      </c>
      <c r="Q448" s="2">
        <f t="shared" si="63"/>
        <v>45856</v>
      </c>
      <c r="R448" s="2">
        <v>45854.849687499998</v>
      </c>
      <c r="S448">
        <f t="shared" si="64"/>
        <v>0</v>
      </c>
      <c r="T448" s="2">
        <f t="shared" si="65"/>
        <v>45856</v>
      </c>
      <c r="U448" t="str">
        <f t="shared" si="66"/>
        <v>NO PRAZO</v>
      </c>
    </row>
    <row r="449" spans="1:21" hidden="1">
      <c r="A449" s="1">
        <v>20284</v>
      </c>
      <c r="B449" t="s">
        <v>12</v>
      </c>
      <c r="C449" t="s">
        <v>13</v>
      </c>
      <c r="D449" t="s">
        <v>16</v>
      </c>
      <c r="E449" s="1">
        <v>1196</v>
      </c>
      <c r="F449" s="1">
        <v>2025</v>
      </c>
      <c r="G449" t="s">
        <v>11</v>
      </c>
      <c r="H449" s="2">
        <v>45849.458472222221</v>
      </c>
      <c r="I449" s="9">
        <f t="shared" si="67"/>
        <v>45852</v>
      </c>
      <c r="J449" s="2" t="str">
        <f t="shared" si="59"/>
        <v/>
      </c>
      <c r="L449" s="2" t="str">
        <f t="shared" si="60"/>
        <v/>
      </c>
      <c r="N449" s="10" t="str">
        <f t="shared" si="61"/>
        <v/>
      </c>
      <c r="O449" s="2">
        <f t="shared" si="62"/>
        <v>45852</v>
      </c>
      <c r="P449" s="2">
        <v>45853.418113425927</v>
      </c>
      <c r="Q449" s="2">
        <f t="shared" si="63"/>
        <v>45856</v>
      </c>
      <c r="R449" s="2">
        <v>45853.470972222225</v>
      </c>
      <c r="S449">
        <f t="shared" si="64"/>
        <v>0</v>
      </c>
      <c r="T449" s="2">
        <f t="shared" si="65"/>
        <v>45856</v>
      </c>
      <c r="U449" t="str">
        <f t="shared" si="66"/>
        <v>NO PRAZO</v>
      </c>
    </row>
    <row r="450" spans="1:21" hidden="1">
      <c r="A450" s="1">
        <v>20282</v>
      </c>
      <c r="B450" t="s">
        <v>22</v>
      </c>
      <c r="C450" t="s">
        <v>13</v>
      </c>
      <c r="D450" t="s">
        <v>10</v>
      </c>
      <c r="E450" s="1">
        <v>1194</v>
      </c>
      <c r="F450" s="1">
        <v>2025</v>
      </c>
      <c r="G450" t="s">
        <v>11</v>
      </c>
      <c r="H450" s="2">
        <v>45849.458472222221</v>
      </c>
      <c r="I450" s="9">
        <f t="shared" si="67"/>
        <v>45852</v>
      </c>
      <c r="J450" s="2" t="str">
        <f t="shared" si="59"/>
        <v/>
      </c>
      <c r="L450" s="2" t="str">
        <f t="shared" si="60"/>
        <v/>
      </c>
      <c r="N450" s="10" t="str">
        <f t="shared" si="61"/>
        <v/>
      </c>
      <c r="O450" s="2">
        <f t="shared" si="62"/>
        <v>45852</v>
      </c>
      <c r="P450" s="2">
        <v>45853.472685185188</v>
      </c>
      <c r="Q450" s="2">
        <f t="shared" si="63"/>
        <v>45853</v>
      </c>
      <c r="R450" s="2">
        <v>45853.472916666666</v>
      </c>
      <c r="S450">
        <f t="shared" si="64"/>
        <v>0</v>
      </c>
      <c r="T450" s="2">
        <f t="shared" si="65"/>
        <v>45853</v>
      </c>
      <c r="U450" t="str">
        <f t="shared" si="66"/>
        <v>NO PRAZO</v>
      </c>
    </row>
    <row r="451" spans="1:21" hidden="1">
      <c r="A451" s="1">
        <v>20281</v>
      </c>
      <c r="B451" t="s">
        <v>17</v>
      </c>
      <c r="C451" t="s">
        <v>13</v>
      </c>
      <c r="D451" t="s">
        <v>18</v>
      </c>
      <c r="E451" s="1">
        <v>1193</v>
      </c>
      <c r="F451" s="1">
        <v>2025</v>
      </c>
      <c r="G451" t="s">
        <v>11</v>
      </c>
      <c r="H451" s="2">
        <v>45849.458472222221</v>
      </c>
      <c r="I451" s="9">
        <f t="shared" si="67"/>
        <v>45854</v>
      </c>
      <c r="J451" s="2" t="str">
        <f t="shared" ref="J451:J514" si="68">IF(K451&lt;&gt;"",I451,"")</f>
        <v/>
      </c>
      <c r="L451" s="2" t="str">
        <f t="shared" ref="L451:L514" si="69">IF(J451="","",WORKDAY(J451,14,Z$2:Z$500))</f>
        <v/>
      </c>
      <c r="N451" s="10" t="str">
        <f t="shared" ref="N451:N514" si="70">IF(M451="","",MAX(0,INT(M451)-INT(L451)))</f>
        <v/>
      </c>
      <c r="O451" s="2">
        <f t="shared" ref="O451:O514" si="71">IF(L451="",I451,WORKDAY(L451,1,Z$2:Z$500))</f>
        <v>45854</v>
      </c>
      <c r="P451" s="2">
        <v>45853.416064814817</v>
      </c>
      <c r="Q451" s="2">
        <f t="shared" ref="Q451:Q514" si="72">IF(OR(D451="ORIENTAÇÃO",D451="BUG IMPEDITIVO"),WORKDAY(O451,1,Z$2:Z$500),IF(OR(D451="MELHORIA PEQUENA",D451="BUG NÃO IMPEDITIVO"),WORKDAY(O451,4,Z$2:Z$500),IF(D451="MELHORIA MÉDIA",WORKDAY(O451,19,Z$2:Z$500),"")))</f>
        <v>45860</v>
      </c>
      <c r="R451" s="2">
        <v>45853.474027777775</v>
      </c>
      <c r="S451">
        <f t="shared" ref="S451:S514" si="73">MAX(0,INT(R451)-INT(Q451))</f>
        <v>0</v>
      </c>
      <c r="T451" s="2">
        <f t="shared" ref="T451:T514" si="74">IF(D451="MELHORIA MÉDIA",IF(K451&lt;&gt;"",WORKDAY(I451,34,$Z$2:$Z$1000),WORKDAY(I451,19,$Z$2:$Z$1000)),IF(OR(D451="MELHORIA PEQUENA",D451="BUG NÃO IMPEDITIVO"),WORKDAY(I451,4,$Z$2:$Z$1000),IF(OR(D451="ORIENTAÇÃO",D451="BUG IMPEDITIVO"),WORKDAY(I451,1,$Z$2:$Z$1000),"")))</f>
        <v>45860</v>
      </c>
      <c r="U451" t="str">
        <f t="shared" ref="U451:U514" si="75">IF(INT(R451)&lt;=INT(T451),"NO PRAZO","ATRASO")</f>
        <v>NO PRAZO</v>
      </c>
    </row>
    <row r="452" spans="1:21" hidden="1">
      <c r="A452" s="1">
        <v>20280</v>
      </c>
      <c r="B452" t="s">
        <v>17</v>
      </c>
      <c r="C452" t="s">
        <v>13</v>
      </c>
      <c r="D452" t="s">
        <v>18</v>
      </c>
      <c r="E452" s="1">
        <v>1192</v>
      </c>
      <c r="F452" s="1">
        <v>2025</v>
      </c>
      <c r="G452" t="s">
        <v>11</v>
      </c>
      <c r="H452" s="2">
        <v>45849.458472222221</v>
      </c>
      <c r="I452" s="9">
        <f t="shared" si="67"/>
        <v>45854</v>
      </c>
      <c r="J452" s="2" t="str">
        <f t="shared" si="68"/>
        <v/>
      </c>
      <c r="L452" s="2" t="str">
        <f t="shared" si="69"/>
        <v/>
      </c>
      <c r="N452" s="10" t="str">
        <f t="shared" si="70"/>
        <v/>
      </c>
      <c r="O452" s="2">
        <f t="shared" si="71"/>
        <v>45854</v>
      </c>
      <c r="P452" s="2">
        <v>45853.431226851855</v>
      </c>
      <c r="Q452" s="2">
        <f t="shared" si="72"/>
        <v>45860</v>
      </c>
      <c r="R452" s="2">
        <v>45853.473923611113</v>
      </c>
      <c r="S452">
        <f t="shared" si="73"/>
        <v>0</v>
      </c>
      <c r="T452" s="2">
        <f t="shared" si="74"/>
        <v>45860</v>
      </c>
      <c r="U452" t="str">
        <f t="shared" si="75"/>
        <v>NO PRAZO</v>
      </c>
    </row>
    <row r="453" spans="1:21" hidden="1">
      <c r="A453" s="1">
        <v>20274</v>
      </c>
      <c r="B453" t="s">
        <v>24</v>
      </c>
      <c r="C453" t="s">
        <v>13</v>
      </c>
      <c r="D453" t="s">
        <v>10</v>
      </c>
      <c r="E453" s="1">
        <v>1186</v>
      </c>
      <c r="F453" s="1">
        <v>2025</v>
      </c>
      <c r="G453" t="s">
        <v>11</v>
      </c>
      <c r="H453" s="2">
        <v>45848.666990740741</v>
      </c>
      <c r="I453" s="9">
        <f t="shared" si="67"/>
        <v>45849</v>
      </c>
      <c r="J453" s="2" t="str">
        <f t="shared" si="68"/>
        <v/>
      </c>
      <c r="L453" s="2" t="str">
        <f t="shared" si="69"/>
        <v/>
      </c>
      <c r="N453" s="10" t="str">
        <f t="shared" si="70"/>
        <v/>
      </c>
      <c r="O453" s="2">
        <f t="shared" si="71"/>
        <v>45849</v>
      </c>
      <c r="P453" s="2">
        <v>45849.417627314811</v>
      </c>
      <c r="Q453" s="2">
        <f t="shared" si="72"/>
        <v>45852</v>
      </c>
      <c r="R453" s="2">
        <v>45852.709594907406</v>
      </c>
      <c r="S453">
        <f t="shared" si="73"/>
        <v>0</v>
      </c>
      <c r="T453" s="2">
        <f t="shared" si="74"/>
        <v>45852</v>
      </c>
      <c r="U453" t="str">
        <f t="shared" si="75"/>
        <v>NO PRAZO</v>
      </c>
    </row>
    <row r="454" spans="1:21" hidden="1">
      <c r="A454" s="1">
        <v>20269</v>
      </c>
      <c r="B454" t="s">
        <v>17</v>
      </c>
      <c r="C454" t="s">
        <v>13</v>
      </c>
      <c r="D454" t="s">
        <v>18</v>
      </c>
      <c r="E454" s="1">
        <v>1181</v>
      </c>
      <c r="F454" s="1">
        <v>2025</v>
      </c>
      <c r="G454" t="s">
        <v>11</v>
      </c>
      <c r="H454" s="2">
        <v>45848.458472222221</v>
      </c>
      <c r="I454" s="9">
        <f t="shared" si="67"/>
        <v>45853</v>
      </c>
      <c r="J454" s="2" t="str">
        <f t="shared" si="68"/>
        <v/>
      </c>
      <c r="L454" s="2" t="str">
        <f t="shared" si="69"/>
        <v/>
      </c>
      <c r="N454" s="10" t="str">
        <f t="shared" si="70"/>
        <v/>
      </c>
      <c r="O454" s="2">
        <f t="shared" si="71"/>
        <v>45853</v>
      </c>
      <c r="P454" s="2">
        <v>45852.446527777778</v>
      </c>
      <c r="Q454" s="2">
        <f t="shared" si="72"/>
        <v>45859</v>
      </c>
      <c r="R454" s="2">
        <v>45852.44672453704</v>
      </c>
      <c r="S454">
        <f t="shared" si="73"/>
        <v>0</v>
      </c>
      <c r="T454" s="2">
        <f t="shared" si="74"/>
        <v>45859</v>
      </c>
      <c r="U454" t="str">
        <f t="shared" si="75"/>
        <v>NO PRAZO</v>
      </c>
    </row>
    <row r="455" spans="1:21" hidden="1">
      <c r="A455" s="1">
        <v>20266</v>
      </c>
      <c r="B455" t="s">
        <v>15</v>
      </c>
      <c r="C455" t="s">
        <v>13</v>
      </c>
      <c r="D455" t="s">
        <v>10</v>
      </c>
      <c r="E455" s="1">
        <v>1178</v>
      </c>
      <c r="F455" s="1">
        <v>2025</v>
      </c>
      <c r="G455" t="s">
        <v>11</v>
      </c>
      <c r="H455" s="2">
        <v>45848.375150462962</v>
      </c>
      <c r="I455" s="9">
        <f t="shared" si="67"/>
        <v>45849</v>
      </c>
      <c r="J455" s="2" t="str">
        <f t="shared" si="68"/>
        <v/>
      </c>
      <c r="L455" s="2" t="str">
        <f t="shared" si="69"/>
        <v/>
      </c>
      <c r="N455" s="10" t="str">
        <f t="shared" si="70"/>
        <v/>
      </c>
      <c r="O455" s="2">
        <f t="shared" si="71"/>
        <v>45849</v>
      </c>
      <c r="P455" s="2">
        <v>45848.59684027778</v>
      </c>
      <c r="Q455" s="2">
        <f t="shared" si="72"/>
        <v>45852</v>
      </c>
      <c r="R455" s="2">
        <v>45849.700092592589</v>
      </c>
      <c r="S455">
        <f t="shared" si="73"/>
        <v>0</v>
      </c>
      <c r="T455" s="2">
        <f t="shared" si="74"/>
        <v>45852</v>
      </c>
      <c r="U455" t="str">
        <f t="shared" si="75"/>
        <v>NO PRAZO</v>
      </c>
    </row>
    <row r="456" spans="1:21" hidden="1">
      <c r="A456" s="1">
        <v>20265</v>
      </c>
      <c r="B456" t="s">
        <v>15</v>
      </c>
      <c r="C456" t="s">
        <v>13</v>
      </c>
      <c r="D456" t="s">
        <v>10</v>
      </c>
      <c r="E456" s="1">
        <v>1177</v>
      </c>
      <c r="F456" s="1">
        <v>2025</v>
      </c>
      <c r="G456" t="s">
        <v>11</v>
      </c>
      <c r="H456" s="2">
        <v>45848.375150462962</v>
      </c>
      <c r="I456" s="9">
        <f t="shared" si="67"/>
        <v>45849</v>
      </c>
      <c r="J456" s="2" t="str">
        <f t="shared" si="68"/>
        <v/>
      </c>
      <c r="L456" s="2" t="str">
        <f t="shared" si="69"/>
        <v/>
      </c>
      <c r="N456" s="10" t="str">
        <f t="shared" si="70"/>
        <v/>
      </c>
      <c r="O456" s="2">
        <f t="shared" si="71"/>
        <v>45849</v>
      </c>
      <c r="P456" s="2">
        <v>45848.582129629627</v>
      </c>
      <c r="Q456" s="2">
        <f t="shared" si="72"/>
        <v>45852</v>
      </c>
      <c r="R456" s="2">
        <v>45848.739085648151</v>
      </c>
      <c r="S456">
        <f t="shared" si="73"/>
        <v>0</v>
      </c>
      <c r="T456" s="2">
        <f t="shared" si="74"/>
        <v>45852</v>
      </c>
      <c r="U456" t="str">
        <f t="shared" si="75"/>
        <v>NO PRAZO</v>
      </c>
    </row>
    <row r="457" spans="1:21" hidden="1">
      <c r="A457" s="1">
        <v>20264</v>
      </c>
      <c r="B457" t="s">
        <v>15</v>
      </c>
      <c r="C457" t="s">
        <v>13</v>
      </c>
      <c r="D457" t="s">
        <v>10</v>
      </c>
      <c r="E457" s="1">
        <v>1176</v>
      </c>
      <c r="F457" s="1">
        <v>2025</v>
      </c>
      <c r="G457" t="s">
        <v>11</v>
      </c>
      <c r="H457" s="2">
        <v>45848.375150462962</v>
      </c>
      <c r="I457" s="9">
        <f t="shared" si="67"/>
        <v>45849</v>
      </c>
      <c r="J457" s="2" t="str">
        <f t="shared" si="68"/>
        <v/>
      </c>
      <c r="L457" s="2" t="str">
        <f t="shared" si="69"/>
        <v/>
      </c>
      <c r="N457" s="10" t="str">
        <f t="shared" si="70"/>
        <v/>
      </c>
      <c r="O457" s="2">
        <f t="shared" si="71"/>
        <v>45849</v>
      </c>
      <c r="P457" s="2">
        <v>45849.654490740744</v>
      </c>
      <c r="Q457" s="2">
        <f t="shared" si="72"/>
        <v>45852</v>
      </c>
      <c r="R457" s="2">
        <v>45849.751956018517</v>
      </c>
      <c r="S457">
        <f t="shared" si="73"/>
        <v>0</v>
      </c>
      <c r="T457" s="2">
        <f t="shared" si="74"/>
        <v>45852</v>
      </c>
      <c r="U457" t="str">
        <f t="shared" si="75"/>
        <v>NO PRAZO</v>
      </c>
    </row>
    <row r="458" spans="1:21" hidden="1">
      <c r="A458" s="1">
        <v>20263</v>
      </c>
      <c r="B458" t="s">
        <v>12</v>
      </c>
      <c r="C458" t="s">
        <v>13</v>
      </c>
      <c r="D458" t="s">
        <v>10</v>
      </c>
      <c r="E458" s="1">
        <v>1175</v>
      </c>
      <c r="F458" s="1">
        <v>2025</v>
      </c>
      <c r="G458" t="s">
        <v>11</v>
      </c>
      <c r="H458" s="2">
        <v>45847.708483796298</v>
      </c>
      <c r="I458" s="9">
        <f t="shared" si="67"/>
        <v>45848</v>
      </c>
      <c r="J458" s="2" t="str">
        <f t="shared" si="68"/>
        <v/>
      </c>
      <c r="L458" s="2" t="str">
        <f t="shared" si="69"/>
        <v/>
      </c>
      <c r="N458" s="10" t="str">
        <f t="shared" si="70"/>
        <v/>
      </c>
      <c r="O458" s="2">
        <f t="shared" si="71"/>
        <v>45848</v>
      </c>
      <c r="P458" s="2">
        <v>45848.479062500002</v>
      </c>
      <c r="Q458" s="2">
        <f t="shared" si="72"/>
        <v>45849</v>
      </c>
      <c r="R458" s="2">
        <v>45849.705787037034</v>
      </c>
      <c r="S458">
        <f t="shared" si="73"/>
        <v>0</v>
      </c>
      <c r="T458" s="2">
        <f t="shared" si="74"/>
        <v>45849</v>
      </c>
      <c r="U458" t="str">
        <f t="shared" si="75"/>
        <v>NO PRAZO</v>
      </c>
    </row>
    <row r="459" spans="1:21" hidden="1">
      <c r="A459" s="1">
        <v>20262</v>
      </c>
      <c r="B459" t="s">
        <v>12</v>
      </c>
      <c r="C459" t="s">
        <v>13</v>
      </c>
      <c r="D459" t="s">
        <v>18</v>
      </c>
      <c r="E459" s="1">
        <v>1174</v>
      </c>
      <c r="F459" s="1">
        <v>2025</v>
      </c>
      <c r="G459" t="s">
        <v>11</v>
      </c>
      <c r="H459" s="2">
        <v>45847.500162037039</v>
      </c>
      <c r="I459" s="9">
        <f t="shared" si="67"/>
        <v>45852</v>
      </c>
      <c r="J459" s="2" t="str">
        <f t="shared" si="68"/>
        <v/>
      </c>
      <c r="L459" s="2" t="str">
        <f t="shared" si="69"/>
        <v/>
      </c>
      <c r="N459" s="10" t="str">
        <f t="shared" si="70"/>
        <v/>
      </c>
      <c r="O459" s="2">
        <f t="shared" si="71"/>
        <v>45852</v>
      </c>
      <c r="P459" s="2">
        <v>45849.463773148149</v>
      </c>
      <c r="Q459" s="2">
        <f t="shared" si="72"/>
        <v>45856</v>
      </c>
      <c r="R459" s="2">
        <v>45852.417812500003</v>
      </c>
      <c r="S459">
        <f t="shared" si="73"/>
        <v>0</v>
      </c>
      <c r="T459" s="2">
        <f t="shared" si="74"/>
        <v>45856</v>
      </c>
      <c r="U459" t="str">
        <f t="shared" si="75"/>
        <v>NO PRAZO</v>
      </c>
    </row>
    <row r="460" spans="1:21" hidden="1">
      <c r="A460" s="1">
        <v>20260</v>
      </c>
      <c r="B460" t="s">
        <v>24</v>
      </c>
      <c r="C460" t="s">
        <v>13</v>
      </c>
      <c r="D460" t="s">
        <v>16</v>
      </c>
      <c r="E460" s="1">
        <v>1172</v>
      </c>
      <c r="F460" s="1">
        <v>2025</v>
      </c>
      <c r="G460" t="s">
        <v>11</v>
      </c>
      <c r="H460" s="2">
        <v>45847.458495370367</v>
      </c>
      <c r="I460" s="9">
        <f t="shared" si="67"/>
        <v>45848</v>
      </c>
      <c r="J460" s="2" t="str">
        <f t="shared" si="68"/>
        <v/>
      </c>
      <c r="L460" s="2" t="str">
        <f t="shared" si="69"/>
        <v/>
      </c>
      <c r="N460" s="10" t="str">
        <f t="shared" si="70"/>
        <v/>
      </c>
      <c r="O460" s="2">
        <f t="shared" si="71"/>
        <v>45848</v>
      </c>
      <c r="P460" s="2">
        <v>45853.450289351851</v>
      </c>
      <c r="Q460" s="2">
        <f t="shared" si="72"/>
        <v>45854</v>
      </c>
      <c r="R460" s="2">
        <v>45853.471238425926</v>
      </c>
      <c r="S460">
        <f t="shared" si="73"/>
        <v>0</v>
      </c>
      <c r="T460" s="2">
        <f t="shared" si="74"/>
        <v>45854</v>
      </c>
      <c r="U460" t="str">
        <f t="shared" si="75"/>
        <v>NO PRAZO</v>
      </c>
    </row>
    <row r="461" spans="1:21" hidden="1">
      <c r="A461" s="1">
        <v>20259</v>
      </c>
      <c r="B461" t="s">
        <v>15</v>
      </c>
      <c r="C461" t="s">
        <v>13</v>
      </c>
      <c r="D461" t="s">
        <v>10</v>
      </c>
      <c r="E461" s="1">
        <v>1171</v>
      </c>
      <c r="F461" s="1">
        <v>2025</v>
      </c>
      <c r="G461" t="s">
        <v>11</v>
      </c>
      <c r="H461" s="2">
        <v>45847.458495370367</v>
      </c>
      <c r="I461" s="9">
        <f t="shared" si="67"/>
        <v>45848</v>
      </c>
      <c r="J461" s="2" t="str">
        <f t="shared" si="68"/>
        <v/>
      </c>
      <c r="L461" s="2" t="str">
        <f t="shared" si="69"/>
        <v/>
      </c>
      <c r="N461" s="10" t="str">
        <f t="shared" si="70"/>
        <v/>
      </c>
      <c r="O461" s="2">
        <f t="shared" si="71"/>
        <v>45848</v>
      </c>
      <c r="P461" s="2">
        <v>45848.68310185185</v>
      </c>
      <c r="Q461" s="2">
        <f t="shared" si="72"/>
        <v>45849</v>
      </c>
      <c r="R461" s="2">
        <v>45848.736840277779</v>
      </c>
      <c r="S461">
        <f t="shared" si="73"/>
        <v>0</v>
      </c>
      <c r="T461" s="2">
        <f t="shared" si="74"/>
        <v>45849</v>
      </c>
      <c r="U461" t="str">
        <f t="shared" si="75"/>
        <v>NO PRAZO</v>
      </c>
    </row>
    <row r="462" spans="1:21" hidden="1">
      <c r="A462" s="1">
        <v>20258</v>
      </c>
      <c r="B462" t="s">
        <v>22</v>
      </c>
      <c r="C462" t="s">
        <v>13</v>
      </c>
      <c r="D462" t="s">
        <v>10</v>
      </c>
      <c r="E462" s="1">
        <v>1170</v>
      </c>
      <c r="F462" s="1">
        <v>2025</v>
      </c>
      <c r="G462" t="s">
        <v>11</v>
      </c>
      <c r="H462" s="2">
        <v>45847.416805555556</v>
      </c>
      <c r="I462" s="9">
        <f t="shared" si="67"/>
        <v>45848</v>
      </c>
      <c r="J462" s="2" t="str">
        <f t="shared" si="68"/>
        <v/>
      </c>
      <c r="L462" s="2" t="str">
        <f t="shared" si="69"/>
        <v/>
      </c>
      <c r="N462" s="10" t="str">
        <f t="shared" si="70"/>
        <v/>
      </c>
      <c r="O462" s="2">
        <f t="shared" si="71"/>
        <v>45848</v>
      </c>
      <c r="P462" s="2">
        <v>45848.467314814814</v>
      </c>
      <c r="Q462" s="2">
        <f t="shared" si="72"/>
        <v>45849</v>
      </c>
      <c r="R462" s="2">
        <v>45849.705706018518</v>
      </c>
      <c r="S462">
        <f t="shared" si="73"/>
        <v>0</v>
      </c>
      <c r="T462" s="2">
        <f t="shared" si="74"/>
        <v>45849</v>
      </c>
      <c r="U462" t="str">
        <f t="shared" si="75"/>
        <v>NO PRAZO</v>
      </c>
    </row>
    <row r="463" spans="1:21" hidden="1">
      <c r="A463" s="1">
        <v>20251</v>
      </c>
      <c r="B463" t="s">
        <v>20</v>
      </c>
      <c r="C463" t="s">
        <v>13</v>
      </c>
      <c r="D463" t="s">
        <v>18</v>
      </c>
      <c r="E463" s="1">
        <v>1163</v>
      </c>
      <c r="F463" s="1">
        <v>2025</v>
      </c>
      <c r="G463" t="s">
        <v>11</v>
      </c>
      <c r="H463" s="2">
        <v>45846.375185185185</v>
      </c>
      <c r="I463" s="9">
        <f t="shared" si="67"/>
        <v>45849</v>
      </c>
      <c r="J463" s="2" t="str">
        <f t="shared" si="68"/>
        <v/>
      </c>
      <c r="L463" s="2" t="str">
        <f t="shared" si="69"/>
        <v/>
      </c>
      <c r="N463" s="10" t="str">
        <f t="shared" si="70"/>
        <v/>
      </c>
      <c r="O463" s="2">
        <f t="shared" si="71"/>
        <v>45849</v>
      </c>
      <c r="P463" s="2">
        <v>45846.395949074074</v>
      </c>
      <c r="Q463" s="2">
        <f t="shared" si="72"/>
        <v>45855</v>
      </c>
      <c r="R463" s="2">
        <v>45847.404907407406</v>
      </c>
      <c r="S463">
        <f t="shared" si="73"/>
        <v>0</v>
      </c>
      <c r="T463" s="2">
        <f t="shared" si="74"/>
        <v>45855</v>
      </c>
      <c r="U463" t="str">
        <f t="shared" si="75"/>
        <v>NO PRAZO</v>
      </c>
    </row>
    <row r="464" spans="1:21" hidden="1">
      <c r="A464" s="1">
        <v>20237</v>
      </c>
      <c r="B464" t="s">
        <v>20</v>
      </c>
      <c r="C464" t="s">
        <v>13</v>
      </c>
      <c r="D464" t="s">
        <v>18</v>
      </c>
      <c r="E464" s="1">
        <v>1149</v>
      </c>
      <c r="F464" s="1">
        <v>2025</v>
      </c>
      <c r="G464" t="s">
        <v>11</v>
      </c>
      <c r="H464" s="2">
        <v>45841.708506944444</v>
      </c>
      <c r="I464" s="9">
        <f t="shared" si="67"/>
        <v>45846</v>
      </c>
      <c r="J464" s="2" t="str">
        <f t="shared" si="68"/>
        <v/>
      </c>
      <c r="L464" s="2" t="str">
        <f t="shared" si="69"/>
        <v/>
      </c>
      <c r="N464" s="10" t="str">
        <f t="shared" si="70"/>
        <v/>
      </c>
      <c r="O464" s="2">
        <f t="shared" si="71"/>
        <v>45846</v>
      </c>
      <c r="P464" s="2">
        <v>45847.666805555556</v>
      </c>
      <c r="Q464" s="2">
        <f t="shared" si="72"/>
        <v>45852</v>
      </c>
      <c r="R464" s="2">
        <v>45847.667685185188</v>
      </c>
      <c r="S464">
        <f t="shared" si="73"/>
        <v>0</v>
      </c>
      <c r="T464" s="2">
        <f t="shared" si="74"/>
        <v>45852</v>
      </c>
      <c r="U464" t="str">
        <f t="shared" si="75"/>
        <v>NO PRAZO</v>
      </c>
    </row>
    <row r="465" spans="1:21" hidden="1">
      <c r="A465" s="1">
        <v>20234</v>
      </c>
      <c r="B465" t="s">
        <v>19</v>
      </c>
      <c r="C465" t="s">
        <v>13</v>
      </c>
      <c r="D465" t="s">
        <v>18</v>
      </c>
      <c r="E465" s="1">
        <v>1146</v>
      </c>
      <c r="F465" s="1">
        <v>2025</v>
      </c>
      <c r="G465" t="s">
        <v>11</v>
      </c>
      <c r="H465" s="2">
        <v>45841.500138888892</v>
      </c>
      <c r="I465" s="9">
        <f t="shared" si="67"/>
        <v>45846</v>
      </c>
      <c r="J465" s="2" t="str">
        <f t="shared" si="68"/>
        <v/>
      </c>
      <c r="L465" s="2" t="str">
        <f t="shared" si="69"/>
        <v/>
      </c>
      <c r="N465" s="10" t="str">
        <f t="shared" si="70"/>
        <v/>
      </c>
      <c r="O465" s="2">
        <f t="shared" si="71"/>
        <v>45846</v>
      </c>
      <c r="P465" s="2">
        <v>45846.439930555556</v>
      </c>
      <c r="Q465" s="2">
        <f t="shared" si="72"/>
        <v>45852</v>
      </c>
      <c r="R465" s="2">
        <v>45847.428287037037</v>
      </c>
      <c r="S465">
        <f t="shared" si="73"/>
        <v>0</v>
      </c>
      <c r="T465" s="2">
        <f t="shared" si="74"/>
        <v>45852</v>
      </c>
      <c r="U465" t="str">
        <f t="shared" si="75"/>
        <v>NO PRAZO</v>
      </c>
    </row>
    <row r="466" spans="1:21" hidden="1">
      <c r="A466" s="1">
        <v>20230</v>
      </c>
      <c r="B466" t="s">
        <v>24</v>
      </c>
      <c r="C466" t="s">
        <v>13</v>
      </c>
      <c r="D466" t="s">
        <v>18</v>
      </c>
      <c r="E466" s="1">
        <v>1142</v>
      </c>
      <c r="F466" s="1">
        <v>2025</v>
      </c>
      <c r="G466" t="s">
        <v>11</v>
      </c>
      <c r="H466" s="2">
        <v>45841.375150462962</v>
      </c>
      <c r="I466" s="9">
        <f t="shared" si="67"/>
        <v>45846</v>
      </c>
      <c r="J466" s="2" t="str">
        <f t="shared" si="68"/>
        <v/>
      </c>
      <c r="L466" s="2" t="str">
        <f t="shared" si="69"/>
        <v/>
      </c>
      <c r="N466" s="10" t="str">
        <f t="shared" si="70"/>
        <v/>
      </c>
      <c r="O466" s="2">
        <f t="shared" si="71"/>
        <v>45846</v>
      </c>
      <c r="P466" s="2">
        <v>45846.467673611114</v>
      </c>
      <c r="Q466" s="2">
        <f t="shared" si="72"/>
        <v>45852</v>
      </c>
      <c r="R466" s="2">
        <v>45846.495347222219</v>
      </c>
      <c r="S466">
        <f t="shared" si="73"/>
        <v>0</v>
      </c>
      <c r="T466" s="2">
        <f t="shared" si="74"/>
        <v>45852</v>
      </c>
      <c r="U466" t="str">
        <f t="shared" si="75"/>
        <v>NO PRAZO</v>
      </c>
    </row>
    <row r="467" spans="1:21" hidden="1">
      <c r="A467" s="1">
        <v>20229</v>
      </c>
      <c r="B467" t="s">
        <v>24</v>
      </c>
      <c r="C467" t="s">
        <v>13</v>
      </c>
      <c r="D467" t="s">
        <v>10</v>
      </c>
      <c r="E467" s="1">
        <v>1141</v>
      </c>
      <c r="F467" s="1">
        <v>2025</v>
      </c>
      <c r="G467" t="s">
        <v>11</v>
      </c>
      <c r="H467" s="2">
        <v>45841.375150462962</v>
      </c>
      <c r="I467" s="9">
        <f t="shared" si="67"/>
        <v>45842</v>
      </c>
      <c r="J467" s="2" t="str">
        <f t="shared" si="68"/>
        <v/>
      </c>
      <c r="L467" s="2" t="str">
        <f t="shared" si="69"/>
        <v/>
      </c>
      <c r="N467" s="10" t="str">
        <f t="shared" si="70"/>
        <v/>
      </c>
      <c r="O467" s="2">
        <f t="shared" si="71"/>
        <v>45842</v>
      </c>
      <c r="P467" s="2">
        <v>45841.406377314815</v>
      </c>
      <c r="Q467" s="2">
        <f t="shared" si="72"/>
        <v>45845</v>
      </c>
      <c r="R467" s="2">
        <v>45842.42895833333</v>
      </c>
      <c r="S467">
        <f t="shared" si="73"/>
        <v>0</v>
      </c>
      <c r="T467" s="2">
        <f t="shared" si="74"/>
        <v>45845</v>
      </c>
      <c r="U467" t="str">
        <f t="shared" si="75"/>
        <v>NO PRAZO</v>
      </c>
    </row>
    <row r="468" spans="1:21" hidden="1">
      <c r="A468" s="1">
        <v>20225</v>
      </c>
      <c r="B468" t="s">
        <v>12</v>
      </c>
      <c r="C468" t="s">
        <v>13</v>
      </c>
      <c r="D468" t="s">
        <v>10</v>
      </c>
      <c r="E468" s="1">
        <v>1137</v>
      </c>
      <c r="F468" s="1">
        <v>2025</v>
      </c>
      <c r="G468" t="s">
        <v>11</v>
      </c>
      <c r="H468" s="2">
        <v>45840.583472222221</v>
      </c>
      <c r="I468" s="9">
        <f t="shared" si="67"/>
        <v>45841</v>
      </c>
      <c r="J468" s="2" t="str">
        <f t="shared" si="68"/>
        <v/>
      </c>
      <c r="L468" s="2" t="str">
        <f t="shared" si="69"/>
        <v/>
      </c>
      <c r="N468" s="10" t="str">
        <f t="shared" si="70"/>
        <v/>
      </c>
      <c r="O468" s="2">
        <f t="shared" si="71"/>
        <v>45841</v>
      </c>
      <c r="P468" s="2">
        <v>45842.525856481479</v>
      </c>
      <c r="Q468" s="2">
        <f t="shared" si="72"/>
        <v>45842</v>
      </c>
      <c r="R468" s="2">
        <v>45842.526030092595</v>
      </c>
      <c r="S468">
        <f t="shared" si="73"/>
        <v>0</v>
      </c>
      <c r="T468" s="2">
        <f t="shared" si="74"/>
        <v>45842</v>
      </c>
      <c r="U468" t="str">
        <f t="shared" si="75"/>
        <v>NO PRAZO</v>
      </c>
    </row>
    <row r="469" spans="1:21" hidden="1">
      <c r="A469" s="1">
        <v>20197</v>
      </c>
      <c r="B469" t="s">
        <v>17</v>
      </c>
      <c r="C469" t="s">
        <v>13</v>
      </c>
      <c r="D469" t="s">
        <v>18</v>
      </c>
      <c r="E469" s="1">
        <v>1109</v>
      </c>
      <c r="F469" s="1">
        <v>2025</v>
      </c>
      <c r="G469" t="s">
        <v>11</v>
      </c>
      <c r="H469" s="2">
        <v>45838.500138888892</v>
      </c>
      <c r="I469" s="9">
        <f t="shared" si="67"/>
        <v>45841</v>
      </c>
      <c r="J469" s="2" t="str">
        <f t="shared" si="68"/>
        <v/>
      </c>
      <c r="L469" s="2" t="str">
        <f t="shared" si="69"/>
        <v/>
      </c>
      <c r="N469" s="10" t="str">
        <f t="shared" si="70"/>
        <v/>
      </c>
      <c r="O469" s="2">
        <f t="shared" si="71"/>
        <v>45841</v>
      </c>
      <c r="P469" s="2">
        <v>45838.656944444447</v>
      </c>
      <c r="Q469" s="2">
        <f t="shared" si="72"/>
        <v>45847</v>
      </c>
      <c r="R469" s="2">
        <v>45838.65729166667</v>
      </c>
      <c r="S469">
        <f t="shared" si="73"/>
        <v>0</v>
      </c>
      <c r="T469" s="2">
        <f t="shared" si="74"/>
        <v>45847</v>
      </c>
      <c r="U469" t="str">
        <f t="shared" si="75"/>
        <v>NO PRAZO</v>
      </c>
    </row>
    <row r="470" spans="1:21" hidden="1">
      <c r="A470" s="1">
        <v>20193</v>
      </c>
      <c r="B470" t="s">
        <v>24</v>
      </c>
      <c r="C470" t="s">
        <v>13</v>
      </c>
      <c r="D470" t="s">
        <v>14</v>
      </c>
      <c r="E470" s="1">
        <v>1105</v>
      </c>
      <c r="F470" s="1">
        <v>2025</v>
      </c>
      <c r="G470" t="s">
        <v>11</v>
      </c>
      <c r="H470" s="2">
        <v>45838.458483796298</v>
      </c>
      <c r="I470" s="9">
        <f t="shared" si="67"/>
        <v>45839</v>
      </c>
      <c r="J470" s="2" t="str">
        <f t="shared" si="68"/>
        <v/>
      </c>
      <c r="L470" s="2" t="str">
        <f t="shared" si="69"/>
        <v/>
      </c>
      <c r="N470" s="10" t="str">
        <f t="shared" si="70"/>
        <v/>
      </c>
      <c r="O470" s="2">
        <f t="shared" si="71"/>
        <v>45839</v>
      </c>
      <c r="P470" s="2">
        <v>45838.516782407409</v>
      </c>
      <c r="Q470" s="2">
        <f t="shared" si="72"/>
        <v>45840</v>
      </c>
      <c r="R470" s="2">
        <v>45838.632152777776</v>
      </c>
      <c r="S470">
        <f t="shared" si="73"/>
        <v>0</v>
      </c>
      <c r="T470" s="2">
        <f t="shared" si="74"/>
        <v>45840</v>
      </c>
      <c r="U470" t="str">
        <f t="shared" si="75"/>
        <v>NO PRAZO</v>
      </c>
    </row>
    <row r="471" spans="1:21" hidden="1">
      <c r="A471" s="1">
        <v>20187</v>
      </c>
      <c r="B471" t="s">
        <v>23</v>
      </c>
      <c r="C471" t="s">
        <v>13</v>
      </c>
      <c r="D471" t="s">
        <v>18</v>
      </c>
      <c r="E471" s="1">
        <v>1099</v>
      </c>
      <c r="F471" s="1">
        <v>2025</v>
      </c>
      <c r="G471" t="s">
        <v>11</v>
      </c>
      <c r="H471" s="2">
        <v>45835.500162037039</v>
      </c>
      <c r="I471" s="9">
        <f t="shared" si="67"/>
        <v>45840</v>
      </c>
      <c r="J471" s="2" t="str">
        <f t="shared" si="68"/>
        <v/>
      </c>
      <c r="L471" s="2" t="str">
        <f t="shared" si="69"/>
        <v/>
      </c>
      <c r="N471" s="10" t="str">
        <f t="shared" si="70"/>
        <v/>
      </c>
      <c r="O471" s="2">
        <f t="shared" si="71"/>
        <v>45840</v>
      </c>
      <c r="P471" s="2">
        <v>45838.613159722219</v>
      </c>
      <c r="Q471" s="2">
        <f t="shared" si="72"/>
        <v>45846</v>
      </c>
      <c r="R471" s="2">
        <v>45838.613275462965</v>
      </c>
      <c r="S471">
        <f t="shared" si="73"/>
        <v>0</v>
      </c>
      <c r="T471" s="2">
        <f t="shared" si="74"/>
        <v>45846</v>
      </c>
      <c r="U471" t="str">
        <f t="shared" si="75"/>
        <v>NO PRAZO</v>
      </c>
    </row>
    <row r="472" spans="1:21" hidden="1">
      <c r="A472" s="1">
        <v>20183</v>
      </c>
      <c r="B472" t="s">
        <v>12</v>
      </c>
      <c r="C472" t="s">
        <v>13</v>
      </c>
      <c r="D472" t="s">
        <v>10</v>
      </c>
      <c r="E472" s="1">
        <v>1095</v>
      </c>
      <c r="F472" s="1">
        <v>2025</v>
      </c>
      <c r="G472" t="s">
        <v>11</v>
      </c>
      <c r="H472" s="2">
        <v>45835.375138888892</v>
      </c>
      <c r="I472" s="9">
        <f t="shared" si="67"/>
        <v>45838</v>
      </c>
      <c r="J472" s="2" t="str">
        <f t="shared" si="68"/>
        <v/>
      </c>
      <c r="L472" s="2" t="str">
        <f t="shared" si="69"/>
        <v/>
      </c>
      <c r="N472" s="10" t="str">
        <f t="shared" si="70"/>
        <v/>
      </c>
      <c r="O472" s="2">
        <f t="shared" si="71"/>
        <v>45838</v>
      </c>
      <c r="P472" s="2">
        <v>45839.688807870371</v>
      </c>
      <c r="Q472" s="2">
        <f t="shared" si="72"/>
        <v>45839</v>
      </c>
      <c r="R472" s="2">
        <v>45839.69327546296</v>
      </c>
      <c r="S472">
        <f t="shared" si="73"/>
        <v>0</v>
      </c>
      <c r="T472" s="2">
        <f t="shared" si="74"/>
        <v>45839</v>
      </c>
      <c r="U472" t="str">
        <f t="shared" si="75"/>
        <v>NO PRAZO</v>
      </c>
    </row>
    <row r="473" spans="1:21" hidden="1">
      <c r="A473" s="1">
        <v>20182</v>
      </c>
      <c r="B473" t="s">
        <v>24</v>
      </c>
      <c r="C473" t="s">
        <v>13</v>
      </c>
      <c r="D473" t="s">
        <v>14</v>
      </c>
      <c r="E473" s="1">
        <v>1094</v>
      </c>
      <c r="F473" s="1">
        <v>2025</v>
      </c>
      <c r="G473" t="s">
        <v>11</v>
      </c>
      <c r="H473" s="2">
        <v>45835.375138888892</v>
      </c>
      <c r="I473" s="9">
        <f t="shared" si="67"/>
        <v>45838</v>
      </c>
      <c r="J473" s="2" t="str">
        <f t="shared" si="68"/>
        <v/>
      </c>
      <c r="L473" s="2" t="str">
        <f t="shared" si="69"/>
        <v/>
      </c>
      <c r="N473" s="10" t="str">
        <f t="shared" si="70"/>
        <v/>
      </c>
      <c r="O473" s="2">
        <f t="shared" si="71"/>
        <v>45838</v>
      </c>
      <c r="P473" s="2">
        <v>45839.770949074074</v>
      </c>
      <c r="Q473" s="2">
        <f t="shared" si="72"/>
        <v>45839</v>
      </c>
      <c r="R473" s="2">
        <v>45839.774456018517</v>
      </c>
      <c r="S473">
        <f t="shared" si="73"/>
        <v>0</v>
      </c>
      <c r="T473" s="2">
        <f t="shared" si="74"/>
        <v>45839</v>
      </c>
      <c r="U473" t="str">
        <f t="shared" si="75"/>
        <v>NO PRAZO</v>
      </c>
    </row>
    <row r="474" spans="1:21" hidden="1">
      <c r="A474" s="1">
        <v>20181</v>
      </c>
      <c r="B474" t="s">
        <v>12</v>
      </c>
      <c r="C474" t="s">
        <v>9</v>
      </c>
      <c r="D474" t="s">
        <v>18</v>
      </c>
      <c r="E474" s="1">
        <v>1093</v>
      </c>
      <c r="F474" s="1">
        <v>2025</v>
      </c>
      <c r="G474" t="s">
        <v>11</v>
      </c>
      <c r="H474" s="2">
        <v>45834.750162037039</v>
      </c>
      <c r="I474" s="9">
        <f t="shared" si="67"/>
        <v>45839</v>
      </c>
      <c r="J474" s="2" t="str">
        <f t="shared" si="68"/>
        <v/>
      </c>
      <c r="L474" s="2" t="str">
        <f t="shared" si="69"/>
        <v/>
      </c>
      <c r="N474" s="10" t="str">
        <f t="shared" si="70"/>
        <v/>
      </c>
      <c r="O474" s="2">
        <f t="shared" si="71"/>
        <v>45839</v>
      </c>
      <c r="P474" s="2">
        <v>45835.683194444442</v>
      </c>
      <c r="Q474" s="2">
        <f t="shared" si="72"/>
        <v>45845</v>
      </c>
      <c r="R474" s="2">
        <v>45835.693715277775</v>
      </c>
      <c r="S474">
        <f t="shared" si="73"/>
        <v>0</v>
      </c>
      <c r="T474" s="2">
        <f t="shared" si="74"/>
        <v>45845</v>
      </c>
      <c r="U474" t="str">
        <f t="shared" si="75"/>
        <v>NO PRAZO</v>
      </c>
    </row>
    <row r="475" spans="1:21" hidden="1">
      <c r="A475" s="1">
        <v>20178</v>
      </c>
      <c r="B475" t="s">
        <v>20</v>
      </c>
      <c r="C475" t="s">
        <v>13</v>
      </c>
      <c r="D475" t="s">
        <v>10</v>
      </c>
      <c r="E475" s="1">
        <v>1090</v>
      </c>
      <c r="F475" s="1">
        <v>2025</v>
      </c>
      <c r="G475" t="s">
        <v>11</v>
      </c>
      <c r="H475" s="2">
        <v>45834.583518518521</v>
      </c>
      <c r="I475" s="9">
        <f t="shared" si="67"/>
        <v>45835</v>
      </c>
      <c r="J475" s="2" t="str">
        <f t="shared" si="68"/>
        <v/>
      </c>
      <c r="L475" s="2" t="str">
        <f t="shared" si="69"/>
        <v/>
      </c>
      <c r="N475" s="10" t="str">
        <f t="shared" si="70"/>
        <v/>
      </c>
      <c r="O475" s="2">
        <f t="shared" si="71"/>
        <v>45835</v>
      </c>
      <c r="P475" s="2">
        <v>45838.575798611113</v>
      </c>
      <c r="Q475" s="2">
        <f t="shared" si="72"/>
        <v>45838</v>
      </c>
      <c r="R475" s="2">
        <v>45838.707800925928</v>
      </c>
      <c r="S475">
        <f t="shared" si="73"/>
        <v>0</v>
      </c>
      <c r="T475" s="2">
        <f t="shared" si="74"/>
        <v>45838</v>
      </c>
      <c r="U475" t="str">
        <f t="shared" si="75"/>
        <v>NO PRAZO</v>
      </c>
    </row>
    <row r="476" spans="1:21" hidden="1">
      <c r="A476" s="1">
        <v>20177</v>
      </c>
      <c r="B476" t="s">
        <v>20</v>
      </c>
      <c r="C476" t="s">
        <v>13</v>
      </c>
      <c r="D476" t="s">
        <v>18</v>
      </c>
      <c r="E476" s="1">
        <v>1089</v>
      </c>
      <c r="F476" s="1">
        <v>2025</v>
      </c>
      <c r="G476" t="s">
        <v>11</v>
      </c>
      <c r="H476" s="2">
        <v>45834.583518518521</v>
      </c>
      <c r="I476" s="9">
        <f t="shared" si="67"/>
        <v>45839</v>
      </c>
      <c r="J476" s="2" t="str">
        <f t="shared" si="68"/>
        <v/>
      </c>
      <c r="L476" s="2" t="str">
        <f t="shared" si="69"/>
        <v/>
      </c>
      <c r="N476" s="10" t="str">
        <f t="shared" si="70"/>
        <v/>
      </c>
      <c r="O476" s="2">
        <f t="shared" si="71"/>
        <v>45839</v>
      </c>
      <c r="P476" s="2">
        <v>45840.345810185187</v>
      </c>
      <c r="Q476" s="2">
        <f t="shared" si="72"/>
        <v>45845</v>
      </c>
      <c r="R476" s="2">
        <v>45840.546111111114</v>
      </c>
      <c r="S476">
        <f t="shared" si="73"/>
        <v>0</v>
      </c>
      <c r="T476" s="2">
        <f t="shared" si="74"/>
        <v>45845</v>
      </c>
      <c r="U476" t="str">
        <f t="shared" si="75"/>
        <v>NO PRAZO</v>
      </c>
    </row>
    <row r="477" spans="1:21" hidden="1">
      <c r="A477" s="1">
        <v>20172</v>
      </c>
      <c r="B477" t="s">
        <v>17</v>
      </c>
      <c r="C477" t="s">
        <v>13</v>
      </c>
      <c r="D477" t="s">
        <v>18</v>
      </c>
      <c r="E477" s="1">
        <v>1084</v>
      </c>
      <c r="F477" s="1">
        <v>2025</v>
      </c>
      <c r="G477" t="s">
        <v>11</v>
      </c>
      <c r="H477" s="2">
        <v>45834.41684027778</v>
      </c>
      <c r="I477" s="9">
        <f t="shared" si="67"/>
        <v>45839</v>
      </c>
      <c r="J477" s="2" t="str">
        <f t="shared" si="68"/>
        <v/>
      </c>
      <c r="L477" s="2" t="str">
        <f t="shared" si="69"/>
        <v/>
      </c>
      <c r="N477" s="10" t="str">
        <f t="shared" si="70"/>
        <v/>
      </c>
      <c r="O477" s="2">
        <f t="shared" si="71"/>
        <v>45839</v>
      </c>
      <c r="P477" s="2">
        <v>45838.613726851851</v>
      </c>
      <c r="Q477" s="2">
        <f t="shared" si="72"/>
        <v>45845</v>
      </c>
      <c r="R477" s="2">
        <v>45838.613877314812</v>
      </c>
      <c r="S477">
        <f t="shared" si="73"/>
        <v>0</v>
      </c>
      <c r="T477" s="2">
        <f t="shared" si="74"/>
        <v>45845</v>
      </c>
      <c r="U477" t="str">
        <f t="shared" si="75"/>
        <v>NO PRAZO</v>
      </c>
    </row>
    <row r="478" spans="1:21">
      <c r="A478" s="1">
        <v>20171</v>
      </c>
      <c r="B478" t="s">
        <v>24</v>
      </c>
      <c r="C478" t="s">
        <v>9</v>
      </c>
      <c r="D478" t="s">
        <v>14</v>
      </c>
      <c r="E478" s="1">
        <v>1083</v>
      </c>
      <c r="F478" s="1">
        <v>2025</v>
      </c>
      <c r="G478" t="s">
        <v>11</v>
      </c>
      <c r="H478" s="2">
        <v>45834.375185185185</v>
      </c>
      <c r="I478" s="9">
        <f t="shared" si="67"/>
        <v>45835</v>
      </c>
      <c r="J478" s="2" t="str">
        <f t="shared" si="68"/>
        <v/>
      </c>
      <c r="L478" s="2" t="str">
        <f t="shared" si="69"/>
        <v/>
      </c>
      <c r="N478" s="10" t="str">
        <f t="shared" si="70"/>
        <v/>
      </c>
      <c r="O478" s="2">
        <f t="shared" si="71"/>
        <v>45835</v>
      </c>
      <c r="P478" s="2">
        <v>45839.771122685182</v>
      </c>
      <c r="Q478" s="2">
        <f t="shared" si="72"/>
        <v>45838</v>
      </c>
      <c r="R478" s="2">
        <v>45839.774386574078</v>
      </c>
      <c r="S478">
        <f t="shared" si="73"/>
        <v>1</v>
      </c>
      <c r="T478" s="2">
        <f t="shared" si="74"/>
        <v>45838</v>
      </c>
      <c r="U478" t="str">
        <f t="shared" si="75"/>
        <v>ATRASO</v>
      </c>
    </row>
    <row r="479" spans="1:21" hidden="1">
      <c r="A479" s="1">
        <v>20167</v>
      </c>
      <c r="B479" t="s">
        <v>19</v>
      </c>
      <c r="C479" t="s">
        <v>13</v>
      </c>
      <c r="D479" t="s">
        <v>18</v>
      </c>
      <c r="E479" s="1">
        <v>1079</v>
      </c>
      <c r="F479" s="1">
        <v>2025</v>
      </c>
      <c r="G479" t="s">
        <v>11</v>
      </c>
      <c r="H479" s="2">
        <v>45833.625162037039</v>
      </c>
      <c r="I479" s="9">
        <f t="shared" si="67"/>
        <v>45838</v>
      </c>
      <c r="J479" s="2" t="str">
        <f t="shared" si="68"/>
        <v/>
      </c>
      <c r="L479" s="2" t="str">
        <f t="shared" si="69"/>
        <v/>
      </c>
      <c r="N479" s="10" t="str">
        <f t="shared" si="70"/>
        <v/>
      </c>
      <c r="O479" s="2">
        <f t="shared" si="71"/>
        <v>45838</v>
      </c>
      <c r="P479" s="2">
        <v>45839.436273148145</v>
      </c>
      <c r="Q479" s="2">
        <f t="shared" si="72"/>
        <v>45842</v>
      </c>
      <c r="R479" s="2">
        <v>45839.50309027778</v>
      </c>
      <c r="S479">
        <f t="shared" si="73"/>
        <v>0</v>
      </c>
      <c r="T479" s="2">
        <f t="shared" si="74"/>
        <v>45842</v>
      </c>
      <c r="U479" t="str">
        <f t="shared" si="75"/>
        <v>NO PRAZO</v>
      </c>
    </row>
    <row r="480" spans="1:21" hidden="1">
      <c r="A480" s="1">
        <v>20166</v>
      </c>
      <c r="B480" t="s">
        <v>12</v>
      </c>
      <c r="C480" t="s">
        <v>13</v>
      </c>
      <c r="D480" t="s">
        <v>16</v>
      </c>
      <c r="E480" s="1">
        <v>1078</v>
      </c>
      <c r="F480" s="1">
        <v>2025</v>
      </c>
      <c r="G480" t="s">
        <v>11</v>
      </c>
      <c r="H480" s="2">
        <v>45833.617326388892</v>
      </c>
      <c r="I480" s="9">
        <f t="shared" si="67"/>
        <v>45834</v>
      </c>
      <c r="J480" s="2" t="str">
        <f t="shared" si="68"/>
        <v/>
      </c>
      <c r="L480" s="2" t="str">
        <f t="shared" si="69"/>
        <v/>
      </c>
      <c r="N480" s="10" t="str">
        <f t="shared" si="70"/>
        <v/>
      </c>
      <c r="O480" s="2">
        <f t="shared" si="71"/>
        <v>45834</v>
      </c>
      <c r="P480" s="2">
        <v>45834.427569444444</v>
      </c>
      <c r="Q480" s="2">
        <f t="shared" si="72"/>
        <v>45840</v>
      </c>
      <c r="R480" s="2">
        <v>45834.448067129626</v>
      </c>
      <c r="S480">
        <f t="shared" si="73"/>
        <v>0</v>
      </c>
      <c r="T480" s="2">
        <f t="shared" si="74"/>
        <v>45840</v>
      </c>
      <c r="U480" t="str">
        <f t="shared" si="75"/>
        <v>NO PRAZO</v>
      </c>
    </row>
    <row r="481" spans="1:21">
      <c r="A481" s="1">
        <v>20164</v>
      </c>
      <c r="B481" t="s">
        <v>24</v>
      </c>
      <c r="C481" t="s">
        <v>13</v>
      </c>
      <c r="D481" t="s">
        <v>14</v>
      </c>
      <c r="E481" s="1">
        <v>1076</v>
      </c>
      <c r="F481" s="1">
        <v>2025</v>
      </c>
      <c r="G481" t="s">
        <v>11</v>
      </c>
      <c r="H481" s="2">
        <v>45833.458518518521</v>
      </c>
      <c r="I481" s="9">
        <f t="shared" si="67"/>
        <v>45834</v>
      </c>
      <c r="J481" s="2" t="str">
        <f t="shared" si="68"/>
        <v/>
      </c>
      <c r="L481" s="2" t="str">
        <f t="shared" si="69"/>
        <v/>
      </c>
      <c r="N481" s="10" t="str">
        <f t="shared" si="70"/>
        <v/>
      </c>
      <c r="O481" s="2">
        <f t="shared" si="71"/>
        <v>45834</v>
      </c>
      <c r="P481" s="2">
        <v>45839.769108796296</v>
      </c>
      <c r="Q481" s="2">
        <f t="shared" si="72"/>
        <v>45835</v>
      </c>
      <c r="R481" s="2">
        <v>45839.770775462966</v>
      </c>
      <c r="S481">
        <f t="shared" si="73"/>
        <v>4</v>
      </c>
      <c r="T481" s="2">
        <f t="shared" si="74"/>
        <v>45835</v>
      </c>
      <c r="U481" t="str">
        <f t="shared" si="75"/>
        <v>ATRASO</v>
      </c>
    </row>
    <row r="482" spans="1:21" hidden="1">
      <c r="A482" s="1">
        <v>20159</v>
      </c>
      <c r="B482" t="s">
        <v>19</v>
      </c>
      <c r="C482" t="s">
        <v>13</v>
      </c>
      <c r="D482" t="s">
        <v>18</v>
      </c>
      <c r="E482" s="1">
        <v>1071</v>
      </c>
      <c r="F482" s="1">
        <v>2025</v>
      </c>
      <c r="G482" t="s">
        <v>11</v>
      </c>
      <c r="H482" s="2">
        <v>45832.500173611108</v>
      </c>
      <c r="I482" s="9">
        <f t="shared" si="67"/>
        <v>45835</v>
      </c>
      <c r="J482" s="2" t="str">
        <f t="shared" si="68"/>
        <v/>
      </c>
      <c r="L482" s="2" t="str">
        <f t="shared" si="69"/>
        <v/>
      </c>
      <c r="N482" s="10" t="str">
        <f t="shared" si="70"/>
        <v/>
      </c>
      <c r="O482" s="2">
        <f t="shared" si="71"/>
        <v>45835</v>
      </c>
      <c r="P482" s="2">
        <v>45833.505335648151</v>
      </c>
      <c r="Q482" s="2">
        <f t="shared" si="72"/>
        <v>45841</v>
      </c>
      <c r="R482" s="2">
        <v>45833.50545138889</v>
      </c>
      <c r="S482">
        <f t="shared" si="73"/>
        <v>0</v>
      </c>
      <c r="T482" s="2">
        <f t="shared" si="74"/>
        <v>45841</v>
      </c>
      <c r="U482" t="str">
        <f t="shared" si="75"/>
        <v>NO PRAZO</v>
      </c>
    </row>
    <row r="483" spans="1:21" hidden="1">
      <c r="A483" s="1">
        <v>20151</v>
      </c>
      <c r="B483" t="s">
        <v>24</v>
      </c>
      <c r="C483" t="s">
        <v>13</v>
      </c>
      <c r="D483" t="s">
        <v>18</v>
      </c>
      <c r="E483" s="1">
        <v>1063</v>
      </c>
      <c r="F483" s="1">
        <v>2025</v>
      </c>
      <c r="G483" t="s">
        <v>11</v>
      </c>
      <c r="H483" s="2">
        <v>45831.514884259261</v>
      </c>
      <c r="I483" s="9">
        <f t="shared" si="67"/>
        <v>45834</v>
      </c>
      <c r="J483" s="2" t="str">
        <f t="shared" si="68"/>
        <v/>
      </c>
      <c r="L483" s="2" t="str">
        <f t="shared" si="69"/>
        <v/>
      </c>
      <c r="N483" s="10" t="str">
        <f t="shared" si="70"/>
        <v/>
      </c>
      <c r="O483" s="2">
        <f t="shared" si="71"/>
        <v>45834</v>
      </c>
      <c r="P483" s="2">
        <v>45831.517488425925</v>
      </c>
      <c r="Q483" s="2">
        <f t="shared" si="72"/>
        <v>45840</v>
      </c>
      <c r="R483" s="2">
        <v>45831.519236111111</v>
      </c>
      <c r="S483">
        <f t="shared" si="73"/>
        <v>0</v>
      </c>
      <c r="T483" s="2">
        <f t="shared" si="74"/>
        <v>45840</v>
      </c>
      <c r="U483" t="str">
        <f t="shared" si="75"/>
        <v>NO PRAZO</v>
      </c>
    </row>
    <row r="484" spans="1:21" hidden="1">
      <c r="A484" s="1">
        <v>20150</v>
      </c>
      <c r="B484" t="s">
        <v>12</v>
      </c>
      <c r="C484" t="s">
        <v>9</v>
      </c>
      <c r="D484" t="s">
        <v>10</v>
      </c>
      <c r="E484" s="1">
        <v>1062</v>
      </c>
      <c r="F484" s="1">
        <v>2025</v>
      </c>
      <c r="G484" t="s">
        <v>11</v>
      </c>
      <c r="H484" s="2">
        <v>45831.500138888892</v>
      </c>
      <c r="I484" s="9">
        <f t="shared" si="67"/>
        <v>45832</v>
      </c>
      <c r="J484" s="2" t="str">
        <f t="shared" si="68"/>
        <v/>
      </c>
      <c r="L484" s="2" t="str">
        <f t="shared" si="69"/>
        <v/>
      </c>
      <c r="N484" s="10" t="str">
        <f t="shared" si="70"/>
        <v/>
      </c>
      <c r="O484" s="2">
        <f t="shared" si="71"/>
        <v>45832</v>
      </c>
      <c r="P484" s="2">
        <v>45831.698483796295</v>
      </c>
      <c r="Q484" s="2">
        <f t="shared" si="72"/>
        <v>45833</v>
      </c>
      <c r="R484" s="2">
        <v>45831.773425925923</v>
      </c>
      <c r="S484">
        <f t="shared" si="73"/>
        <v>0</v>
      </c>
      <c r="T484" s="2">
        <f t="shared" si="74"/>
        <v>45833</v>
      </c>
      <c r="U484" t="str">
        <f t="shared" si="75"/>
        <v>NO PRAZO</v>
      </c>
    </row>
    <row r="485" spans="1:21" hidden="1">
      <c r="A485" s="1">
        <v>20148</v>
      </c>
      <c r="B485" t="s">
        <v>8</v>
      </c>
      <c r="C485" t="s">
        <v>9</v>
      </c>
      <c r="D485" t="s">
        <v>18</v>
      </c>
      <c r="E485" s="1">
        <v>1060</v>
      </c>
      <c r="F485" s="1">
        <v>2025</v>
      </c>
      <c r="G485" t="s">
        <v>11</v>
      </c>
      <c r="H485" s="2">
        <v>45831.416817129626</v>
      </c>
      <c r="I485" s="9">
        <f t="shared" si="67"/>
        <v>45834</v>
      </c>
      <c r="J485" s="2" t="str">
        <f t="shared" si="68"/>
        <v/>
      </c>
      <c r="L485" s="2" t="str">
        <f t="shared" si="69"/>
        <v/>
      </c>
      <c r="N485" s="10" t="str">
        <f t="shared" si="70"/>
        <v/>
      </c>
      <c r="O485" s="2">
        <f t="shared" si="71"/>
        <v>45834</v>
      </c>
      <c r="P485" s="2">
        <v>45832.446759259263</v>
      </c>
      <c r="Q485" s="2">
        <f t="shared" si="72"/>
        <v>45840</v>
      </c>
      <c r="R485" s="2">
        <v>45832.446921296294</v>
      </c>
      <c r="S485">
        <f t="shared" si="73"/>
        <v>0</v>
      </c>
      <c r="T485" s="2">
        <f t="shared" si="74"/>
        <v>45840</v>
      </c>
      <c r="U485" t="str">
        <f t="shared" si="75"/>
        <v>NO PRAZO</v>
      </c>
    </row>
    <row r="486" spans="1:21" hidden="1">
      <c r="A486" s="1">
        <v>20147</v>
      </c>
      <c r="B486" t="s">
        <v>19</v>
      </c>
      <c r="C486" t="s">
        <v>13</v>
      </c>
      <c r="D486" t="s">
        <v>18</v>
      </c>
      <c r="E486" s="1">
        <v>1059</v>
      </c>
      <c r="F486" s="1">
        <v>2025</v>
      </c>
      <c r="G486" t="s">
        <v>11</v>
      </c>
      <c r="H486" s="2">
        <v>45831.409675925926</v>
      </c>
      <c r="I486" s="9">
        <f t="shared" si="67"/>
        <v>45834</v>
      </c>
      <c r="J486" s="2" t="str">
        <f t="shared" si="68"/>
        <v/>
      </c>
      <c r="L486" s="2" t="str">
        <f t="shared" si="69"/>
        <v/>
      </c>
      <c r="N486" s="10" t="str">
        <f t="shared" si="70"/>
        <v/>
      </c>
      <c r="O486" s="2">
        <f t="shared" si="71"/>
        <v>45834</v>
      </c>
      <c r="P486" s="2">
        <v>45831.414386574077</v>
      </c>
      <c r="Q486" s="2">
        <f t="shared" si="72"/>
        <v>45840</v>
      </c>
      <c r="R486" s="2">
        <v>45832.705555555556</v>
      </c>
      <c r="S486">
        <f t="shared" si="73"/>
        <v>0</v>
      </c>
      <c r="T486" s="2">
        <f t="shared" si="74"/>
        <v>45840</v>
      </c>
      <c r="U486" t="str">
        <f t="shared" si="75"/>
        <v>NO PRAZO</v>
      </c>
    </row>
    <row r="487" spans="1:21" hidden="1">
      <c r="A487" s="1">
        <v>20142</v>
      </c>
      <c r="B487" t="s">
        <v>17</v>
      </c>
      <c r="C487" t="s">
        <v>13</v>
      </c>
      <c r="D487" t="s">
        <v>18</v>
      </c>
      <c r="E487" s="1">
        <v>1054</v>
      </c>
      <c r="F487" s="1">
        <v>2025</v>
      </c>
      <c r="G487" t="s">
        <v>11</v>
      </c>
      <c r="H487" s="2">
        <v>45826.70853009259</v>
      </c>
      <c r="I487" s="9">
        <f t="shared" si="67"/>
        <v>45832</v>
      </c>
      <c r="J487" s="2" t="str">
        <f t="shared" si="68"/>
        <v/>
      </c>
      <c r="L487" s="2" t="str">
        <f t="shared" si="69"/>
        <v/>
      </c>
      <c r="N487" s="10" t="str">
        <f t="shared" si="70"/>
        <v/>
      </c>
      <c r="O487" s="2">
        <f t="shared" si="71"/>
        <v>45832</v>
      </c>
      <c r="P487" s="2">
        <v>45832.6093287037</v>
      </c>
      <c r="Q487" s="2">
        <f t="shared" si="72"/>
        <v>45838</v>
      </c>
      <c r="R487" s="2">
        <v>45832.609432870369</v>
      </c>
      <c r="S487">
        <f t="shared" si="73"/>
        <v>0</v>
      </c>
      <c r="T487" s="2">
        <f t="shared" si="74"/>
        <v>45838</v>
      </c>
      <c r="U487" t="str">
        <f t="shared" si="75"/>
        <v>NO PRAZO</v>
      </c>
    </row>
    <row r="488" spans="1:21" hidden="1">
      <c r="A488" s="1">
        <v>20140</v>
      </c>
      <c r="B488" t="s">
        <v>12</v>
      </c>
      <c r="C488" t="s">
        <v>13</v>
      </c>
      <c r="D488" t="s">
        <v>21</v>
      </c>
      <c r="E488" s="1">
        <v>1052</v>
      </c>
      <c r="F488" s="1">
        <v>2025</v>
      </c>
      <c r="G488" t="s">
        <v>11</v>
      </c>
      <c r="H488" s="2">
        <v>45826.625173611108</v>
      </c>
      <c r="I488" s="9">
        <f t="shared" si="67"/>
        <v>45832</v>
      </c>
      <c r="J488" s="2">
        <f t="shared" si="68"/>
        <v>45832</v>
      </c>
      <c r="K488" s="2">
        <v>45839.736354166664</v>
      </c>
      <c r="L488" s="2">
        <f t="shared" si="69"/>
        <v>45852</v>
      </c>
      <c r="M488" s="2">
        <v>45848.71675925926</v>
      </c>
      <c r="N488" s="10">
        <f t="shared" si="70"/>
        <v>0</v>
      </c>
      <c r="O488" s="2">
        <f t="shared" si="71"/>
        <v>45853</v>
      </c>
      <c r="P488" s="2">
        <v>45852.572395833333</v>
      </c>
      <c r="Q488" s="2">
        <f t="shared" si="72"/>
        <v>45880</v>
      </c>
      <c r="R488" s="2">
        <v>45860.487118055556</v>
      </c>
      <c r="S488">
        <f t="shared" si="73"/>
        <v>0</v>
      </c>
      <c r="T488" s="2">
        <f t="shared" si="74"/>
        <v>45880</v>
      </c>
      <c r="U488" t="str">
        <f t="shared" si="75"/>
        <v>NO PRAZO</v>
      </c>
    </row>
    <row r="489" spans="1:21">
      <c r="A489" s="1">
        <v>20135</v>
      </c>
      <c r="B489" t="s">
        <v>20</v>
      </c>
      <c r="C489" t="s">
        <v>13</v>
      </c>
      <c r="D489" t="s">
        <v>14</v>
      </c>
      <c r="E489" s="1">
        <v>1047</v>
      </c>
      <c r="F489" s="1">
        <v>2025</v>
      </c>
      <c r="G489" t="s">
        <v>11</v>
      </c>
      <c r="H489" s="2">
        <v>45826.500150462962</v>
      </c>
      <c r="I489" s="9">
        <f t="shared" si="67"/>
        <v>45828</v>
      </c>
      <c r="J489" s="2" t="str">
        <f t="shared" si="68"/>
        <v/>
      </c>
      <c r="L489" s="2" t="str">
        <f t="shared" si="69"/>
        <v/>
      </c>
      <c r="N489" s="10" t="str">
        <f t="shared" si="70"/>
        <v/>
      </c>
      <c r="O489" s="2">
        <f t="shared" si="71"/>
        <v>45828</v>
      </c>
      <c r="P489" s="2">
        <v>45832.71197916667</v>
      </c>
      <c r="Q489" s="2">
        <f t="shared" si="72"/>
        <v>45831</v>
      </c>
      <c r="R489" s="2">
        <v>45832.786585648151</v>
      </c>
      <c r="S489">
        <f t="shared" si="73"/>
        <v>1</v>
      </c>
      <c r="T489" s="2">
        <f t="shared" si="74"/>
        <v>45831</v>
      </c>
      <c r="U489" t="str">
        <f t="shared" si="75"/>
        <v>ATRASO</v>
      </c>
    </row>
    <row r="490" spans="1:21" hidden="1">
      <c r="A490" s="1">
        <v>20128</v>
      </c>
      <c r="B490" t="s">
        <v>17</v>
      </c>
      <c r="C490" t="s">
        <v>13</v>
      </c>
      <c r="D490" t="s">
        <v>18</v>
      </c>
      <c r="E490" s="1">
        <v>1040</v>
      </c>
      <c r="F490" s="1">
        <v>2025</v>
      </c>
      <c r="G490" t="s">
        <v>11</v>
      </c>
      <c r="H490" s="2">
        <v>45825.750173611108</v>
      </c>
      <c r="I490" s="9">
        <f t="shared" si="67"/>
        <v>45831</v>
      </c>
      <c r="J490" s="2" t="str">
        <f t="shared" si="68"/>
        <v/>
      </c>
      <c r="L490" s="2" t="str">
        <f t="shared" si="69"/>
        <v/>
      </c>
      <c r="N490" s="10" t="str">
        <f t="shared" si="70"/>
        <v/>
      </c>
      <c r="O490" s="2">
        <f t="shared" si="71"/>
        <v>45831</v>
      </c>
      <c r="P490" s="2">
        <v>45832.419224537036</v>
      </c>
      <c r="Q490" s="2">
        <f t="shared" si="72"/>
        <v>45835</v>
      </c>
      <c r="R490" s="2">
        <v>45832.419537037036</v>
      </c>
      <c r="S490">
        <f t="shared" si="73"/>
        <v>0</v>
      </c>
      <c r="T490" s="2">
        <f t="shared" si="74"/>
        <v>45835</v>
      </c>
      <c r="U490" t="str">
        <f t="shared" si="75"/>
        <v>NO PRAZO</v>
      </c>
    </row>
    <row r="491" spans="1:21">
      <c r="A491" s="1">
        <v>20113</v>
      </c>
      <c r="B491" t="s">
        <v>20</v>
      </c>
      <c r="C491" t="s">
        <v>13</v>
      </c>
      <c r="D491" t="s">
        <v>18</v>
      </c>
      <c r="E491" s="1">
        <v>1025</v>
      </c>
      <c r="F491" s="1">
        <v>2025</v>
      </c>
      <c r="G491" t="s">
        <v>11</v>
      </c>
      <c r="H491" s="2">
        <v>45824.583506944444</v>
      </c>
      <c r="I491" s="9">
        <f t="shared" si="67"/>
        <v>45828</v>
      </c>
      <c r="J491" s="2">
        <f t="shared" si="68"/>
        <v>45828</v>
      </c>
      <c r="K491" s="2">
        <v>45826.531053240738</v>
      </c>
      <c r="L491" s="2">
        <f t="shared" si="69"/>
        <v>45848</v>
      </c>
      <c r="M491" s="2">
        <v>45826.531134259261</v>
      </c>
      <c r="N491" s="10">
        <f t="shared" si="70"/>
        <v>0</v>
      </c>
      <c r="O491" s="2">
        <f t="shared" si="71"/>
        <v>45849</v>
      </c>
      <c r="P491" s="2">
        <v>45825.64570601852</v>
      </c>
      <c r="Q491" s="2">
        <f t="shared" si="72"/>
        <v>45855</v>
      </c>
      <c r="R491" s="2">
        <v>45835.593715277777</v>
      </c>
      <c r="S491">
        <f t="shared" si="73"/>
        <v>0</v>
      </c>
      <c r="T491" s="2">
        <f t="shared" si="74"/>
        <v>45834</v>
      </c>
      <c r="U491" t="str">
        <f t="shared" si="75"/>
        <v>ATRASO</v>
      </c>
    </row>
    <row r="492" spans="1:21" hidden="1">
      <c r="A492" s="1">
        <v>20112</v>
      </c>
      <c r="B492" t="s">
        <v>12</v>
      </c>
      <c r="C492" t="s">
        <v>13</v>
      </c>
      <c r="D492" t="s">
        <v>10</v>
      </c>
      <c r="E492" s="1">
        <v>1024</v>
      </c>
      <c r="F492" s="1">
        <v>2025</v>
      </c>
      <c r="G492" t="s">
        <v>11</v>
      </c>
      <c r="H492" s="2">
        <v>45824.583506944444</v>
      </c>
      <c r="I492" s="9">
        <f t="shared" si="67"/>
        <v>45825</v>
      </c>
      <c r="J492" s="2" t="str">
        <f t="shared" si="68"/>
        <v/>
      </c>
      <c r="L492" s="2" t="str">
        <f t="shared" si="69"/>
        <v/>
      </c>
      <c r="N492" s="10" t="str">
        <f t="shared" si="70"/>
        <v/>
      </c>
      <c r="O492" s="2">
        <f t="shared" si="71"/>
        <v>45825</v>
      </c>
      <c r="P492" s="2">
        <v>45826.758703703701</v>
      </c>
      <c r="Q492" s="2">
        <f t="shared" si="72"/>
        <v>45826</v>
      </c>
      <c r="R492" s="2">
        <v>45826.761006944442</v>
      </c>
      <c r="S492">
        <f t="shared" si="73"/>
        <v>0</v>
      </c>
      <c r="T492" s="2">
        <f t="shared" si="74"/>
        <v>45826</v>
      </c>
      <c r="U492" t="str">
        <f t="shared" si="75"/>
        <v>NO PRAZO</v>
      </c>
    </row>
    <row r="493" spans="1:21" hidden="1">
      <c r="A493" s="1">
        <v>20109</v>
      </c>
      <c r="B493" t="s">
        <v>23</v>
      </c>
      <c r="C493" t="s">
        <v>13</v>
      </c>
      <c r="D493" t="s">
        <v>18</v>
      </c>
      <c r="E493" s="1">
        <v>1021</v>
      </c>
      <c r="F493" s="1">
        <v>2025</v>
      </c>
      <c r="G493" t="s">
        <v>11</v>
      </c>
      <c r="H493" s="2">
        <v>45824.416956018518</v>
      </c>
      <c r="I493" s="9">
        <f t="shared" si="67"/>
        <v>45828</v>
      </c>
      <c r="J493" s="2" t="str">
        <f t="shared" si="68"/>
        <v/>
      </c>
      <c r="L493" s="2" t="str">
        <f t="shared" si="69"/>
        <v/>
      </c>
      <c r="N493" s="10" t="str">
        <f t="shared" si="70"/>
        <v/>
      </c>
      <c r="O493" s="2">
        <f t="shared" si="71"/>
        <v>45828</v>
      </c>
      <c r="P493" s="2">
        <v>45825.393495370372</v>
      </c>
      <c r="Q493" s="2">
        <f t="shared" si="72"/>
        <v>45834</v>
      </c>
      <c r="R493" s="2">
        <v>45825.404189814813</v>
      </c>
      <c r="S493">
        <f t="shared" si="73"/>
        <v>0</v>
      </c>
      <c r="T493" s="2">
        <f t="shared" si="74"/>
        <v>45834</v>
      </c>
      <c r="U493" t="str">
        <f t="shared" si="75"/>
        <v>NO PRAZO</v>
      </c>
    </row>
    <row r="494" spans="1:21" hidden="1">
      <c r="A494" s="1">
        <v>20103</v>
      </c>
      <c r="B494" t="s">
        <v>8</v>
      </c>
      <c r="C494" t="s">
        <v>9</v>
      </c>
      <c r="D494" t="s">
        <v>10</v>
      </c>
      <c r="E494" s="1">
        <v>1015</v>
      </c>
      <c r="F494" s="1">
        <v>2025</v>
      </c>
      <c r="G494" t="s">
        <v>11</v>
      </c>
      <c r="H494" s="2">
        <v>45821.458518518521</v>
      </c>
      <c r="I494" s="9">
        <f t="shared" si="67"/>
        <v>45824</v>
      </c>
      <c r="J494" s="2" t="str">
        <f t="shared" si="68"/>
        <v/>
      </c>
      <c r="L494" s="2" t="str">
        <f t="shared" si="69"/>
        <v/>
      </c>
      <c r="N494" s="10" t="str">
        <f t="shared" si="70"/>
        <v/>
      </c>
      <c r="O494" s="2">
        <f t="shared" si="71"/>
        <v>45824</v>
      </c>
      <c r="P494" s="2">
        <v>45824.400648148148</v>
      </c>
      <c r="Q494" s="2">
        <f t="shared" si="72"/>
        <v>45825</v>
      </c>
      <c r="R494" s="2">
        <v>45824.400937500002</v>
      </c>
      <c r="S494">
        <f t="shared" si="73"/>
        <v>0</v>
      </c>
      <c r="T494" s="2">
        <f t="shared" si="74"/>
        <v>45825</v>
      </c>
      <c r="U494" t="str">
        <f t="shared" si="75"/>
        <v>NO PRAZO</v>
      </c>
    </row>
    <row r="495" spans="1:21" hidden="1">
      <c r="A495" s="1">
        <v>20101</v>
      </c>
      <c r="B495" t="s">
        <v>20</v>
      </c>
      <c r="C495" t="s">
        <v>13</v>
      </c>
      <c r="D495" t="s">
        <v>18</v>
      </c>
      <c r="E495" s="1">
        <v>1013</v>
      </c>
      <c r="F495" s="1">
        <v>2025</v>
      </c>
      <c r="G495" t="s">
        <v>11</v>
      </c>
      <c r="H495" s="2">
        <v>45820.70853009259</v>
      </c>
      <c r="I495" s="9">
        <f t="shared" si="67"/>
        <v>45825</v>
      </c>
      <c r="J495" s="2" t="str">
        <f t="shared" si="68"/>
        <v/>
      </c>
      <c r="L495" s="2" t="str">
        <f t="shared" si="69"/>
        <v/>
      </c>
      <c r="N495" s="10" t="str">
        <f t="shared" si="70"/>
        <v/>
      </c>
      <c r="O495" s="2">
        <f t="shared" si="71"/>
        <v>45825</v>
      </c>
      <c r="P495" s="2">
        <v>45824.700671296298</v>
      </c>
      <c r="Q495" s="2">
        <f t="shared" si="72"/>
        <v>45832</v>
      </c>
      <c r="R495" s="2">
        <v>45824.701053240744</v>
      </c>
      <c r="S495">
        <f t="shared" si="73"/>
        <v>0</v>
      </c>
      <c r="T495" s="2">
        <f t="shared" si="74"/>
        <v>45832</v>
      </c>
      <c r="U495" t="str">
        <f t="shared" si="75"/>
        <v>NO PRAZO</v>
      </c>
    </row>
    <row r="496" spans="1:21">
      <c r="A496" s="1">
        <v>20095</v>
      </c>
      <c r="B496" t="s">
        <v>20</v>
      </c>
      <c r="C496" t="s">
        <v>13</v>
      </c>
      <c r="D496" t="s">
        <v>16</v>
      </c>
      <c r="E496" s="1">
        <v>1007</v>
      </c>
      <c r="F496" s="1">
        <v>2025</v>
      </c>
      <c r="G496" t="s">
        <v>11</v>
      </c>
      <c r="H496" s="2">
        <v>45819.666886574072</v>
      </c>
      <c r="I496" s="9">
        <f t="shared" si="67"/>
        <v>45820</v>
      </c>
      <c r="J496" s="2" t="str">
        <f t="shared" si="68"/>
        <v/>
      </c>
      <c r="L496" s="2" t="str">
        <f t="shared" si="69"/>
        <v/>
      </c>
      <c r="N496" s="10" t="str">
        <f t="shared" si="70"/>
        <v/>
      </c>
      <c r="O496" s="2">
        <f t="shared" si="71"/>
        <v>45820</v>
      </c>
      <c r="P496" s="2">
        <v>45831.712291666663</v>
      </c>
      <c r="Q496" s="2">
        <f t="shared" si="72"/>
        <v>45826</v>
      </c>
      <c r="R496" s="2">
        <v>45831.739594907405</v>
      </c>
      <c r="S496">
        <f t="shared" si="73"/>
        <v>5</v>
      </c>
      <c r="T496" s="2">
        <f t="shared" si="74"/>
        <v>45826</v>
      </c>
      <c r="U496" t="str">
        <f t="shared" si="75"/>
        <v>ATRASO</v>
      </c>
    </row>
    <row r="497" spans="1:21" hidden="1">
      <c r="A497" s="1">
        <v>20087</v>
      </c>
      <c r="B497" t="s">
        <v>8</v>
      </c>
      <c r="C497" t="s">
        <v>13</v>
      </c>
      <c r="D497" t="s">
        <v>10</v>
      </c>
      <c r="E497" s="1">
        <v>999</v>
      </c>
      <c r="F497" s="1">
        <v>2025</v>
      </c>
      <c r="G497" t="s">
        <v>11</v>
      </c>
      <c r="H497" s="2">
        <v>45819.333506944444</v>
      </c>
      <c r="I497" s="9">
        <f t="shared" si="67"/>
        <v>45820</v>
      </c>
      <c r="J497" s="2" t="str">
        <f t="shared" si="68"/>
        <v/>
      </c>
      <c r="L497" s="2" t="str">
        <f t="shared" si="69"/>
        <v/>
      </c>
      <c r="N497" s="10" t="str">
        <f t="shared" si="70"/>
        <v/>
      </c>
      <c r="O497" s="2">
        <f t="shared" si="71"/>
        <v>45820</v>
      </c>
      <c r="P497" s="2">
        <v>45820.665312500001</v>
      </c>
      <c r="Q497" s="2">
        <f t="shared" si="72"/>
        <v>45821</v>
      </c>
      <c r="R497" s="2">
        <v>45820.705289351848</v>
      </c>
      <c r="S497">
        <f t="shared" si="73"/>
        <v>0</v>
      </c>
      <c r="T497" s="2">
        <f t="shared" si="74"/>
        <v>45821</v>
      </c>
      <c r="U497" t="str">
        <f t="shared" si="75"/>
        <v>NO PRAZO</v>
      </c>
    </row>
    <row r="498" spans="1:21" hidden="1">
      <c r="A498" s="1">
        <v>20084</v>
      </c>
      <c r="B498" t="s">
        <v>17</v>
      </c>
      <c r="C498" t="s">
        <v>13</v>
      </c>
      <c r="D498" t="s">
        <v>18</v>
      </c>
      <c r="E498" s="1">
        <v>996</v>
      </c>
      <c r="F498" s="1">
        <v>2025</v>
      </c>
      <c r="G498" t="s">
        <v>11</v>
      </c>
      <c r="H498" s="2">
        <v>45818.66684027778</v>
      </c>
      <c r="I498" s="9">
        <f t="shared" si="67"/>
        <v>45821</v>
      </c>
      <c r="J498" s="2" t="str">
        <f t="shared" si="68"/>
        <v/>
      </c>
      <c r="L498" s="2" t="str">
        <f t="shared" si="69"/>
        <v/>
      </c>
      <c r="N498" s="10" t="str">
        <f t="shared" si="70"/>
        <v/>
      </c>
      <c r="O498" s="2">
        <f t="shared" si="71"/>
        <v>45821</v>
      </c>
      <c r="P498" s="2">
        <v>45824.472662037035</v>
      </c>
      <c r="Q498" s="2">
        <f t="shared" si="72"/>
        <v>45828</v>
      </c>
      <c r="R498" s="2">
        <v>45824.472858796296</v>
      </c>
      <c r="S498">
        <f t="shared" si="73"/>
        <v>0</v>
      </c>
      <c r="T498" s="2">
        <f t="shared" si="74"/>
        <v>45828</v>
      </c>
      <c r="U498" t="str">
        <f t="shared" si="75"/>
        <v>NO PRAZO</v>
      </c>
    </row>
    <row r="499" spans="1:21" hidden="1">
      <c r="A499" s="1">
        <v>20077</v>
      </c>
      <c r="B499" t="s">
        <v>12</v>
      </c>
      <c r="C499" t="s">
        <v>13</v>
      </c>
      <c r="D499" t="s">
        <v>10</v>
      </c>
      <c r="E499" s="1">
        <v>989</v>
      </c>
      <c r="F499" s="1">
        <v>2025</v>
      </c>
      <c r="G499" t="s">
        <v>11</v>
      </c>
      <c r="H499" s="2">
        <v>45817.708506944444</v>
      </c>
      <c r="I499" s="9">
        <f t="shared" si="67"/>
        <v>45818</v>
      </c>
      <c r="J499" s="2" t="str">
        <f t="shared" si="68"/>
        <v/>
      </c>
      <c r="L499" s="2" t="str">
        <f t="shared" si="69"/>
        <v/>
      </c>
      <c r="N499" s="10" t="str">
        <f t="shared" si="70"/>
        <v/>
      </c>
      <c r="O499" s="2">
        <f t="shared" si="71"/>
        <v>45818</v>
      </c>
      <c r="P499" s="2">
        <v>45818.737233796295</v>
      </c>
      <c r="Q499" s="2">
        <f t="shared" si="72"/>
        <v>45819</v>
      </c>
      <c r="R499" s="2">
        <v>45818.73746527778</v>
      </c>
      <c r="S499">
        <f t="shared" si="73"/>
        <v>0</v>
      </c>
      <c r="T499" s="2">
        <f t="shared" si="74"/>
        <v>45819</v>
      </c>
      <c r="U499" t="str">
        <f t="shared" si="75"/>
        <v>NO PRAZO</v>
      </c>
    </row>
    <row r="500" spans="1:21" hidden="1">
      <c r="A500" s="1">
        <v>20070</v>
      </c>
      <c r="B500" t="s">
        <v>12</v>
      </c>
      <c r="C500" t="s">
        <v>13</v>
      </c>
      <c r="D500" t="s">
        <v>14</v>
      </c>
      <c r="E500" s="1">
        <v>982</v>
      </c>
      <c r="F500" s="1">
        <v>2025</v>
      </c>
      <c r="G500" t="s">
        <v>11</v>
      </c>
      <c r="H500" s="2">
        <v>45814.625173611108</v>
      </c>
      <c r="I500" s="9">
        <f t="shared" si="67"/>
        <v>45817</v>
      </c>
      <c r="J500" s="2" t="str">
        <f t="shared" si="68"/>
        <v/>
      </c>
      <c r="L500" s="2" t="str">
        <f t="shared" si="69"/>
        <v/>
      </c>
      <c r="N500" s="10" t="str">
        <f t="shared" si="70"/>
        <v/>
      </c>
      <c r="O500" s="2">
        <f t="shared" si="71"/>
        <v>45817</v>
      </c>
      <c r="P500" s="2">
        <v>45817.45716435185</v>
      </c>
      <c r="Q500" s="2">
        <f t="shared" si="72"/>
        <v>45818</v>
      </c>
      <c r="R500" s="2">
        <v>45817.599409722221</v>
      </c>
      <c r="S500">
        <f t="shared" si="73"/>
        <v>0</v>
      </c>
      <c r="T500" s="2">
        <f t="shared" si="74"/>
        <v>45818</v>
      </c>
      <c r="U500" t="str">
        <f t="shared" si="75"/>
        <v>NO PRAZO</v>
      </c>
    </row>
    <row r="501" spans="1:21" hidden="1">
      <c r="A501" s="1">
        <v>20069</v>
      </c>
      <c r="B501" t="s">
        <v>19</v>
      </c>
      <c r="C501" t="s">
        <v>13</v>
      </c>
      <c r="D501" t="s">
        <v>18</v>
      </c>
      <c r="E501" s="1">
        <v>981</v>
      </c>
      <c r="F501" s="1">
        <v>2025</v>
      </c>
      <c r="G501" t="s">
        <v>11</v>
      </c>
      <c r="H501" s="2">
        <v>45814.625173611108</v>
      </c>
      <c r="I501" s="9">
        <f t="shared" si="67"/>
        <v>45819</v>
      </c>
      <c r="J501" s="2" t="str">
        <f t="shared" si="68"/>
        <v/>
      </c>
      <c r="L501" s="2" t="str">
        <f t="shared" si="69"/>
        <v/>
      </c>
      <c r="N501" s="10" t="str">
        <f t="shared" si="70"/>
        <v/>
      </c>
      <c r="O501" s="2">
        <f t="shared" si="71"/>
        <v>45819</v>
      </c>
      <c r="P501" s="2">
        <v>45817.619780092595</v>
      </c>
      <c r="Q501" s="2">
        <f t="shared" si="72"/>
        <v>45825</v>
      </c>
      <c r="R501" s="2">
        <v>45817.619988425926</v>
      </c>
      <c r="S501">
        <f t="shared" si="73"/>
        <v>0</v>
      </c>
      <c r="T501" s="2">
        <f t="shared" si="74"/>
        <v>45825</v>
      </c>
      <c r="U501" t="str">
        <f t="shared" si="75"/>
        <v>NO PRAZO</v>
      </c>
    </row>
    <row r="502" spans="1:21" hidden="1">
      <c r="A502" s="1">
        <v>20067</v>
      </c>
      <c r="B502" t="s">
        <v>17</v>
      </c>
      <c r="C502" t="s">
        <v>13</v>
      </c>
      <c r="D502" t="s">
        <v>18</v>
      </c>
      <c r="E502" s="1">
        <v>979</v>
      </c>
      <c r="F502" s="1">
        <v>2025</v>
      </c>
      <c r="G502" t="s">
        <v>11</v>
      </c>
      <c r="H502" s="2">
        <v>45814.500208333331</v>
      </c>
      <c r="I502" s="9">
        <f t="shared" si="67"/>
        <v>45819</v>
      </c>
      <c r="J502" s="2" t="str">
        <f t="shared" si="68"/>
        <v/>
      </c>
      <c r="L502" s="2" t="str">
        <f t="shared" si="69"/>
        <v/>
      </c>
      <c r="N502" s="10" t="str">
        <f t="shared" si="70"/>
        <v/>
      </c>
      <c r="O502" s="2">
        <f t="shared" si="71"/>
        <v>45819</v>
      </c>
      <c r="P502" s="2">
        <v>45818.41988425926</v>
      </c>
      <c r="Q502" s="2">
        <f t="shared" si="72"/>
        <v>45825</v>
      </c>
      <c r="R502" s="2">
        <v>45818.561354166668</v>
      </c>
      <c r="S502">
        <f t="shared" si="73"/>
        <v>0</v>
      </c>
      <c r="T502" s="2">
        <f t="shared" si="74"/>
        <v>45825</v>
      </c>
      <c r="U502" t="str">
        <f t="shared" si="75"/>
        <v>NO PRAZO</v>
      </c>
    </row>
    <row r="503" spans="1:21" hidden="1">
      <c r="A503" s="1">
        <v>20064</v>
      </c>
      <c r="B503" t="s">
        <v>20</v>
      </c>
      <c r="C503" t="s">
        <v>13</v>
      </c>
      <c r="D503" t="s">
        <v>18</v>
      </c>
      <c r="E503" s="1">
        <v>976</v>
      </c>
      <c r="F503" s="1">
        <v>2025</v>
      </c>
      <c r="G503" t="s">
        <v>11</v>
      </c>
      <c r="H503" s="2">
        <v>45814.470405092594</v>
      </c>
      <c r="I503" s="9">
        <f t="shared" si="67"/>
        <v>45819</v>
      </c>
      <c r="J503" s="2" t="str">
        <f t="shared" si="68"/>
        <v/>
      </c>
      <c r="L503" s="2" t="str">
        <f t="shared" si="69"/>
        <v/>
      </c>
      <c r="N503" s="10" t="str">
        <f t="shared" si="70"/>
        <v/>
      </c>
      <c r="O503" s="2">
        <f t="shared" si="71"/>
        <v>45819</v>
      </c>
      <c r="P503" s="2">
        <v>45818.676400462966</v>
      </c>
      <c r="Q503" s="2">
        <f t="shared" si="72"/>
        <v>45825</v>
      </c>
      <c r="R503" s="2">
        <v>45820.396365740744</v>
      </c>
      <c r="S503">
        <f t="shared" si="73"/>
        <v>0</v>
      </c>
      <c r="T503" s="2">
        <f t="shared" si="74"/>
        <v>45825</v>
      </c>
      <c r="U503" t="str">
        <f t="shared" si="75"/>
        <v>NO PRAZO</v>
      </c>
    </row>
    <row r="504" spans="1:21" hidden="1">
      <c r="A504" s="1">
        <v>20056</v>
      </c>
      <c r="B504" t="s">
        <v>19</v>
      </c>
      <c r="C504" t="s">
        <v>13</v>
      </c>
      <c r="D504" t="s">
        <v>18</v>
      </c>
      <c r="E504" s="1">
        <v>968</v>
      </c>
      <c r="F504" s="1">
        <v>2025</v>
      </c>
      <c r="G504" t="s">
        <v>11</v>
      </c>
      <c r="H504" s="2">
        <v>45813.703506944446</v>
      </c>
      <c r="I504" s="9">
        <f t="shared" si="67"/>
        <v>45818</v>
      </c>
      <c r="J504" s="2" t="str">
        <f t="shared" si="68"/>
        <v/>
      </c>
      <c r="L504" s="2" t="str">
        <f t="shared" si="69"/>
        <v/>
      </c>
      <c r="N504" s="10" t="str">
        <f t="shared" si="70"/>
        <v/>
      </c>
      <c r="O504" s="2">
        <f t="shared" si="71"/>
        <v>45818</v>
      </c>
      <c r="P504" s="2">
        <v>45813.706608796296</v>
      </c>
      <c r="Q504" s="2">
        <f t="shared" si="72"/>
        <v>45824</v>
      </c>
      <c r="R504" s="2">
        <v>45814.646168981482</v>
      </c>
      <c r="S504">
        <f t="shared" si="73"/>
        <v>0</v>
      </c>
      <c r="T504" s="2">
        <f t="shared" si="74"/>
        <v>45824</v>
      </c>
      <c r="U504" t="str">
        <f t="shared" si="75"/>
        <v>NO PRAZO</v>
      </c>
    </row>
    <row r="505" spans="1:21" hidden="1">
      <c r="A505" s="1">
        <v>20054</v>
      </c>
      <c r="B505" t="s">
        <v>24</v>
      </c>
      <c r="C505" t="s">
        <v>13</v>
      </c>
      <c r="D505" t="s">
        <v>18</v>
      </c>
      <c r="E505" s="1">
        <v>966</v>
      </c>
      <c r="F505" s="1">
        <v>2025</v>
      </c>
      <c r="G505" t="s">
        <v>11</v>
      </c>
      <c r="H505" s="2">
        <v>45813.625173611108</v>
      </c>
      <c r="I505" s="9">
        <f t="shared" si="67"/>
        <v>45818</v>
      </c>
      <c r="J505" s="2" t="str">
        <f t="shared" si="68"/>
        <v/>
      </c>
      <c r="L505" s="2" t="str">
        <f t="shared" si="69"/>
        <v/>
      </c>
      <c r="N505" s="10" t="str">
        <f t="shared" si="70"/>
        <v/>
      </c>
      <c r="O505" s="2">
        <f t="shared" si="71"/>
        <v>45818</v>
      </c>
      <c r="P505" s="2">
        <v>45813.63590277778</v>
      </c>
      <c r="Q505" s="2">
        <f t="shared" si="72"/>
        <v>45824</v>
      </c>
      <c r="R505" s="2">
        <v>45814.606840277775</v>
      </c>
      <c r="S505">
        <f t="shared" si="73"/>
        <v>0</v>
      </c>
      <c r="T505" s="2">
        <f t="shared" si="74"/>
        <v>45824</v>
      </c>
      <c r="U505" t="str">
        <f t="shared" si="75"/>
        <v>NO PRAZO</v>
      </c>
    </row>
    <row r="506" spans="1:21" hidden="1">
      <c r="A506" s="1">
        <v>20039</v>
      </c>
      <c r="B506" t="s">
        <v>8</v>
      </c>
      <c r="C506" t="s">
        <v>9</v>
      </c>
      <c r="D506" t="s">
        <v>18</v>
      </c>
      <c r="E506" s="1">
        <v>951</v>
      </c>
      <c r="F506" s="1">
        <v>2025</v>
      </c>
      <c r="G506" t="s">
        <v>11</v>
      </c>
      <c r="H506" s="2">
        <v>45811.66684027778</v>
      </c>
      <c r="I506" s="9">
        <f t="shared" si="67"/>
        <v>45814</v>
      </c>
      <c r="J506" s="2" t="str">
        <f t="shared" si="68"/>
        <v/>
      </c>
      <c r="L506" s="2" t="str">
        <f t="shared" si="69"/>
        <v/>
      </c>
      <c r="N506" s="10" t="str">
        <f t="shared" si="70"/>
        <v/>
      </c>
      <c r="O506" s="2">
        <f t="shared" si="71"/>
        <v>45814</v>
      </c>
      <c r="P506" s="2">
        <v>45811.751307870371</v>
      </c>
      <c r="Q506" s="2">
        <f t="shared" si="72"/>
        <v>45820</v>
      </c>
      <c r="R506" s="2">
        <v>45818.755543981482</v>
      </c>
      <c r="S506">
        <f t="shared" si="73"/>
        <v>0</v>
      </c>
      <c r="T506" s="2">
        <f t="shared" si="74"/>
        <v>45820</v>
      </c>
      <c r="U506" t="str">
        <f t="shared" si="75"/>
        <v>NO PRAZO</v>
      </c>
    </row>
    <row r="507" spans="1:21" hidden="1">
      <c r="A507" s="1">
        <v>20032</v>
      </c>
      <c r="B507" t="s">
        <v>12</v>
      </c>
      <c r="C507" t="s">
        <v>13</v>
      </c>
      <c r="D507" t="s">
        <v>14</v>
      </c>
      <c r="E507" s="1">
        <v>944</v>
      </c>
      <c r="F507" s="1">
        <v>2025</v>
      </c>
      <c r="G507" t="s">
        <v>11</v>
      </c>
      <c r="H507" s="2">
        <v>45811.583506944444</v>
      </c>
      <c r="I507" s="9">
        <f t="shared" si="67"/>
        <v>45812</v>
      </c>
      <c r="J507" s="2" t="str">
        <f t="shared" si="68"/>
        <v/>
      </c>
      <c r="L507" s="2" t="str">
        <f t="shared" si="69"/>
        <v/>
      </c>
      <c r="N507" s="10" t="str">
        <f t="shared" si="70"/>
        <v/>
      </c>
      <c r="O507" s="2">
        <f t="shared" si="71"/>
        <v>45812</v>
      </c>
      <c r="P507" s="2">
        <v>45812.658935185187</v>
      </c>
      <c r="Q507" s="2">
        <f t="shared" si="72"/>
        <v>45813</v>
      </c>
      <c r="R507" s="2">
        <v>45812.714861111112</v>
      </c>
      <c r="S507">
        <f t="shared" si="73"/>
        <v>0</v>
      </c>
      <c r="T507" s="2">
        <f t="shared" si="74"/>
        <v>45813</v>
      </c>
      <c r="U507" t="str">
        <f t="shared" si="75"/>
        <v>NO PRAZO</v>
      </c>
    </row>
    <row r="508" spans="1:21" hidden="1">
      <c r="A508" s="1">
        <v>20029</v>
      </c>
      <c r="B508" t="s">
        <v>19</v>
      </c>
      <c r="C508" t="s">
        <v>13</v>
      </c>
      <c r="D508" t="s">
        <v>18</v>
      </c>
      <c r="E508" s="1">
        <v>941</v>
      </c>
      <c r="F508" s="1">
        <v>2025</v>
      </c>
      <c r="G508" t="s">
        <v>11</v>
      </c>
      <c r="H508" s="2">
        <v>45811.458495370367</v>
      </c>
      <c r="I508" s="9">
        <f t="shared" si="67"/>
        <v>45814</v>
      </c>
      <c r="J508" s="2" t="str">
        <f t="shared" si="68"/>
        <v/>
      </c>
      <c r="L508" s="2" t="str">
        <f t="shared" si="69"/>
        <v/>
      </c>
      <c r="N508" s="10" t="str">
        <f t="shared" si="70"/>
        <v/>
      </c>
      <c r="O508" s="2">
        <f t="shared" si="71"/>
        <v>45814</v>
      </c>
      <c r="P508" s="2">
        <v>45814.494317129633</v>
      </c>
      <c r="Q508" s="2">
        <f t="shared" si="72"/>
        <v>45820</v>
      </c>
      <c r="R508" s="2">
        <v>45814.494525462964</v>
      </c>
      <c r="S508">
        <f t="shared" si="73"/>
        <v>0</v>
      </c>
      <c r="T508" s="2">
        <f t="shared" si="74"/>
        <v>45820</v>
      </c>
      <c r="U508" t="str">
        <f t="shared" si="75"/>
        <v>NO PRAZO</v>
      </c>
    </row>
    <row r="509" spans="1:21" hidden="1">
      <c r="A509" s="1">
        <v>20016</v>
      </c>
      <c r="B509" t="s">
        <v>20</v>
      </c>
      <c r="C509" t="s">
        <v>13</v>
      </c>
      <c r="D509" t="s">
        <v>10</v>
      </c>
      <c r="E509" s="1">
        <v>928</v>
      </c>
      <c r="F509" s="1">
        <v>2025</v>
      </c>
      <c r="G509" t="s">
        <v>11</v>
      </c>
      <c r="H509" s="2">
        <v>45807.500185185185</v>
      </c>
      <c r="I509" s="9">
        <f t="shared" si="67"/>
        <v>45810</v>
      </c>
      <c r="J509" s="2" t="str">
        <f t="shared" si="68"/>
        <v/>
      </c>
      <c r="L509" s="2" t="str">
        <f t="shared" si="69"/>
        <v/>
      </c>
      <c r="N509" s="10" t="str">
        <f t="shared" si="70"/>
        <v/>
      </c>
      <c r="O509" s="2">
        <f t="shared" si="71"/>
        <v>45810</v>
      </c>
      <c r="P509" s="2">
        <v>45810.409328703703</v>
      </c>
      <c r="Q509" s="2">
        <f t="shared" si="72"/>
        <v>45811</v>
      </c>
      <c r="R509" s="2">
        <v>45811.602581018517</v>
      </c>
      <c r="S509">
        <f t="shared" si="73"/>
        <v>0</v>
      </c>
      <c r="T509" s="2">
        <f t="shared" si="74"/>
        <v>45811</v>
      </c>
      <c r="U509" t="str">
        <f t="shared" si="75"/>
        <v>NO PRAZO</v>
      </c>
    </row>
    <row r="510" spans="1:21" hidden="1">
      <c r="A510" s="1">
        <v>20015</v>
      </c>
      <c r="B510" t="s">
        <v>20</v>
      </c>
      <c r="C510" t="s">
        <v>13</v>
      </c>
      <c r="D510" t="s">
        <v>14</v>
      </c>
      <c r="E510" s="1">
        <v>927</v>
      </c>
      <c r="F510" s="1">
        <v>2025</v>
      </c>
      <c r="G510" t="s">
        <v>11</v>
      </c>
      <c r="H510" s="2">
        <v>45807.416828703703</v>
      </c>
      <c r="I510" s="9">
        <f t="shared" si="67"/>
        <v>45810</v>
      </c>
      <c r="J510" s="2" t="str">
        <f t="shared" si="68"/>
        <v/>
      </c>
      <c r="L510" s="2" t="str">
        <f t="shared" si="69"/>
        <v/>
      </c>
      <c r="N510" s="10" t="str">
        <f t="shared" si="70"/>
        <v/>
      </c>
      <c r="O510" s="2">
        <f t="shared" si="71"/>
        <v>45810</v>
      </c>
      <c r="P510" s="2">
        <v>45810.648368055554</v>
      </c>
      <c r="Q510" s="2">
        <f t="shared" si="72"/>
        <v>45811</v>
      </c>
      <c r="R510" s="2">
        <v>45810.72855324074</v>
      </c>
      <c r="S510">
        <f t="shared" si="73"/>
        <v>0</v>
      </c>
      <c r="T510" s="2">
        <f t="shared" si="74"/>
        <v>45811</v>
      </c>
      <c r="U510" t="str">
        <f t="shared" si="75"/>
        <v>NO PRAZO</v>
      </c>
    </row>
    <row r="511" spans="1:21" hidden="1">
      <c r="A511" s="1">
        <v>20014</v>
      </c>
      <c r="B511" t="s">
        <v>20</v>
      </c>
      <c r="C511" t="s">
        <v>13</v>
      </c>
      <c r="D511" t="s">
        <v>18</v>
      </c>
      <c r="E511" s="1">
        <v>926</v>
      </c>
      <c r="F511" s="1">
        <v>2025</v>
      </c>
      <c r="G511" t="s">
        <v>11</v>
      </c>
      <c r="H511" s="2">
        <v>45806.83353009259</v>
      </c>
      <c r="I511" s="9">
        <f t="shared" si="67"/>
        <v>45811</v>
      </c>
      <c r="J511" s="2" t="str">
        <f t="shared" si="68"/>
        <v/>
      </c>
      <c r="L511" s="2" t="str">
        <f t="shared" si="69"/>
        <v/>
      </c>
      <c r="N511" s="10" t="str">
        <f t="shared" si="70"/>
        <v/>
      </c>
      <c r="O511" s="2">
        <f t="shared" si="71"/>
        <v>45811</v>
      </c>
      <c r="P511" s="2">
        <v>45812.561863425923</v>
      </c>
      <c r="Q511" s="2">
        <f t="shared" si="72"/>
        <v>45817</v>
      </c>
      <c r="R511" s="2">
        <v>45812.562905092593</v>
      </c>
      <c r="S511">
        <f t="shared" si="73"/>
        <v>0</v>
      </c>
      <c r="T511" s="2">
        <f t="shared" si="74"/>
        <v>45817</v>
      </c>
      <c r="U511" t="str">
        <f t="shared" si="75"/>
        <v>NO PRAZO</v>
      </c>
    </row>
    <row r="512" spans="1:21" hidden="1">
      <c r="A512" s="1">
        <v>20012</v>
      </c>
      <c r="B512" t="s">
        <v>17</v>
      </c>
      <c r="C512" t="s">
        <v>13</v>
      </c>
      <c r="D512" t="s">
        <v>18</v>
      </c>
      <c r="E512" s="1">
        <v>924</v>
      </c>
      <c r="F512" s="1">
        <v>2025</v>
      </c>
      <c r="G512" t="s">
        <v>11</v>
      </c>
      <c r="H512" s="2">
        <v>45806.708506944444</v>
      </c>
      <c r="I512" s="9">
        <f t="shared" ref="I512:I575" si="76">IF(OR(D512="ORIENTAÇÃO",D512="BUG IMPEDITIVO",D512="BUG NÃO IMPEDITIVO"),WORKDAY(H512,1,Z$2:Z$500),IF(OR(D512="MELHORIA PEQUENA",D512="MELHORIA MÉDIA"),WORKDAY(H512,3,Z$2:Z$500),""))</f>
        <v>45811</v>
      </c>
      <c r="J512" s="2" t="str">
        <f t="shared" si="68"/>
        <v/>
      </c>
      <c r="L512" s="2" t="str">
        <f t="shared" si="69"/>
        <v/>
      </c>
      <c r="N512" s="10" t="str">
        <f t="shared" si="70"/>
        <v/>
      </c>
      <c r="O512" s="2">
        <f t="shared" si="71"/>
        <v>45811</v>
      </c>
      <c r="P512" s="2">
        <v>45813.692037037035</v>
      </c>
      <c r="Q512" s="2">
        <f t="shared" si="72"/>
        <v>45817</v>
      </c>
      <c r="R512" s="2">
        <v>45813.692372685182</v>
      </c>
      <c r="S512">
        <f t="shared" si="73"/>
        <v>0</v>
      </c>
      <c r="T512" s="2">
        <f t="shared" si="74"/>
        <v>45817</v>
      </c>
      <c r="U512" t="str">
        <f t="shared" si="75"/>
        <v>NO PRAZO</v>
      </c>
    </row>
    <row r="513" spans="1:21" hidden="1">
      <c r="A513" s="1">
        <v>20011</v>
      </c>
      <c r="B513" t="s">
        <v>17</v>
      </c>
      <c r="C513" t="s">
        <v>13</v>
      </c>
      <c r="D513" t="s">
        <v>18</v>
      </c>
      <c r="E513" s="1">
        <v>923</v>
      </c>
      <c r="F513" s="1">
        <v>2025</v>
      </c>
      <c r="G513" t="s">
        <v>11</v>
      </c>
      <c r="H513" s="2">
        <v>45806.708506944444</v>
      </c>
      <c r="I513" s="9">
        <f t="shared" si="76"/>
        <v>45811</v>
      </c>
      <c r="J513" s="2" t="str">
        <f t="shared" si="68"/>
        <v/>
      </c>
      <c r="L513" s="2" t="str">
        <f t="shared" si="69"/>
        <v/>
      </c>
      <c r="N513" s="10" t="str">
        <f t="shared" si="70"/>
        <v/>
      </c>
      <c r="O513" s="2">
        <f t="shared" si="71"/>
        <v>45811</v>
      </c>
      <c r="P513" s="2">
        <v>45811.3828125</v>
      </c>
      <c r="Q513" s="2">
        <f t="shared" si="72"/>
        <v>45817</v>
      </c>
      <c r="R513" s="2">
        <v>45811.410856481481</v>
      </c>
      <c r="S513">
        <f t="shared" si="73"/>
        <v>0</v>
      </c>
      <c r="T513" s="2">
        <f t="shared" si="74"/>
        <v>45817</v>
      </c>
      <c r="U513" t="str">
        <f t="shared" si="75"/>
        <v>NO PRAZO</v>
      </c>
    </row>
    <row r="514" spans="1:21" hidden="1">
      <c r="A514" s="1">
        <v>20009</v>
      </c>
      <c r="B514" t="s">
        <v>17</v>
      </c>
      <c r="C514" t="s">
        <v>13</v>
      </c>
      <c r="D514" t="s">
        <v>18</v>
      </c>
      <c r="E514" s="1">
        <v>921</v>
      </c>
      <c r="F514" s="1">
        <v>2025</v>
      </c>
      <c r="G514" t="s">
        <v>11</v>
      </c>
      <c r="H514" s="2">
        <v>45806.708506944444</v>
      </c>
      <c r="I514" s="9">
        <f t="shared" si="76"/>
        <v>45811</v>
      </c>
      <c r="J514" s="2" t="str">
        <f t="shared" si="68"/>
        <v/>
      </c>
      <c r="L514" s="2" t="str">
        <f t="shared" si="69"/>
        <v/>
      </c>
      <c r="N514" s="10" t="str">
        <f t="shared" si="70"/>
        <v/>
      </c>
      <c r="O514" s="2">
        <f t="shared" si="71"/>
        <v>45811</v>
      </c>
      <c r="P514" s="2">
        <v>45811.679386574076</v>
      </c>
      <c r="Q514" s="2">
        <f t="shared" si="72"/>
        <v>45817</v>
      </c>
      <c r="R514" s="2">
        <v>45811.680324074077</v>
      </c>
      <c r="S514">
        <f t="shared" si="73"/>
        <v>0</v>
      </c>
      <c r="T514" s="2">
        <f t="shared" si="74"/>
        <v>45817</v>
      </c>
      <c r="U514" t="str">
        <f t="shared" si="75"/>
        <v>NO PRAZO</v>
      </c>
    </row>
    <row r="515" spans="1:21" hidden="1">
      <c r="A515" s="1">
        <v>20005</v>
      </c>
      <c r="B515" t="s">
        <v>8</v>
      </c>
      <c r="C515" t="s">
        <v>9</v>
      </c>
      <c r="D515" t="s">
        <v>10</v>
      </c>
      <c r="E515" s="1">
        <v>917</v>
      </c>
      <c r="F515" s="1">
        <v>2025</v>
      </c>
      <c r="G515" t="s">
        <v>11</v>
      </c>
      <c r="H515" s="2">
        <v>45806.458506944444</v>
      </c>
      <c r="I515" s="9">
        <f t="shared" si="76"/>
        <v>45807</v>
      </c>
      <c r="J515" s="2" t="str">
        <f t="shared" ref="J515:J578" si="77">IF(K515&lt;&gt;"",I515,"")</f>
        <v/>
      </c>
      <c r="L515" s="2" t="str">
        <f t="shared" ref="L515:L578" si="78">IF(J515="","",WORKDAY(J515,14,Z$2:Z$500))</f>
        <v/>
      </c>
      <c r="N515" s="10" t="str">
        <f t="shared" ref="N515:N578" si="79">IF(M515="","",MAX(0,INT(M515)-INT(L515)))</f>
        <v/>
      </c>
      <c r="O515" s="2">
        <f t="shared" ref="O515:O578" si="80">IF(L515="",I515,WORKDAY(L515,1,Z$2:Z$500))</f>
        <v>45807</v>
      </c>
      <c r="P515" s="2">
        <v>45810.500347222223</v>
      </c>
      <c r="Q515" s="2">
        <f t="shared" ref="Q515:Q578" si="81">IF(OR(D515="ORIENTAÇÃO",D515="BUG IMPEDITIVO"),WORKDAY(O515,1,Z$2:Z$500),IF(OR(D515="MELHORIA PEQUENA",D515="BUG NÃO IMPEDITIVO"),WORKDAY(O515,4,Z$2:Z$500),IF(D515="MELHORIA MÉDIA",WORKDAY(O515,19,Z$2:Z$500),"")))</f>
        <v>45810</v>
      </c>
      <c r="R515" s="2">
        <v>45810.509525462963</v>
      </c>
      <c r="S515">
        <f t="shared" ref="S515:S578" si="82">MAX(0,INT(R515)-INT(Q515))</f>
        <v>0</v>
      </c>
      <c r="T515" s="2">
        <f t="shared" ref="T515:T578" si="83">IF(D515="MELHORIA MÉDIA",IF(K515&lt;&gt;"",WORKDAY(I515,34,$Z$2:$Z$1000),WORKDAY(I515,19,$Z$2:$Z$1000)),IF(OR(D515="MELHORIA PEQUENA",D515="BUG NÃO IMPEDITIVO"),WORKDAY(I515,4,$Z$2:$Z$1000),IF(OR(D515="ORIENTAÇÃO",D515="BUG IMPEDITIVO"),WORKDAY(I515,1,$Z$2:$Z$1000),"")))</f>
        <v>45810</v>
      </c>
      <c r="U515" t="str">
        <f t="shared" ref="U515:U578" si="84">IF(INT(R515)&lt;=INT(T515),"NO PRAZO","ATRASO")</f>
        <v>NO PRAZO</v>
      </c>
    </row>
    <row r="516" spans="1:21" hidden="1">
      <c r="A516" s="1">
        <v>20004</v>
      </c>
      <c r="B516" t="s">
        <v>20</v>
      </c>
      <c r="C516" t="s">
        <v>13</v>
      </c>
      <c r="D516" t="s">
        <v>16</v>
      </c>
      <c r="E516" s="1">
        <v>916</v>
      </c>
      <c r="F516" s="1">
        <v>2025</v>
      </c>
      <c r="G516" t="s">
        <v>11</v>
      </c>
      <c r="H516" s="2">
        <v>45805.791828703703</v>
      </c>
      <c r="I516" s="9">
        <f t="shared" si="76"/>
        <v>45806</v>
      </c>
      <c r="J516" s="2" t="str">
        <f t="shared" si="77"/>
        <v/>
      </c>
      <c r="L516" s="2" t="str">
        <f t="shared" si="78"/>
        <v/>
      </c>
      <c r="N516" s="10" t="str">
        <f t="shared" si="79"/>
        <v/>
      </c>
      <c r="O516" s="2">
        <f t="shared" si="80"/>
        <v>45806</v>
      </c>
      <c r="P516" s="2">
        <v>45810.458969907406</v>
      </c>
      <c r="Q516" s="2">
        <f t="shared" si="81"/>
        <v>45812</v>
      </c>
      <c r="R516" s="2">
        <v>45810.729953703703</v>
      </c>
      <c r="S516">
        <f t="shared" si="82"/>
        <v>0</v>
      </c>
      <c r="T516" s="2">
        <f t="shared" si="83"/>
        <v>45812</v>
      </c>
      <c r="U516" t="str">
        <f t="shared" si="84"/>
        <v>NO PRAZO</v>
      </c>
    </row>
    <row r="517" spans="1:21" hidden="1">
      <c r="A517" s="1">
        <v>19993</v>
      </c>
      <c r="B517" t="s">
        <v>17</v>
      </c>
      <c r="C517" t="s">
        <v>13</v>
      </c>
      <c r="D517" t="s">
        <v>18</v>
      </c>
      <c r="E517" s="1">
        <v>905</v>
      </c>
      <c r="F517" s="1">
        <v>2025</v>
      </c>
      <c r="G517" t="s">
        <v>11</v>
      </c>
      <c r="H517" s="2">
        <v>45804.583495370367</v>
      </c>
      <c r="I517" s="9">
        <f t="shared" si="76"/>
        <v>45807</v>
      </c>
      <c r="J517" s="2" t="str">
        <f t="shared" si="77"/>
        <v/>
      </c>
      <c r="L517" s="2" t="str">
        <f t="shared" si="78"/>
        <v/>
      </c>
      <c r="N517" s="10" t="str">
        <f t="shared" si="79"/>
        <v/>
      </c>
      <c r="O517" s="2">
        <f t="shared" si="80"/>
        <v>45807</v>
      </c>
      <c r="P517" s="2">
        <v>45811.383819444447</v>
      </c>
      <c r="Q517" s="2">
        <f t="shared" si="81"/>
        <v>45813</v>
      </c>
      <c r="R517" s="2">
        <v>45811.408518518518</v>
      </c>
      <c r="S517">
        <f t="shared" si="82"/>
        <v>0</v>
      </c>
      <c r="T517" s="2">
        <f t="shared" si="83"/>
        <v>45813</v>
      </c>
      <c r="U517" t="str">
        <f t="shared" si="84"/>
        <v>NO PRAZO</v>
      </c>
    </row>
    <row r="518" spans="1:21" hidden="1">
      <c r="A518" s="1">
        <v>19985</v>
      </c>
      <c r="B518" t="s">
        <v>22</v>
      </c>
      <c r="C518" t="s">
        <v>13</v>
      </c>
      <c r="D518" t="s">
        <v>10</v>
      </c>
      <c r="E518" s="1">
        <v>897</v>
      </c>
      <c r="F518" s="1">
        <v>2025</v>
      </c>
      <c r="G518" t="s">
        <v>11</v>
      </c>
      <c r="H518" s="2">
        <v>45804.375150462962</v>
      </c>
      <c r="I518" s="9">
        <f t="shared" si="76"/>
        <v>45805</v>
      </c>
      <c r="J518" s="2" t="str">
        <f t="shared" si="77"/>
        <v/>
      </c>
      <c r="L518" s="2" t="str">
        <f t="shared" si="78"/>
        <v/>
      </c>
      <c r="N518" s="10" t="str">
        <f t="shared" si="79"/>
        <v/>
      </c>
      <c r="O518" s="2">
        <f t="shared" si="80"/>
        <v>45805</v>
      </c>
      <c r="P518" s="2">
        <v>45805.390601851854</v>
      </c>
      <c r="Q518" s="2">
        <f t="shared" si="81"/>
        <v>45806</v>
      </c>
      <c r="R518" s="2">
        <v>45806.413437499999</v>
      </c>
      <c r="S518">
        <f t="shared" si="82"/>
        <v>0</v>
      </c>
      <c r="T518" s="2">
        <f t="shared" si="83"/>
        <v>45806</v>
      </c>
      <c r="U518" t="str">
        <f t="shared" si="84"/>
        <v>NO PRAZO</v>
      </c>
    </row>
    <row r="519" spans="1:21" hidden="1">
      <c r="A519" s="1">
        <v>19983</v>
      </c>
      <c r="B519" t="s">
        <v>17</v>
      </c>
      <c r="C519" t="s">
        <v>9</v>
      </c>
      <c r="D519" t="s">
        <v>16</v>
      </c>
      <c r="E519" s="1">
        <v>895</v>
      </c>
      <c r="F519" s="1">
        <v>2025</v>
      </c>
      <c r="G519" t="s">
        <v>11</v>
      </c>
      <c r="H519" s="2">
        <v>45803.500150462962</v>
      </c>
      <c r="I519" s="9">
        <f t="shared" si="76"/>
        <v>45804</v>
      </c>
      <c r="J519" s="2" t="str">
        <f t="shared" si="77"/>
        <v/>
      </c>
      <c r="L519" s="2" t="str">
        <f t="shared" si="78"/>
        <v/>
      </c>
      <c r="N519" s="10" t="str">
        <f t="shared" si="79"/>
        <v/>
      </c>
      <c r="O519" s="2">
        <f t="shared" si="80"/>
        <v>45804</v>
      </c>
      <c r="P519" s="2">
        <v>45804.400706018518</v>
      </c>
      <c r="Q519" s="2">
        <f t="shared" si="81"/>
        <v>45810</v>
      </c>
      <c r="R519" s="2">
        <v>45810.658136574071</v>
      </c>
      <c r="S519">
        <f t="shared" si="82"/>
        <v>0</v>
      </c>
      <c r="T519" s="2">
        <f t="shared" si="83"/>
        <v>45810</v>
      </c>
      <c r="U519" t="str">
        <f t="shared" si="84"/>
        <v>NO PRAZO</v>
      </c>
    </row>
    <row r="520" spans="1:21" hidden="1">
      <c r="A520" s="1">
        <v>19975</v>
      </c>
      <c r="B520" t="s">
        <v>8</v>
      </c>
      <c r="C520" t="s">
        <v>9</v>
      </c>
      <c r="D520" t="s">
        <v>18</v>
      </c>
      <c r="E520" s="1">
        <v>887</v>
      </c>
      <c r="F520" s="1">
        <v>2025</v>
      </c>
      <c r="G520" t="s">
        <v>11</v>
      </c>
      <c r="H520" s="2">
        <v>45800.583472222221</v>
      </c>
      <c r="I520" s="9">
        <f t="shared" si="76"/>
        <v>45805</v>
      </c>
      <c r="J520" s="2" t="str">
        <f t="shared" si="77"/>
        <v/>
      </c>
      <c r="L520" s="2" t="str">
        <f t="shared" si="78"/>
        <v/>
      </c>
      <c r="N520" s="10" t="str">
        <f t="shared" si="79"/>
        <v/>
      </c>
      <c r="O520" s="2">
        <f t="shared" si="80"/>
        <v>45805</v>
      </c>
      <c r="P520" s="2">
        <v>45803.404178240744</v>
      </c>
      <c r="Q520" s="2">
        <f t="shared" si="81"/>
        <v>45811</v>
      </c>
      <c r="R520" s="2">
        <v>45806.454351851855</v>
      </c>
      <c r="S520">
        <f t="shared" si="82"/>
        <v>0</v>
      </c>
      <c r="T520" s="2">
        <f t="shared" si="83"/>
        <v>45811</v>
      </c>
      <c r="U520" t="str">
        <f t="shared" si="84"/>
        <v>NO PRAZO</v>
      </c>
    </row>
    <row r="521" spans="1:21" hidden="1">
      <c r="A521" s="1">
        <v>19972</v>
      </c>
      <c r="B521" t="s">
        <v>23</v>
      </c>
      <c r="C521" t="s">
        <v>9</v>
      </c>
      <c r="D521" t="s">
        <v>18</v>
      </c>
      <c r="E521" s="1">
        <v>884</v>
      </c>
      <c r="F521" s="1">
        <v>2025</v>
      </c>
      <c r="G521" t="s">
        <v>11</v>
      </c>
      <c r="H521" s="2">
        <v>45800.459224537037</v>
      </c>
      <c r="I521" s="9">
        <f t="shared" si="76"/>
        <v>45805</v>
      </c>
      <c r="J521" s="2" t="str">
        <f t="shared" si="77"/>
        <v/>
      </c>
      <c r="L521" s="2" t="str">
        <f t="shared" si="78"/>
        <v/>
      </c>
      <c r="N521" s="10" t="str">
        <f t="shared" si="79"/>
        <v/>
      </c>
      <c r="O521" s="2">
        <f t="shared" si="80"/>
        <v>45805</v>
      </c>
      <c r="P521" s="2">
        <v>45810.667002314818</v>
      </c>
      <c r="Q521" s="2">
        <f t="shared" si="81"/>
        <v>45811</v>
      </c>
      <c r="R521" s="2">
        <v>45810.66715277778</v>
      </c>
      <c r="S521">
        <f t="shared" si="82"/>
        <v>0</v>
      </c>
      <c r="T521" s="2">
        <f t="shared" si="83"/>
        <v>45811</v>
      </c>
      <c r="U521" t="str">
        <f t="shared" si="84"/>
        <v>NO PRAZO</v>
      </c>
    </row>
    <row r="522" spans="1:21" hidden="1">
      <c r="A522" s="1">
        <v>19968</v>
      </c>
      <c r="B522" t="s">
        <v>24</v>
      </c>
      <c r="C522" t="s">
        <v>13</v>
      </c>
      <c r="D522" t="s">
        <v>18</v>
      </c>
      <c r="E522" s="1">
        <v>880</v>
      </c>
      <c r="F522" s="1">
        <v>2025</v>
      </c>
      <c r="G522" t="s">
        <v>11</v>
      </c>
      <c r="H522" s="2">
        <v>45799.625879629632</v>
      </c>
      <c r="I522" s="9">
        <f t="shared" si="76"/>
        <v>45804</v>
      </c>
      <c r="J522" s="2" t="str">
        <f t="shared" si="77"/>
        <v/>
      </c>
      <c r="L522" s="2" t="str">
        <f t="shared" si="78"/>
        <v/>
      </c>
      <c r="N522" s="10" t="str">
        <f t="shared" si="79"/>
        <v/>
      </c>
      <c r="O522" s="2">
        <f t="shared" si="80"/>
        <v>45804</v>
      </c>
      <c r="P522" s="2">
        <v>45803.415682870371</v>
      </c>
      <c r="Q522" s="2">
        <f t="shared" si="81"/>
        <v>45810</v>
      </c>
      <c r="R522" s="2">
        <v>45803.416319444441</v>
      </c>
      <c r="S522">
        <f t="shared" si="82"/>
        <v>0</v>
      </c>
      <c r="T522" s="2">
        <f t="shared" si="83"/>
        <v>45810</v>
      </c>
      <c r="U522" t="str">
        <f t="shared" si="84"/>
        <v>NO PRAZO</v>
      </c>
    </row>
    <row r="523" spans="1:21" hidden="1">
      <c r="A523" s="1">
        <v>19967</v>
      </c>
      <c r="B523" t="s">
        <v>17</v>
      </c>
      <c r="C523" t="s">
        <v>9</v>
      </c>
      <c r="D523" t="s">
        <v>18</v>
      </c>
      <c r="E523" s="1">
        <v>879</v>
      </c>
      <c r="F523" s="1">
        <v>2025</v>
      </c>
      <c r="G523" t="s">
        <v>11</v>
      </c>
      <c r="H523" s="2">
        <v>45799.625879629632</v>
      </c>
      <c r="I523" s="9">
        <f t="shared" si="76"/>
        <v>45804</v>
      </c>
      <c r="J523" s="2" t="str">
        <f t="shared" si="77"/>
        <v/>
      </c>
      <c r="L523" s="2" t="str">
        <f t="shared" si="78"/>
        <v/>
      </c>
      <c r="N523" s="10" t="str">
        <f t="shared" si="79"/>
        <v/>
      </c>
      <c r="O523" s="2">
        <f t="shared" si="80"/>
        <v>45804</v>
      </c>
      <c r="P523" s="2">
        <v>45800.424293981479</v>
      </c>
      <c r="Q523" s="2">
        <f t="shared" si="81"/>
        <v>45810</v>
      </c>
      <c r="R523" s="2">
        <v>45800.427731481483</v>
      </c>
      <c r="S523">
        <f t="shared" si="82"/>
        <v>0</v>
      </c>
      <c r="T523" s="2">
        <f t="shared" si="83"/>
        <v>45810</v>
      </c>
      <c r="U523" t="str">
        <f t="shared" si="84"/>
        <v>NO PRAZO</v>
      </c>
    </row>
    <row r="524" spans="1:21" hidden="1">
      <c r="A524" s="1">
        <v>19965</v>
      </c>
      <c r="B524" t="s">
        <v>20</v>
      </c>
      <c r="C524" t="s">
        <v>13</v>
      </c>
      <c r="D524" t="s">
        <v>16</v>
      </c>
      <c r="E524" s="1">
        <v>877</v>
      </c>
      <c r="F524" s="1">
        <v>2025</v>
      </c>
      <c r="G524" t="s">
        <v>11</v>
      </c>
      <c r="H524" s="2">
        <v>45799.584201388891</v>
      </c>
      <c r="I524" s="9">
        <f t="shared" si="76"/>
        <v>45800</v>
      </c>
      <c r="J524" s="2" t="str">
        <f t="shared" si="77"/>
        <v/>
      </c>
      <c r="L524" s="2" t="str">
        <f t="shared" si="78"/>
        <v/>
      </c>
      <c r="N524" s="10" t="str">
        <f t="shared" si="79"/>
        <v/>
      </c>
      <c r="O524" s="2">
        <f t="shared" si="80"/>
        <v>45800</v>
      </c>
      <c r="P524" s="2">
        <v>45803.717291666668</v>
      </c>
      <c r="Q524" s="2">
        <f t="shared" si="81"/>
        <v>45806</v>
      </c>
      <c r="R524" s="2">
        <v>45806.746817129628</v>
      </c>
      <c r="S524">
        <f t="shared" si="82"/>
        <v>0</v>
      </c>
      <c r="T524" s="2">
        <f t="shared" si="83"/>
        <v>45806</v>
      </c>
      <c r="U524" t="str">
        <f t="shared" si="84"/>
        <v>NO PRAZO</v>
      </c>
    </row>
    <row r="525" spans="1:21" hidden="1">
      <c r="A525" s="1">
        <v>19962</v>
      </c>
      <c r="B525" t="s">
        <v>8</v>
      </c>
      <c r="C525" t="s">
        <v>9</v>
      </c>
      <c r="D525" t="s">
        <v>10</v>
      </c>
      <c r="E525" s="1">
        <v>874</v>
      </c>
      <c r="F525" s="1">
        <v>2025</v>
      </c>
      <c r="G525" t="s">
        <v>11</v>
      </c>
      <c r="H525" s="2">
        <v>45799.584201388891</v>
      </c>
      <c r="I525" s="9">
        <f t="shared" si="76"/>
        <v>45800</v>
      </c>
      <c r="J525" s="2" t="str">
        <f t="shared" si="77"/>
        <v/>
      </c>
      <c r="L525" s="2" t="str">
        <f t="shared" si="78"/>
        <v/>
      </c>
      <c r="N525" s="10" t="str">
        <f t="shared" si="79"/>
        <v/>
      </c>
      <c r="O525" s="2">
        <f t="shared" si="80"/>
        <v>45800</v>
      </c>
      <c r="P525" s="2">
        <v>45799.642685185187</v>
      </c>
      <c r="Q525" s="2">
        <f t="shared" si="81"/>
        <v>45803</v>
      </c>
      <c r="R525" s="2">
        <v>45799.642951388887</v>
      </c>
      <c r="S525">
        <f t="shared" si="82"/>
        <v>0</v>
      </c>
      <c r="T525" s="2">
        <f t="shared" si="83"/>
        <v>45803</v>
      </c>
      <c r="U525" t="str">
        <f t="shared" si="84"/>
        <v>NO PRAZO</v>
      </c>
    </row>
    <row r="526" spans="1:21" hidden="1">
      <c r="A526" s="1">
        <v>19958</v>
      </c>
      <c r="B526" t="s">
        <v>20</v>
      </c>
      <c r="C526" t="s">
        <v>13</v>
      </c>
      <c r="D526" t="s">
        <v>14</v>
      </c>
      <c r="E526" s="1">
        <v>870</v>
      </c>
      <c r="F526" s="1">
        <v>2025</v>
      </c>
      <c r="G526" t="s">
        <v>11</v>
      </c>
      <c r="H526" s="2">
        <v>45799.417500000003</v>
      </c>
      <c r="I526" s="9">
        <f t="shared" si="76"/>
        <v>45800</v>
      </c>
      <c r="J526" s="2" t="str">
        <f t="shared" si="77"/>
        <v/>
      </c>
      <c r="L526" s="2" t="str">
        <f t="shared" si="78"/>
        <v/>
      </c>
      <c r="N526" s="10" t="str">
        <f t="shared" si="79"/>
        <v/>
      </c>
      <c r="O526" s="2">
        <f t="shared" si="80"/>
        <v>45800</v>
      </c>
      <c r="P526" s="2">
        <v>45800.48741898148</v>
      </c>
      <c r="Q526" s="2">
        <f t="shared" si="81"/>
        <v>45803</v>
      </c>
      <c r="R526" s="2">
        <v>45803.440405092595</v>
      </c>
      <c r="S526">
        <f t="shared" si="82"/>
        <v>0</v>
      </c>
      <c r="T526" s="2">
        <f t="shared" si="83"/>
        <v>45803</v>
      </c>
      <c r="U526" t="str">
        <f t="shared" si="84"/>
        <v>NO PRAZO</v>
      </c>
    </row>
    <row r="527" spans="1:21" hidden="1">
      <c r="A527" s="1">
        <v>19953</v>
      </c>
      <c r="B527" t="s">
        <v>17</v>
      </c>
      <c r="C527" t="s">
        <v>13</v>
      </c>
      <c r="D527" t="s">
        <v>18</v>
      </c>
      <c r="E527" s="1">
        <v>865</v>
      </c>
      <c r="F527" s="1">
        <v>2025</v>
      </c>
      <c r="G527" t="s">
        <v>11</v>
      </c>
      <c r="H527" s="2">
        <v>45798.500810185185</v>
      </c>
      <c r="I527" s="9">
        <f t="shared" si="76"/>
        <v>45803</v>
      </c>
      <c r="J527" s="2" t="str">
        <f t="shared" si="77"/>
        <v/>
      </c>
      <c r="L527" s="2" t="str">
        <f t="shared" si="78"/>
        <v/>
      </c>
      <c r="N527" s="10" t="str">
        <f t="shared" si="79"/>
        <v/>
      </c>
      <c r="O527" s="2">
        <f t="shared" si="80"/>
        <v>45803</v>
      </c>
      <c r="P527" s="2">
        <v>45803.642337962963</v>
      </c>
      <c r="Q527" s="2">
        <f t="shared" si="81"/>
        <v>45807</v>
      </c>
      <c r="R527" s="2">
        <v>45803.729432870372</v>
      </c>
      <c r="S527">
        <f t="shared" si="82"/>
        <v>0</v>
      </c>
      <c r="T527" s="2">
        <f t="shared" si="83"/>
        <v>45807</v>
      </c>
      <c r="U527" t="str">
        <f t="shared" si="84"/>
        <v>NO PRAZO</v>
      </c>
    </row>
    <row r="528" spans="1:21" hidden="1">
      <c r="A528" s="1">
        <v>19937</v>
      </c>
      <c r="B528" t="s">
        <v>17</v>
      </c>
      <c r="C528" t="s">
        <v>13</v>
      </c>
      <c r="D528" t="s">
        <v>18</v>
      </c>
      <c r="E528" s="1">
        <v>849</v>
      </c>
      <c r="F528" s="1">
        <v>2025</v>
      </c>
      <c r="G528" t="s">
        <v>11</v>
      </c>
      <c r="H528" s="2">
        <v>45796.959143518521</v>
      </c>
      <c r="I528" s="9">
        <f t="shared" si="76"/>
        <v>45799</v>
      </c>
      <c r="J528" s="2" t="str">
        <f t="shared" si="77"/>
        <v/>
      </c>
      <c r="L528" s="2" t="str">
        <f t="shared" si="78"/>
        <v/>
      </c>
      <c r="N528" s="10" t="str">
        <f t="shared" si="79"/>
        <v/>
      </c>
      <c r="O528" s="2">
        <f t="shared" si="80"/>
        <v>45799</v>
      </c>
      <c r="P528" s="2">
        <v>45798.694560185184</v>
      </c>
      <c r="Q528" s="2">
        <f t="shared" si="81"/>
        <v>45805</v>
      </c>
      <c r="R528" s="2">
        <v>45798.694687499999</v>
      </c>
      <c r="S528">
        <f t="shared" si="82"/>
        <v>0</v>
      </c>
      <c r="T528" s="2">
        <f t="shared" si="83"/>
        <v>45805</v>
      </c>
      <c r="U528" t="str">
        <f t="shared" si="84"/>
        <v>NO PRAZO</v>
      </c>
    </row>
    <row r="529" spans="1:21" hidden="1">
      <c r="A529" s="1">
        <v>19935</v>
      </c>
      <c r="B529" t="s">
        <v>17</v>
      </c>
      <c r="C529" t="s">
        <v>13</v>
      </c>
      <c r="D529" t="s">
        <v>10</v>
      </c>
      <c r="E529" s="1">
        <v>847</v>
      </c>
      <c r="F529" s="1">
        <v>2025</v>
      </c>
      <c r="G529" t="s">
        <v>11</v>
      </c>
      <c r="H529" s="2">
        <v>45796.584074074075</v>
      </c>
      <c r="I529" s="9">
        <f t="shared" si="76"/>
        <v>45797</v>
      </c>
      <c r="J529" s="2" t="str">
        <f t="shared" si="77"/>
        <v/>
      </c>
      <c r="L529" s="2" t="str">
        <f t="shared" si="78"/>
        <v/>
      </c>
      <c r="N529" s="10" t="str">
        <f t="shared" si="79"/>
        <v/>
      </c>
      <c r="O529" s="2">
        <f t="shared" si="80"/>
        <v>45797</v>
      </c>
      <c r="P529" s="2">
        <v>45797.628298611111</v>
      </c>
      <c r="Q529" s="2">
        <f t="shared" si="81"/>
        <v>45798</v>
      </c>
      <c r="R529" s="2">
        <v>45797.6325462963</v>
      </c>
      <c r="S529">
        <f t="shared" si="82"/>
        <v>0</v>
      </c>
      <c r="T529" s="2">
        <f t="shared" si="83"/>
        <v>45798</v>
      </c>
      <c r="U529" t="str">
        <f t="shared" si="84"/>
        <v>NO PRAZO</v>
      </c>
    </row>
    <row r="530" spans="1:21" hidden="1">
      <c r="A530" s="1">
        <v>19934</v>
      </c>
      <c r="B530" t="s">
        <v>12</v>
      </c>
      <c r="C530" t="s">
        <v>13</v>
      </c>
      <c r="D530" t="s">
        <v>14</v>
      </c>
      <c r="E530" s="1">
        <v>846</v>
      </c>
      <c r="F530" s="1">
        <v>2025</v>
      </c>
      <c r="G530" t="s">
        <v>11</v>
      </c>
      <c r="H530" s="2">
        <v>45796.500717592593</v>
      </c>
      <c r="I530" s="9">
        <f t="shared" si="76"/>
        <v>45797</v>
      </c>
      <c r="J530" s="2" t="str">
        <f t="shared" si="77"/>
        <v/>
      </c>
      <c r="L530" s="2" t="str">
        <f t="shared" si="78"/>
        <v/>
      </c>
      <c r="N530" s="10" t="str">
        <f t="shared" si="79"/>
        <v/>
      </c>
      <c r="O530" s="2">
        <f t="shared" si="80"/>
        <v>45797</v>
      </c>
      <c r="P530" s="2">
        <v>45796.614988425928</v>
      </c>
      <c r="Q530" s="2">
        <f t="shared" si="81"/>
        <v>45798</v>
      </c>
      <c r="R530" s="2">
        <v>45796.615162037036</v>
      </c>
      <c r="S530">
        <f t="shared" si="82"/>
        <v>0</v>
      </c>
      <c r="T530" s="2">
        <f t="shared" si="83"/>
        <v>45798</v>
      </c>
      <c r="U530" t="str">
        <f t="shared" si="84"/>
        <v>NO PRAZO</v>
      </c>
    </row>
    <row r="531" spans="1:21" hidden="1">
      <c r="A531" s="1">
        <v>19927</v>
      </c>
      <c r="B531" t="s">
        <v>22</v>
      </c>
      <c r="C531" t="s">
        <v>13</v>
      </c>
      <c r="D531" t="s">
        <v>10</v>
      </c>
      <c r="E531" s="1">
        <v>839</v>
      </c>
      <c r="F531" s="1">
        <v>2025</v>
      </c>
      <c r="G531" t="s">
        <v>11</v>
      </c>
      <c r="H531" s="2">
        <v>45796.417372685188</v>
      </c>
      <c r="I531" s="9">
        <f t="shared" si="76"/>
        <v>45797</v>
      </c>
      <c r="J531" s="2" t="str">
        <f t="shared" si="77"/>
        <v/>
      </c>
      <c r="L531" s="2" t="str">
        <f t="shared" si="78"/>
        <v/>
      </c>
      <c r="N531" s="10" t="str">
        <f t="shared" si="79"/>
        <v/>
      </c>
      <c r="O531" s="2">
        <f t="shared" si="80"/>
        <v>45797</v>
      </c>
      <c r="P531" s="2">
        <v>45798.474166666667</v>
      </c>
      <c r="Q531" s="2">
        <f t="shared" si="81"/>
        <v>45798</v>
      </c>
      <c r="R531" s="2">
        <v>45798.587696759256</v>
      </c>
      <c r="S531">
        <f t="shared" si="82"/>
        <v>0</v>
      </c>
      <c r="T531" s="2">
        <f t="shared" si="83"/>
        <v>45798</v>
      </c>
      <c r="U531" t="str">
        <f t="shared" si="84"/>
        <v>NO PRAZO</v>
      </c>
    </row>
    <row r="532" spans="1:21" hidden="1">
      <c r="A532" s="1">
        <v>19925</v>
      </c>
      <c r="B532" t="s">
        <v>17</v>
      </c>
      <c r="C532" t="s">
        <v>13</v>
      </c>
      <c r="D532" t="s">
        <v>18</v>
      </c>
      <c r="E532" s="1">
        <v>837</v>
      </c>
      <c r="F532" s="1">
        <v>2025</v>
      </c>
      <c r="G532" t="s">
        <v>11</v>
      </c>
      <c r="H532" s="2">
        <v>45793.70890046296</v>
      </c>
      <c r="I532" s="9">
        <f t="shared" si="76"/>
        <v>45798</v>
      </c>
      <c r="J532" s="2" t="str">
        <f t="shared" si="77"/>
        <v/>
      </c>
      <c r="L532" s="2" t="str">
        <f t="shared" si="78"/>
        <v/>
      </c>
      <c r="N532" s="10" t="str">
        <f t="shared" si="79"/>
        <v/>
      </c>
      <c r="O532" s="2">
        <f t="shared" si="80"/>
        <v>45798</v>
      </c>
      <c r="P532" s="2">
        <v>45798.695254629631</v>
      </c>
      <c r="Q532" s="2">
        <f t="shared" si="81"/>
        <v>45804</v>
      </c>
      <c r="R532" s="2">
        <v>45798.695416666669</v>
      </c>
      <c r="S532">
        <f t="shared" si="82"/>
        <v>0</v>
      </c>
      <c r="T532" s="2">
        <f t="shared" si="83"/>
        <v>45804</v>
      </c>
      <c r="U532" t="str">
        <f t="shared" si="84"/>
        <v>NO PRAZO</v>
      </c>
    </row>
    <row r="533" spans="1:21">
      <c r="A533" s="1">
        <v>19921</v>
      </c>
      <c r="B533" t="s">
        <v>12</v>
      </c>
      <c r="C533" t="s">
        <v>13</v>
      </c>
      <c r="D533" t="s">
        <v>16</v>
      </c>
      <c r="E533" s="1">
        <v>833</v>
      </c>
      <c r="F533" s="1">
        <v>2025</v>
      </c>
      <c r="G533" t="s">
        <v>11</v>
      </c>
      <c r="H533" s="2">
        <v>45793.500567129631</v>
      </c>
      <c r="I533" s="9">
        <f t="shared" si="76"/>
        <v>45796</v>
      </c>
      <c r="J533" s="2" t="str">
        <f t="shared" si="77"/>
        <v/>
      </c>
      <c r="L533" s="2" t="str">
        <f t="shared" si="78"/>
        <v/>
      </c>
      <c r="N533" s="10" t="str">
        <f t="shared" si="79"/>
        <v/>
      </c>
      <c r="O533" s="2">
        <f t="shared" si="80"/>
        <v>45796</v>
      </c>
      <c r="P533" s="2">
        <v>45798.50980324074</v>
      </c>
      <c r="Q533" s="2">
        <f t="shared" si="81"/>
        <v>45800</v>
      </c>
      <c r="R533" s="2">
        <v>45804.587002314816</v>
      </c>
      <c r="S533">
        <f t="shared" si="82"/>
        <v>4</v>
      </c>
      <c r="T533" s="2">
        <f t="shared" si="83"/>
        <v>45800</v>
      </c>
      <c r="U533" t="str">
        <f t="shared" si="84"/>
        <v>ATRASO</v>
      </c>
    </row>
    <row r="534" spans="1:21" hidden="1">
      <c r="A534" s="1">
        <v>19917</v>
      </c>
      <c r="B534" t="s">
        <v>22</v>
      </c>
      <c r="C534" t="s">
        <v>13</v>
      </c>
      <c r="D534" t="s">
        <v>10</v>
      </c>
      <c r="E534" s="1">
        <v>829</v>
      </c>
      <c r="F534" s="1">
        <v>2025</v>
      </c>
      <c r="G534" t="s">
        <v>11</v>
      </c>
      <c r="H534" s="2">
        <v>45793.417199074072</v>
      </c>
      <c r="I534" s="9">
        <f t="shared" si="76"/>
        <v>45796</v>
      </c>
      <c r="J534" s="2" t="str">
        <f t="shared" si="77"/>
        <v/>
      </c>
      <c r="L534" s="2" t="str">
        <f t="shared" si="78"/>
        <v/>
      </c>
      <c r="N534" s="10" t="str">
        <f t="shared" si="79"/>
        <v/>
      </c>
      <c r="O534" s="2">
        <f t="shared" si="80"/>
        <v>45796</v>
      </c>
      <c r="P534" s="2">
        <v>45797.684386574074</v>
      </c>
      <c r="Q534" s="2">
        <f t="shared" si="81"/>
        <v>45797</v>
      </c>
      <c r="R534" s="2">
        <v>45797.684594907405</v>
      </c>
      <c r="S534">
        <f t="shared" si="82"/>
        <v>0</v>
      </c>
      <c r="T534" s="2">
        <f t="shared" si="83"/>
        <v>45797</v>
      </c>
      <c r="U534" t="str">
        <f t="shared" si="84"/>
        <v>NO PRAZO</v>
      </c>
    </row>
    <row r="535" spans="1:21" hidden="1">
      <c r="A535" s="1">
        <v>19912</v>
      </c>
      <c r="B535" t="s">
        <v>12</v>
      </c>
      <c r="C535" t="s">
        <v>13</v>
      </c>
      <c r="D535" t="s">
        <v>16</v>
      </c>
      <c r="E535" s="1">
        <v>824</v>
      </c>
      <c r="F535" s="1">
        <v>2025</v>
      </c>
      <c r="G535" t="s">
        <v>11</v>
      </c>
      <c r="H535" s="2">
        <v>45792.625509259262</v>
      </c>
      <c r="I535" s="9">
        <f t="shared" si="76"/>
        <v>45793</v>
      </c>
      <c r="J535" s="2" t="str">
        <f t="shared" si="77"/>
        <v/>
      </c>
      <c r="L535" s="2" t="str">
        <f t="shared" si="78"/>
        <v/>
      </c>
      <c r="N535" s="10" t="str">
        <f t="shared" si="79"/>
        <v/>
      </c>
      <c r="O535" s="2">
        <f t="shared" si="80"/>
        <v>45793</v>
      </c>
      <c r="P535" s="2">
        <v>45798.508391203701</v>
      </c>
      <c r="Q535" s="2">
        <f t="shared" si="81"/>
        <v>45799</v>
      </c>
      <c r="R535" s="2">
        <v>45799.760567129626</v>
      </c>
      <c r="S535">
        <f t="shared" si="82"/>
        <v>0</v>
      </c>
      <c r="T535" s="2">
        <f t="shared" si="83"/>
        <v>45799</v>
      </c>
      <c r="U535" t="str">
        <f t="shared" si="84"/>
        <v>NO PRAZO</v>
      </c>
    </row>
    <row r="536" spans="1:21" hidden="1">
      <c r="A536" s="1">
        <v>19907</v>
      </c>
      <c r="B536" t="s">
        <v>22</v>
      </c>
      <c r="C536" t="s">
        <v>13</v>
      </c>
      <c r="D536" t="s">
        <v>10</v>
      </c>
      <c r="E536" s="1">
        <v>819</v>
      </c>
      <c r="F536" s="1">
        <v>2025</v>
      </c>
      <c r="G536" t="s">
        <v>11</v>
      </c>
      <c r="H536" s="2">
        <v>45792.417187500003</v>
      </c>
      <c r="I536" s="9">
        <f t="shared" si="76"/>
        <v>45793</v>
      </c>
      <c r="J536" s="2" t="str">
        <f t="shared" si="77"/>
        <v/>
      </c>
      <c r="L536" s="2" t="str">
        <f t="shared" si="78"/>
        <v/>
      </c>
      <c r="N536" s="10" t="str">
        <f t="shared" si="79"/>
        <v/>
      </c>
      <c r="O536" s="2">
        <f t="shared" si="80"/>
        <v>45793</v>
      </c>
      <c r="P536" s="2">
        <v>45796.470011574071</v>
      </c>
      <c r="Q536" s="2">
        <f t="shared" si="81"/>
        <v>45796</v>
      </c>
      <c r="R536" s="2">
        <v>45796.614120370374</v>
      </c>
      <c r="S536">
        <f t="shared" si="82"/>
        <v>0</v>
      </c>
      <c r="T536" s="2">
        <f t="shared" si="83"/>
        <v>45796</v>
      </c>
      <c r="U536" t="str">
        <f t="shared" si="84"/>
        <v>NO PRAZO</v>
      </c>
    </row>
    <row r="537" spans="1:21" hidden="1">
      <c r="A537" s="1">
        <v>19903</v>
      </c>
      <c r="B537" t="s">
        <v>19</v>
      </c>
      <c r="C537" t="s">
        <v>13</v>
      </c>
      <c r="D537" t="s">
        <v>16</v>
      </c>
      <c r="E537" s="1">
        <v>815</v>
      </c>
      <c r="F537" s="1">
        <v>2025</v>
      </c>
      <c r="G537" t="s">
        <v>11</v>
      </c>
      <c r="H537" s="2">
        <v>45791.750509259262</v>
      </c>
      <c r="I537" s="9">
        <f t="shared" si="76"/>
        <v>45792</v>
      </c>
      <c r="J537" s="2" t="str">
        <f t="shared" si="77"/>
        <v/>
      </c>
      <c r="L537" s="2" t="str">
        <f t="shared" si="78"/>
        <v/>
      </c>
      <c r="N537" s="10" t="str">
        <f t="shared" si="79"/>
        <v/>
      </c>
      <c r="O537" s="2">
        <f t="shared" si="80"/>
        <v>45792</v>
      </c>
      <c r="P537" s="2">
        <v>45792.411145833335</v>
      </c>
      <c r="Q537" s="2">
        <f t="shared" si="81"/>
        <v>45798</v>
      </c>
      <c r="R537" s="2">
        <v>45796.560798611114</v>
      </c>
      <c r="S537">
        <f t="shared" si="82"/>
        <v>0</v>
      </c>
      <c r="T537" s="2">
        <f t="shared" si="83"/>
        <v>45798</v>
      </c>
      <c r="U537" t="str">
        <f t="shared" si="84"/>
        <v>NO PRAZO</v>
      </c>
    </row>
    <row r="538" spans="1:21" hidden="1">
      <c r="A538" s="1">
        <v>19897</v>
      </c>
      <c r="B538" t="s">
        <v>19</v>
      </c>
      <c r="C538" t="s">
        <v>13</v>
      </c>
      <c r="D538" t="s">
        <v>16</v>
      </c>
      <c r="E538" s="1">
        <v>809</v>
      </c>
      <c r="F538" s="1">
        <v>2025</v>
      </c>
      <c r="G538" t="s">
        <v>11</v>
      </c>
      <c r="H538" s="2">
        <v>45791.625486111108</v>
      </c>
      <c r="I538" s="9">
        <f t="shared" si="76"/>
        <v>45792</v>
      </c>
      <c r="J538" s="2" t="str">
        <f t="shared" si="77"/>
        <v/>
      </c>
      <c r="L538" s="2" t="str">
        <f t="shared" si="78"/>
        <v/>
      </c>
      <c r="N538" s="10" t="str">
        <f t="shared" si="79"/>
        <v/>
      </c>
      <c r="O538" s="2">
        <f t="shared" si="80"/>
        <v>45792</v>
      </c>
      <c r="P538" s="2">
        <v>45792.41678240741</v>
      </c>
      <c r="Q538" s="2">
        <f t="shared" si="81"/>
        <v>45798</v>
      </c>
      <c r="R538" s="2">
        <v>45798.72960648148</v>
      </c>
      <c r="S538">
        <f t="shared" si="82"/>
        <v>0</v>
      </c>
      <c r="T538" s="2">
        <f t="shared" si="83"/>
        <v>45798</v>
      </c>
      <c r="U538" t="str">
        <f t="shared" si="84"/>
        <v>NO PRAZO</v>
      </c>
    </row>
    <row r="539" spans="1:21" hidden="1">
      <c r="A539" s="1">
        <v>19896</v>
      </c>
      <c r="B539" t="s">
        <v>12</v>
      </c>
      <c r="C539" t="s">
        <v>13</v>
      </c>
      <c r="D539" t="s">
        <v>16</v>
      </c>
      <c r="E539" s="1">
        <v>808</v>
      </c>
      <c r="F539" s="1">
        <v>2025</v>
      </c>
      <c r="G539" t="s">
        <v>11</v>
      </c>
      <c r="H539" s="2">
        <v>45791.600914351853</v>
      </c>
      <c r="I539" s="9">
        <f t="shared" si="76"/>
        <v>45792</v>
      </c>
      <c r="J539" s="2" t="str">
        <f t="shared" si="77"/>
        <v/>
      </c>
      <c r="L539" s="2" t="str">
        <f t="shared" si="78"/>
        <v/>
      </c>
      <c r="N539" s="10" t="str">
        <f t="shared" si="79"/>
        <v/>
      </c>
      <c r="O539" s="2">
        <f t="shared" si="80"/>
        <v>45792</v>
      </c>
      <c r="P539" s="2">
        <v>45798.449687499997</v>
      </c>
      <c r="Q539" s="2">
        <f t="shared" si="81"/>
        <v>45798</v>
      </c>
      <c r="R539" s="2">
        <v>45798.730081018519</v>
      </c>
      <c r="S539">
        <f t="shared" si="82"/>
        <v>0</v>
      </c>
      <c r="T539" s="2">
        <f t="shared" si="83"/>
        <v>45798</v>
      </c>
      <c r="U539" t="str">
        <f t="shared" si="84"/>
        <v>NO PRAZO</v>
      </c>
    </row>
    <row r="540" spans="1:21" hidden="1">
      <c r="A540" s="1">
        <v>19885</v>
      </c>
      <c r="B540" t="s">
        <v>22</v>
      </c>
      <c r="C540" t="s">
        <v>13</v>
      </c>
      <c r="D540" t="s">
        <v>10</v>
      </c>
      <c r="E540" s="1">
        <v>797</v>
      </c>
      <c r="F540" s="1">
        <v>2025</v>
      </c>
      <c r="G540" t="s">
        <v>11</v>
      </c>
      <c r="H540" s="2">
        <v>45790.375381944446</v>
      </c>
      <c r="I540" s="9">
        <f t="shared" si="76"/>
        <v>45791</v>
      </c>
      <c r="J540" s="2" t="str">
        <f t="shared" si="77"/>
        <v/>
      </c>
      <c r="L540" s="2" t="str">
        <f t="shared" si="78"/>
        <v/>
      </c>
      <c r="N540" s="10" t="str">
        <f t="shared" si="79"/>
        <v/>
      </c>
      <c r="O540" s="2">
        <f t="shared" si="80"/>
        <v>45791</v>
      </c>
      <c r="P540" s="2">
        <v>45792.61482638889</v>
      </c>
      <c r="Q540" s="2">
        <f t="shared" si="81"/>
        <v>45792</v>
      </c>
      <c r="R540" s="2">
        <v>45792.717569444445</v>
      </c>
      <c r="S540">
        <f t="shared" si="82"/>
        <v>0</v>
      </c>
      <c r="T540" s="2">
        <f t="shared" si="83"/>
        <v>45792</v>
      </c>
      <c r="U540" t="str">
        <f t="shared" si="84"/>
        <v>NO PRAZO</v>
      </c>
    </row>
    <row r="541" spans="1:21" hidden="1">
      <c r="A541" s="1">
        <v>19881</v>
      </c>
      <c r="B541" t="s">
        <v>17</v>
      </c>
      <c r="C541" t="s">
        <v>13</v>
      </c>
      <c r="D541" t="s">
        <v>18</v>
      </c>
      <c r="E541" s="1">
        <v>793</v>
      </c>
      <c r="F541" s="1">
        <v>2025</v>
      </c>
      <c r="G541" t="s">
        <v>11</v>
      </c>
      <c r="H541" s="2">
        <v>45789.500347222223</v>
      </c>
      <c r="I541" s="9">
        <f t="shared" si="76"/>
        <v>45792</v>
      </c>
      <c r="J541" s="2" t="str">
        <f t="shared" si="77"/>
        <v/>
      </c>
      <c r="L541" s="2" t="str">
        <f t="shared" si="78"/>
        <v/>
      </c>
      <c r="N541" s="10" t="str">
        <f t="shared" si="79"/>
        <v/>
      </c>
      <c r="O541" s="2">
        <f t="shared" si="80"/>
        <v>45792</v>
      </c>
      <c r="P541" s="2">
        <v>45790.382939814815</v>
      </c>
      <c r="Q541" s="2">
        <f t="shared" si="81"/>
        <v>45798</v>
      </c>
      <c r="R541" s="2">
        <v>45790.383125</v>
      </c>
      <c r="S541">
        <f t="shared" si="82"/>
        <v>0</v>
      </c>
      <c r="T541" s="2">
        <f t="shared" si="83"/>
        <v>45798</v>
      </c>
      <c r="U541" t="str">
        <f t="shared" si="84"/>
        <v>NO PRAZO</v>
      </c>
    </row>
    <row r="542" spans="1:21" hidden="1">
      <c r="A542" s="1">
        <v>19880</v>
      </c>
      <c r="B542" t="s">
        <v>17</v>
      </c>
      <c r="C542" t="s">
        <v>13</v>
      </c>
      <c r="D542" t="s">
        <v>18</v>
      </c>
      <c r="E542" s="1">
        <v>792</v>
      </c>
      <c r="F542" s="1">
        <v>2025</v>
      </c>
      <c r="G542" t="s">
        <v>11</v>
      </c>
      <c r="H542" s="2">
        <v>45789.500347222223</v>
      </c>
      <c r="I542" s="9">
        <f t="shared" si="76"/>
        <v>45792</v>
      </c>
      <c r="J542" s="2" t="str">
        <f t="shared" si="77"/>
        <v/>
      </c>
      <c r="L542" s="2" t="str">
        <f t="shared" si="78"/>
        <v/>
      </c>
      <c r="N542" s="10" t="str">
        <f t="shared" si="79"/>
        <v/>
      </c>
      <c r="O542" s="2">
        <f t="shared" si="80"/>
        <v>45792</v>
      </c>
      <c r="P542" s="2">
        <v>45790.383414351854</v>
      </c>
      <c r="Q542" s="2">
        <f t="shared" si="81"/>
        <v>45798</v>
      </c>
      <c r="R542" s="2">
        <v>45790.383750000001</v>
      </c>
      <c r="S542">
        <f t="shared" si="82"/>
        <v>0</v>
      </c>
      <c r="T542" s="2">
        <f t="shared" si="83"/>
        <v>45798</v>
      </c>
      <c r="U542" t="str">
        <f t="shared" si="84"/>
        <v>NO PRAZO</v>
      </c>
    </row>
    <row r="543" spans="1:21" hidden="1">
      <c r="A543" s="1">
        <v>19876</v>
      </c>
      <c r="B543" t="s">
        <v>24</v>
      </c>
      <c r="C543" t="s">
        <v>13</v>
      </c>
      <c r="D543" t="s">
        <v>10</v>
      </c>
      <c r="E543" s="1">
        <v>788</v>
      </c>
      <c r="F543" s="1">
        <v>2025</v>
      </c>
      <c r="G543" t="s">
        <v>11</v>
      </c>
      <c r="H543" s="2">
        <v>45789.417013888888</v>
      </c>
      <c r="I543" s="9">
        <f t="shared" si="76"/>
        <v>45790</v>
      </c>
      <c r="J543" s="2" t="str">
        <f t="shared" si="77"/>
        <v/>
      </c>
      <c r="L543" s="2" t="str">
        <f t="shared" si="78"/>
        <v/>
      </c>
      <c r="N543" s="10" t="str">
        <f t="shared" si="79"/>
        <v/>
      </c>
      <c r="O543" s="2">
        <f t="shared" si="80"/>
        <v>45790</v>
      </c>
      <c r="P543" s="2">
        <v>45791.589722222219</v>
      </c>
      <c r="Q543" s="2">
        <f t="shared" si="81"/>
        <v>45791</v>
      </c>
      <c r="R543" s="2">
        <v>45791.608437499999</v>
      </c>
      <c r="S543">
        <f t="shared" si="82"/>
        <v>0</v>
      </c>
      <c r="T543" s="2">
        <f t="shared" si="83"/>
        <v>45791</v>
      </c>
      <c r="U543" t="str">
        <f t="shared" si="84"/>
        <v>NO PRAZO</v>
      </c>
    </row>
    <row r="544" spans="1:21" hidden="1">
      <c r="A544" s="1">
        <v>19875</v>
      </c>
      <c r="B544" t="s">
        <v>17</v>
      </c>
      <c r="C544" t="s">
        <v>9</v>
      </c>
      <c r="D544" t="s">
        <v>18</v>
      </c>
      <c r="E544" s="1">
        <v>787</v>
      </c>
      <c r="F544" s="1">
        <v>2025</v>
      </c>
      <c r="G544" t="s">
        <v>11</v>
      </c>
      <c r="H544" s="2">
        <v>45786.792002314818</v>
      </c>
      <c r="I544" s="9">
        <f t="shared" si="76"/>
        <v>45791</v>
      </c>
      <c r="J544" s="2" t="str">
        <f t="shared" si="77"/>
        <v/>
      </c>
      <c r="L544" s="2" t="str">
        <f t="shared" si="78"/>
        <v/>
      </c>
      <c r="N544" s="10" t="str">
        <f t="shared" si="79"/>
        <v/>
      </c>
      <c r="O544" s="2">
        <f t="shared" si="80"/>
        <v>45791</v>
      </c>
      <c r="P544" s="2">
        <v>45789.482349537036</v>
      </c>
      <c r="Q544" s="2">
        <f t="shared" si="81"/>
        <v>45797</v>
      </c>
      <c r="R544" s="2">
        <v>45789.625567129631</v>
      </c>
      <c r="S544">
        <f t="shared" si="82"/>
        <v>0</v>
      </c>
      <c r="T544" s="2">
        <f t="shared" si="83"/>
        <v>45797</v>
      </c>
      <c r="U544" t="str">
        <f t="shared" si="84"/>
        <v>NO PRAZO</v>
      </c>
    </row>
    <row r="545" spans="1:21" hidden="1">
      <c r="A545" s="1">
        <v>19874</v>
      </c>
      <c r="B545" t="s">
        <v>17</v>
      </c>
      <c r="C545" t="s">
        <v>9</v>
      </c>
      <c r="D545" t="s">
        <v>18</v>
      </c>
      <c r="E545" s="1">
        <v>786</v>
      </c>
      <c r="F545" s="1">
        <v>2025</v>
      </c>
      <c r="G545" t="s">
        <v>11</v>
      </c>
      <c r="H545" s="2">
        <v>45786.792002314818</v>
      </c>
      <c r="I545" s="9">
        <f t="shared" si="76"/>
        <v>45791</v>
      </c>
      <c r="J545" s="2" t="str">
        <f t="shared" si="77"/>
        <v/>
      </c>
      <c r="L545" s="2" t="str">
        <f t="shared" si="78"/>
        <v/>
      </c>
      <c r="N545" s="10" t="str">
        <f t="shared" si="79"/>
        <v/>
      </c>
      <c r="O545" s="2">
        <f t="shared" si="80"/>
        <v>45791</v>
      </c>
      <c r="P545" s="2">
        <v>45789.48265046296</v>
      </c>
      <c r="Q545" s="2">
        <f t="shared" si="81"/>
        <v>45797</v>
      </c>
      <c r="R545" s="2">
        <v>45789.625578703701</v>
      </c>
      <c r="S545">
        <f t="shared" si="82"/>
        <v>0</v>
      </c>
      <c r="T545" s="2">
        <f t="shared" si="83"/>
        <v>45797</v>
      </c>
      <c r="U545" t="str">
        <f t="shared" si="84"/>
        <v>NO PRAZO</v>
      </c>
    </row>
    <row r="546" spans="1:21" hidden="1">
      <c r="A546" s="1">
        <v>19868</v>
      </c>
      <c r="B546" t="s">
        <v>24</v>
      </c>
      <c r="C546" t="s">
        <v>13</v>
      </c>
      <c r="D546" t="s">
        <v>18</v>
      </c>
      <c r="E546" s="1">
        <v>780</v>
      </c>
      <c r="F546" s="1">
        <v>2025</v>
      </c>
      <c r="G546" t="s">
        <v>11</v>
      </c>
      <c r="H546" s="2">
        <v>45786.458668981482</v>
      </c>
      <c r="I546" s="9">
        <f t="shared" si="76"/>
        <v>45791</v>
      </c>
      <c r="J546" s="2" t="str">
        <f t="shared" si="77"/>
        <v/>
      </c>
      <c r="L546" s="2" t="str">
        <f t="shared" si="78"/>
        <v/>
      </c>
      <c r="N546" s="10" t="str">
        <f t="shared" si="79"/>
        <v/>
      </c>
      <c r="O546" s="2">
        <f t="shared" si="80"/>
        <v>45791</v>
      </c>
      <c r="P546" s="2">
        <v>45790.436736111114</v>
      </c>
      <c r="Q546" s="2">
        <f t="shared" si="81"/>
        <v>45797</v>
      </c>
      <c r="R546" s="2">
        <v>45791.619780092595</v>
      </c>
      <c r="S546">
        <f t="shared" si="82"/>
        <v>0</v>
      </c>
      <c r="T546" s="2">
        <f t="shared" si="83"/>
        <v>45797</v>
      </c>
      <c r="U546" t="str">
        <f t="shared" si="84"/>
        <v>NO PRAZO</v>
      </c>
    </row>
    <row r="547" spans="1:21" hidden="1">
      <c r="A547" s="1">
        <v>19867</v>
      </c>
      <c r="B547" t="s">
        <v>17</v>
      </c>
      <c r="C547" t="s">
        <v>13</v>
      </c>
      <c r="D547" t="s">
        <v>18</v>
      </c>
      <c r="E547" s="1">
        <v>779</v>
      </c>
      <c r="F547" s="1">
        <v>2025</v>
      </c>
      <c r="G547" t="s">
        <v>11</v>
      </c>
      <c r="H547" s="2">
        <v>45786.417025462964</v>
      </c>
      <c r="I547" s="9">
        <f t="shared" si="76"/>
        <v>45791</v>
      </c>
      <c r="J547" s="2" t="str">
        <f t="shared" si="77"/>
        <v/>
      </c>
      <c r="L547" s="2" t="str">
        <f t="shared" si="78"/>
        <v/>
      </c>
      <c r="N547" s="10" t="str">
        <f t="shared" si="79"/>
        <v/>
      </c>
      <c r="O547" s="2">
        <f t="shared" si="80"/>
        <v>45791</v>
      </c>
      <c r="P547" s="2">
        <v>45793.443969907406</v>
      </c>
      <c r="Q547" s="2">
        <f t="shared" si="81"/>
        <v>45797</v>
      </c>
      <c r="R547" s="2">
        <v>45793.445057870369</v>
      </c>
      <c r="S547">
        <f t="shared" si="82"/>
        <v>0</v>
      </c>
      <c r="T547" s="2">
        <f t="shared" si="83"/>
        <v>45797</v>
      </c>
      <c r="U547" t="str">
        <f t="shared" si="84"/>
        <v>NO PRAZO</v>
      </c>
    </row>
    <row r="548" spans="1:21" hidden="1">
      <c r="A548" s="1">
        <v>19858</v>
      </c>
      <c r="B548" t="s">
        <v>23</v>
      </c>
      <c r="C548" t="s">
        <v>13</v>
      </c>
      <c r="D548" t="s">
        <v>10</v>
      </c>
      <c r="E548" s="1">
        <v>770</v>
      </c>
      <c r="F548" s="1">
        <v>2025</v>
      </c>
      <c r="G548" t="s">
        <v>11</v>
      </c>
      <c r="H548" s="2">
        <v>45785.458587962959</v>
      </c>
      <c r="I548" s="9">
        <f t="shared" si="76"/>
        <v>45786</v>
      </c>
      <c r="J548" s="2" t="str">
        <f t="shared" si="77"/>
        <v/>
      </c>
      <c r="L548" s="2" t="str">
        <f t="shared" si="78"/>
        <v/>
      </c>
      <c r="N548" s="10" t="str">
        <f t="shared" si="79"/>
        <v/>
      </c>
      <c r="O548" s="2">
        <f t="shared" si="80"/>
        <v>45786</v>
      </c>
      <c r="P548" s="2">
        <v>45785.650868055556</v>
      </c>
      <c r="Q548" s="2">
        <f t="shared" si="81"/>
        <v>45789</v>
      </c>
      <c r="R548" s="2">
        <v>45786.377835648149</v>
      </c>
      <c r="S548">
        <f t="shared" si="82"/>
        <v>0</v>
      </c>
      <c r="T548" s="2">
        <f t="shared" si="83"/>
        <v>45789</v>
      </c>
      <c r="U548" t="str">
        <f t="shared" si="84"/>
        <v>NO PRAZO</v>
      </c>
    </row>
    <row r="549" spans="1:21" hidden="1">
      <c r="A549" s="1">
        <v>19850</v>
      </c>
      <c r="B549" t="s">
        <v>17</v>
      </c>
      <c r="C549" t="s">
        <v>13</v>
      </c>
      <c r="D549" t="s">
        <v>18</v>
      </c>
      <c r="E549" s="1">
        <v>762</v>
      </c>
      <c r="F549" s="1">
        <v>2025</v>
      </c>
      <c r="G549" t="s">
        <v>11</v>
      </c>
      <c r="H549" s="2">
        <v>45783.625185185185</v>
      </c>
      <c r="I549" s="9">
        <f t="shared" si="76"/>
        <v>45786</v>
      </c>
      <c r="J549" s="2" t="str">
        <f t="shared" si="77"/>
        <v/>
      </c>
      <c r="L549" s="2" t="str">
        <f t="shared" si="78"/>
        <v/>
      </c>
      <c r="N549" s="10" t="str">
        <f t="shared" si="79"/>
        <v/>
      </c>
      <c r="O549" s="2">
        <f t="shared" si="80"/>
        <v>45786</v>
      </c>
      <c r="P549" s="2">
        <v>45784.461643518516</v>
      </c>
      <c r="Q549" s="2">
        <f t="shared" si="81"/>
        <v>45792</v>
      </c>
      <c r="R549" s="2">
        <v>45784.461863425924</v>
      </c>
      <c r="S549">
        <f t="shared" si="82"/>
        <v>0</v>
      </c>
      <c r="T549" s="2">
        <f t="shared" si="83"/>
        <v>45792</v>
      </c>
      <c r="U549" t="str">
        <f t="shared" si="84"/>
        <v>NO PRAZO</v>
      </c>
    </row>
    <row r="550" spans="1:21" hidden="1">
      <c r="A550" s="1">
        <v>19847</v>
      </c>
      <c r="B550" t="s">
        <v>22</v>
      </c>
      <c r="C550" t="s">
        <v>13</v>
      </c>
      <c r="D550" t="s">
        <v>14</v>
      </c>
      <c r="E550" s="1">
        <v>759</v>
      </c>
      <c r="F550" s="1">
        <v>2025</v>
      </c>
      <c r="G550" t="s">
        <v>11</v>
      </c>
      <c r="H550" s="2">
        <v>45783.500173611108</v>
      </c>
      <c r="I550" s="9">
        <f t="shared" si="76"/>
        <v>45784</v>
      </c>
      <c r="J550" s="2" t="str">
        <f t="shared" si="77"/>
        <v/>
      </c>
      <c r="L550" s="2" t="str">
        <f t="shared" si="78"/>
        <v/>
      </c>
      <c r="N550" s="10" t="str">
        <f t="shared" si="79"/>
        <v/>
      </c>
      <c r="O550" s="2">
        <f t="shared" si="80"/>
        <v>45784</v>
      </c>
      <c r="P550" s="2">
        <v>45785.425613425927</v>
      </c>
      <c r="Q550" s="2">
        <f t="shared" si="81"/>
        <v>45785</v>
      </c>
      <c r="R550" s="2">
        <v>45785.457280092596</v>
      </c>
      <c r="S550">
        <f t="shared" si="82"/>
        <v>0</v>
      </c>
      <c r="T550" s="2">
        <f t="shared" si="83"/>
        <v>45785</v>
      </c>
      <c r="U550" t="str">
        <f t="shared" si="84"/>
        <v>NO PRAZO</v>
      </c>
    </row>
    <row r="551" spans="1:21" hidden="1">
      <c r="A551" s="1">
        <v>19842</v>
      </c>
      <c r="B551" t="s">
        <v>22</v>
      </c>
      <c r="C551" t="s">
        <v>13</v>
      </c>
      <c r="D551" t="s">
        <v>18</v>
      </c>
      <c r="E551" s="1">
        <v>754</v>
      </c>
      <c r="F551" s="1">
        <v>2025</v>
      </c>
      <c r="G551" t="s">
        <v>11</v>
      </c>
      <c r="H551" s="2">
        <v>45783.375173611108</v>
      </c>
      <c r="I551" s="9">
        <f t="shared" si="76"/>
        <v>45786</v>
      </c>
      <c r="J551" s="2" t="str">
        <f t="shared" si="77"/>
        <v/>
      </c>
      <c r="L551" s="2" t="str">
        <f t="shared" si="78"/>
        <v/>
      </c>
      <c r="N551" s="10" t="str">
        <f t="shared" si="79"/>
        <v/>
      </c>
      <c r="O551" s="2">
        <f t="shared" si="80"/>
        <v>45786</v>
      </c>
      <c r="P551" s="2">
        <v>45785.444386574076</v>
      </c>
      <c r="Q551" s="2">
        <f t="shared" si="81"/>
        <v>45792</v>
      </c>
      <c r="R551" s="2">
        <v>45785.456423611111</v>
      </c>
      <c r="S551">
        <f t="shared" si="82"/>
        <v>0</v>
      </c>
      <c r="T551" s="2">
        <f t="shared" si="83"/>
        <v>45792</v>
      </c>
      <c r="U551" t="str">
        <f t="shared" si="84"/>
        <v>NO PRAZO</v>
      </c>
    </row>
    <row r="552" spans="1:21" hidden="1">
      <c r="A552" s="1">
        <v>19840</v>
      </c>
      <c r="B552" t="s">
        <v>17</v>
      </c>
      <c r="C552" t="s">
        <v>13</v>
      </c>
      <c r="D552" t="s">
        <v>18</v>
      </c>
      <c r="E552" s="1">
        <v>752</v>
      </c>
      <c r="F552" s="1">
        <v>2025</v>
      </c>
      <c r="G552" t="s">
        <v>11</v>
      </c>
      <c r="H552" s="2">
        <v>45782.708483796298</v>
      </c>
      <c r="I552" s="9">
        <f t="shared" si="76"/>
        <v>45785</v>
      </c>
      <c r="J552" s="2" t="str">
        <f t="shared" si="77"/>
        <v/>
      </c>
      <c r="L552" s="2" t="str">
        <f t="shared" si="78"/>
        <v/>
      </c>
      <c r="N552" s="10" t="str">
        <f t="shared" si="79"/>
        <v/>
      </c>
      <c r="O552" s="2">
        <f t="shared" si="80"/>
        <v>45785</v>
      </c>
      <c r="P552" s="2">
        <v>45784.460590277777</v>
      </c>
      <c r="Q552" s="2">
        <f t="shared" si="81"/>
        <v>45791</v>
      </c>
      <c r="R552" s="2">
        <v>45784.460798611108</v>
      </c>
      <c r="S552">
        <f t="shared" si="82"/>
        <v>0</v>
      </c>
      <c r="T552" s="2">
        <f t="shared" si="83"/>
        <v>45791</v>
      </c>
      <c r="U552" t="str">
        <f t="shared" si="84"/>
        <v>NO PRAZO</v>
      </c>
    </row>
    <row r="553" spans="1:21" hidden="1">
      <c r="A553" s="1">
        <v>19839</v>
      </c>
      <c r="B553" t="s">
        <v>17</v>
      </c>
      <c r="C553" t="s">
        <v>13</v>
      </c>
      <c r="D553" t="s">
        <v>18</v>
      </c>
      <c r="E553" s="1">
        <v>751</v>
      </c>
      <c r="F553" s="1">
        <v>2025</v>
      </c>
      <c r="G553" t="s">
        <v>11</v>
      </c>
      <c r="H553" s="2">
        <v>45782.708483796298</v>
      </c>
      <c r="I553" s="9">
        <f t="shared" si="76"/>
        <v>45785</v>
      </c>
      <c r="J553" s="2" t="str">
        <f t="shared" si="77"/>
        <v/>
      </c>
      <c r="L553" s="2" t="str">
        <f t="shared" si="78"/>
        <v/>
      </c>
      <c r="N553" s="10" t="str">
        <f t="shared" si="79"/>
        <v/>
      </c>
      <c r="O553" s="2">
        <f t="shared" si="80"/>
        <v>45785</v>
      </c>
      <c r="P553" s="2">
        <v>45784.461087962962</v>
      </c>
      <c r="Q553" s="2">
        <f t="shared" si="81"/>
        <v>45791</v>
      </c>
      <c r="R553" s="2">
        <v>45784.461319444446</v>
      </c>
      <c r="S553">
        <f t="shared" si="82"/>
        <v>0</v>
      </c>
      <c r="T553" s="2">
        <f t="shared" si="83"/>
        <v>45791</v>
      </c>
      <c r="U553" t="str">
        <f t="shared" si="84"/>
        <v>NO PRAZO</v>
      </c>
    </row>
    <row r="554" spans="1:21" hidden="1">
      <c r="A554" s="1">
        <v>19830</v>
      </c>
      <c r="B554" t="s">
        <v>20</v>
      </c>
      <c r="C554" t="s">
        <v>13</v>
      </c>
      <c r="D554" t="s">
        <v>21</v>
      </c>
      <c r="E554" s="1">
        <v>742</v>
      </c>
      <c r="F554" s="1">
        <v>2025</v>
      </c>
      <c r="G554" t="s">
        <v>11</v>
      </c>
      <c r="H554" s="2">
        <v>45782.416805555556</v>
      </c>
      <c r="I554" s="9">
        <f t="shared" si="76"/>
        <v>45785</v>
      </c>
      <c r="J554" s="2">
        <f t="shared" si="77"/>
        <v>45785</v>
      </c>
      <c r="K554" s="2">
        <v>45782.672048611108</v>
      </c>
      <c r="L554" s="2">
        <f t="shared" si="78"/>
        <v>45805</v>
      </c>
      <c r="M554" s="2">
        <v>45782.672685185185</v>
      </c>
      <c r="N554" s="10">
        <f t="shared" si="79"/>
        <v>0</v>
      </c>
      <c r="O554" s="2">
        <f t="shared" si="80"/>
        <v>45806</v>
      </c>
      <c r="P554" s="2">
        <v>45793.423703703702</v>
      </c>
      <c r="Q554" s="2">
        <f t="shared" si="81"/>
        <v>45834</v>
      </c>
      <c r="R554" s="2">
        <v>45793.75372685185</v>
      </c>
      <c r="S554">
        <f t="shared" si="82"/>
        <v>0</v>
      </c>
      <c r="T554" s="2">
        <f t="shared" si="83"/>
        <v>45834</v>
      </c>
      <c r="U554" t="str">
        <f t="shared" si="84"/>
        <v>NO PRAZO</v>
      </c>
    </row>
    <row r="555" spans="1:21" hidden="1">
      <c r="A555" s="1">
        <v>19829</v>
      </c>
      <c r="B555" t="s">
        <v>17</v>
      </c>
      <c r="C555" t="s">
        <v>13</v>
      </c>
      <c r="D555" t="s">
        <v>18</v>
      </c>
      <c r="E555" s="1">
        <v>741</v>
      </c>
      <c r="F555" s="1">
        <v>2025</v>
      </c>
      <c r="G555" t="s">
        <v>11</v>
      </c>
      <c r="H555" s="2">
        <v>45779.375208333331</v>
      </c>
      <c r="I555" s="9">
        <f t="shared" si="76"/>
        <v>45784</v>
      </c>
      <c r="J555" s="2" t="str">
        <f t="shared" si="77"/>
        <v/>
      </c>
      <c r="L555" s="2" t="str">
        <f t="shared" si="78"/>
        <v/>
      </c>
      <c r="N555" s="10" t="str">
        <f t="shared" si="79"/>
        <v/>
      </c>
      <c r="O555" s="2">
        <f t="shared" si="80"/>
        <v>45784</v>
      </c>
      <c r="P555" s="2">
        <v>45783.496851851851</v>
      </c>
      <c r="Q555" s="2">
        <f t="shared" si="81"/>
        <v>45790</v>
      </c>
      <c r="R555" s="2">
        <v>45783.501666666663</v>
      </c>
      <c r="S555">
        <f t="shared" si="82"/>
        <v>0</v>
      </c>
      <c r="T555" s="2">
        <f t="shared" si="83"/>
        <v>45790</v>
      </c>
      <c r="U555" t="str">
        <f t="shared" si="84"/>
        <v>NO PRAZO</v>
      </c>
    </row>
    <row r="556" spans="1:21" hidden="1">
      <c r="A556" s="1">
        <v>19824</v>
      </c>
      <c r="B556" t="s">
        <v>17</v>
      </c>
      <c r="C556" t="s">
        <v>9</v>
      </c>
      <c r="D556" t="s">
        <v>16</v>
      </c>
      <c r="E556" s="1">
        <v>736</v>
      </c>
      <c r="F556" s="1">
        <v>2025</v>
      </c>
      <c r="G556" t="s">
        <v>11</v>
      </c>
      <c r="H556" s="2">
        <v>45777.625138888892</v>
      </c>
      <c r="I556" s="9">
        <f t="shared" si="76"/>
        <v>45779</v>
      </c>
      <c r="J556" s="2" t="str">
        <f t="shared" si="77"/>
        <v/>
      </c>
      <c r="L556" s="2" t="str">
        <f t="shared" si="78"/>
        <v/>
      </c>
      <c r="N556" s="10" t="str">
        <f t="shared" si="79"/>
        <v/>
      </c>
      <c r="O556" s="2">
        <f t="shared" si="80"/>
        <v>45779</v>
      </c>
      <c r="P556" s="2">
        <v>45782.472372685188</v>
      </c>
      <c r="Q556" s="2">
        <f t="shared" si="81"/>
        <v>45785</v>
      </c>
      <c r="R556" s="2">
        <v>45782.541666666664</v>
      </c>
      <c r="S556">
        <f t="shared" si="82"/>
        <v>0</v>
      </c>
      <c r="T556" s="2">
        <f t="shared" si="83"/>
        <v>45785</v>
      </c>
      <c r="U556" t="str">
        <f t="shared" si="84"/>
        <v>NO PRAZO</v>
      </c>
    </row>
    <row r="557" spans="1:21">
      <c r="A557" s="1">
        <v>19823</v>
      </c>
      <c r="B557" t="s">
        <v>22</v>
      </c>
      <c r="C557" t="s">
        <v>13</v>
      </c>
      <c r="D557" t="s">
        <v>14</v>
      </c>
      <c r="E557" s="1">
        <v>735</v>
      </c>
      <c r="F557" s="1">
        <v>2025</v>
      </c>
      <c r="G557" t="s">
        <v>11</v>
      </c>
      <c r="H557" s="2">
        <v>45777.583483796298</v>
      </c>
      <c r="I557" s="9">
        <f t="shared" si="76"/>
        <v>45779</v>
      </c>
      <c r="J557" s="2" t="str">
        <f t="shared" si="77"/>
        <v/>
      </c>
      <c r="L557" s="2" t="str">
        <f t="shared" si="78"/>
        <v/>
      </c>
      <c r="N557" s="10" t="str">
        <f t="shared" si="79"/>
        <v/>
      </c>
      <c r="O557" s="2">
        <f t="shared" si="80"/>
        <v>45779</v>
      </c>
      <c r="P557" s="2">
        <v>45783.66070601852</v>
      </c>
      <c r="Q557" s="2">
        <f t="shared" si="81"/>
        <v>45782</v>
      </c>
      <c r="R557" s="2">
        <v>45783.731145833335</v>
      </c>
      <c r="S557">
        <f t="shared" si="82"/>
        <v>1</v>
      </c>
      <c r="T557" s="2">
        <f t="shared" si="83"/>
        <v>45782</v>
      </c>
      <c r="U557" t="str">
        <f t="shared" si="84"/>
        <v>ATRASO</v>
      </c>
    </row>
    <row r="558" spans="1:21">
      <c r="A558" s="1">
        <v>19822</v>
      </c>
      <c r="B558" t="s">
        <v>22</v>
      </c>
      <c r="C558" t="s">
        <v>13</v>
      </c>
      <c r="D558" t="s">
        <v>14</v>
      </c>
      <c r="E558" s="1">
        <v>734</v>
      </c>
      <c r="F558" s="1">
        <v>2025</v>
      </c>
      <c r="G558" t="s">
        <v>11</v>
      </c>
      <c r="H558" s="2">
        <v>45777.583483796298</v>
      </c>
      <c r="I558" s="9">
        <f t="shared" si="76"/>
        <v>45779</v>
      </c>
      <c r="J558" s="2" t="str">
        <f t="shared" si="77"/>
        <v/>
      </c>
      <c r="L558" s="2" t="str">
        <f t="shared" si="78"/>
        <v/>
      </c>
      <c r="N558" s="10" t="str">
        <f t="shared" si="79"/>
        <v/>
      </c>
      <c r="O558" s="2">
        <f t="shared" si="80"/>
        <v>45779</v>
      </c>
      <c r="P558" s="2">
        <v>45783.658819444441</v>
      </c>
      <c r="Q558" s="2">
        <f t="shared" si="81"/>
        <v>45782</v>
      </c>
      <c r="R558" s="2">
        <v>45783.730555555558</v>
      </c>
      <c r="S558">
        <f t="shared" si="82"/>
        <v>1</v>
      </c>
      <c r="T558" s="2">
        <f t="shared" si="83"/>
        <v>45782</v>
      </c>
      <c r="U558" t="str">
        <f t="shared" si="84"/>
        <v>ATRASO</v>
      </c>
    </row>
    <row r="559" spans="1:21">
      <c r="A559" s="1">
        <v>19821</v>
      </c>
      <c r="B559" t="s">
        <v>22</v>
      </c>
      <c r="C559" t="s">
        <v>13</v>
      </c>
      <c r="D559" t="s">
        <v>14</v>
      </c>
      <c r="E559" s="1">
        <v>733</v>
      </c>
      <c r="F559" s="1">
        <v>2025</v>
      </c>
      <c r="G559" t="s">
        <v>11</v>
      </c>
      <c r="H559" s="2">
        <v>45777.583483796298</v>
      </c>
      <c r="I559" s="9">
        <f t="shared" si="76"/>
        <v>45779</v>
      </c>
      <c r="J559" s="2" t="str">
        <f t="shared" si="77"/>
        <v/>
      </c>
      <c r="L559" s="2" t="str">
        <f t="shared" si="78"/>
        <v/>
      </c>
      <c r="N559" s="10" t="str">
        <f t="shared" si="79"/>
        <v/>
      </c>
      <c r="O559" s="2">
        <f t="shared" si="80"/>
        <v>45779</v>
      </c>
      <c r="P559" s="2">
        <v>45783.657372685186</v>
      </c>
      <c r="Q559" s="2">
        <f t="shared" si="81"/>
        <v>45782</v>
      </c>
      <c r="R559" s="2">
        <v>45783.730023148149</v>
      </c>
      <c r="S559">
        <f t="shared" si="82"/>
        <v>1</v>
      </c>
      <c r="T559" s="2">
        <f t="shared" si="83"/>
        <v>45782</v>
      </c>
      <c r="U559" t="str">
        <f t="shared" si="84"/>
        <v>ATRASO</v>
      </c>
    </row>
    <row r="560" spans="1:21" hidden="1">
      <c r="A560" s="1">
        <v>19819</v>
      </c>
      <c r="B560" t="s">
        <v>12</v>
      </c>
      <c r="C560" t="s">
        <v>13</v>
      </c>
      <c r="D560" t="s">
        <v>16</v>
      </c>
      <c r="E560" s="1">
        <v>731</v>
      </c>
      <c r="F560" s="1">
        <v>2025</v>
      </c>
      <c r="G560" t="s">
        <v>11</v>
      </c>
      <c r="H560" s="2">
        <v>45777.461423611108</v>
      </c>
      <c r="I560" s="9">
        <f t="shared" si="76"/>
        <v>45779</v>
      </c>
      <c r="J560" s="2" t="str">
        <f t="shared" si="77"/>
        <v/>
      </c>
      <c r="L560" s="2" t="str">
        <f t="shared" si="78"/>
        <v/>
      </c>
      <c r="N560" s="10" t="str">
        <f t="shared" si="79"/>
        <v/>
      </c>
      <c r="O560" s="2">
        <f t="shared" si="80"/>
        <v>45779</v>
      </c>
      <c r="P560" s="2">
        <v>45777.505277777775</v>
      </c>
      <c r="Q560" s="2">
        <f t="shared" si="81"/>
        <v>45785</v>
      </c>
      <c r="R560" s="2">
        <v>45777.513344907406</v>
      </c>
      <c r="S560">
        <f t="shared" si="82"/>
        <v>0</v>
      </c>
      <c r="T560" s="2">
        <f t="shared" si="83"/>
        <v>45785</v>
      </c>
      <c r="U560" t="str">
        <f t="shared" si="84"/>
        <v>NO PRAZO</v>
      </c>
    </row>
    <row r="561" spans="1:21">
      <c r="A561" s="1">
        <v>19814</v>
      </c>
      <c r="B561" t="s">
        <v>12</v>
      </c>
      <c r="C561" t="s">
        <v>13</v>
      </c>
      <c r="D561" t="s">
        <v>16</v>
      </c>
      <c r="E561" s="1">
        <v>726</v>
      </c>
      <c r="F561" s="1">
        <v>2025</v>
      </c>
      <c r="G561" t="s">
        <v>11</v>
      </c>
      <c r="H561" s="2">
        <v>45776.750138888892</v>
      </c>
      <c r="I561" s="9">
        <f t="shared" si="76"/>
        <v>45777</v>
      </c>
      <c r="J561" s="2" t="str">
        <f t="shared" si="77"/>
        <v/>
      </c>
      <c r="L561" s="2" t="str">
        <f t="shared" si="78"/>
        <v/>
      </c>
      <c r="N561" s="10" t="str">
        <f t="shared" si="79"/>
        <v/>
      </c>
      <c r="O561" s="2">
        <f t="shared" si="80"/>
        <v>45777</v>
      </c>
      <c r="P561" s="2">
        <v>45782.722546296296</v>
      </c>
      <c r="Q561" s="2">
        <f t="shared" si="81"/>
        <v>45784</v>
      </c>
      <c r="R561" s="2">
        <v>45796.857546296298</v>
      </c>
      <c r="S561">
        <f t="shared" si="82"/>
        <v>12</v>
      </c>
      <c r="T561" s="2">
        <f t="shared" si="83"/>
        <v>45784</v>
      </c>
      <c r="U561" t="str">
        <f t="shared" si="84"/>
        <v>ATRASO</v>
      </c>
    </row>
    <row r="562" spans="1:21" hidden="1">
      <c r="A562" s="1">
        <v>19811</v>
      </c>
      <c r="B562" t="s">
        <v>22</v>
      </c>
      <c r="C562" t="s">
        <v>13</v>
      </c>
      <c r="D562" t="s">
        <v>18</v>
      </c>
      <c r="E562" s="1">
        <v>723</v>
      </c>
      <c r="F562" s="1">
        <v>2025</v>
      </c>
      <c r="G562" t="s">
        <v>11</v>
      </c>
      <c r="H562" s="2">
        <v>45776.583506944444</v>
      </c>
      <c r="I562" s="9">
        <f t="shared" si="76"/>
        <v>45782</v>
      </c>
      <c r="J562" s="2" t="str">
        <f t="shared" si="77"/>
        <v/>
      </c>
      <c r="L562" s="2" t="str">
        <f t="shared" si="78"/>
        <v/>
      </c>
      <c r="N562" s="10" t="str">
        <f t="shared" si="79"/>
        <v/>
      </c>
      <c r="O562" s="2">
        <f t="shared" si="80"/>
        <v>45782</v>
      </c>
      <c r="P562" s="2">
        <v>45783.574363425927</v>
      </c>
      <c r="Q562" s="2">
        <f t="shared" si="81"/>
        <v>45786</v>
      </c>
      <c r="R562" s="2">
        <v>45783.735474537039</v>
      </c>
      <c r="S562">
        <f t="shared" si="82"/>
        <v>0</v>
      </c>
      <c r="T562" s="2">
        <f t="shared" si="83"/>
        <v>45786</v>
      </c>
      <c r="U562" t="str">
        <f t="shared" si="84"/>
        <v>NO PRAZO</v>
      </c>
    </row>
    <row r="563" spans="1:21" hidden="1">
      <c r="A563" s="1">
        <v>19810</v>
      </c>
      <c r="B563" t="s">
        <v>22</v>
      </c>
      <c r="C563" t="s">
        <v>13</v>
      </c>
      <c r="D563" t="s">
        <v>18</v>
      </c>
      <c r="E563" s="1">
        <v>722</v>
      </c>
      <c r="F563" s="1">
        <v>2025</v>
      </c>
      <c r="G563" t="s">
        <v>11</v>
      </c>
      <c r="H563" s="2">
        <v>45776.583506944444</v>
      </c>
      <c r="I563" s="9">
        <f t="shared" si="76"/>
        <v>45782</v>
      </c>
      <c r="J563" s="2" t="str">
        <f t="shared" si="77"/>
        <v/>
      </c>
      <c r="L563" s="2" t="str">
        <f t="shared" si="78"/>
        <v/>
      </c>
      <c r="N563" s="10" t="str">
        <f t="shared" si="79"/>
        <v/>
      </c>
      <c r="O563" s="2">
        <f t="shared" si="80"/>
        <v>45782</v>
      </c>
      <c r="P563" s="2">
        <v>45783.569965277777</v>
      </c>
      <c r="Q563" s="2">
        <f t="shared" si="81"/>
        <v>45786</v>
      </c>
      <c r="R563" s="2">
        <v>45783.7346875</v>
      </c>
      <c r="S563">
        <f t="shared" si="82"/>
        <v>0</v>
      </c>
      <c r="T563" s="2">
        <f t="shared" si="83"/>
        <v>45786</v>
      </c>
      <c r="U563" t="str">
        <f t="shared" si="84"/>
        <v>NO PRAZO</v>
      </c>
    </row>
    <row r="564" spans="1:21" hidden="1">
      <c r="A564" s="1">
        <v>19809</v>
      </c>
      <c r="B564" t="s">
        <v>17</v>
      </c>
      <c r="C564" t="s">
        <v>13</v>
      </c>
      <c r="D564" t="s">
        <v>18</v>
      </c>
      <c r="E564" s="1">
        <v>721</v>
      </c>
      <c r="F564" s="1">
        <v>2025</v>
      </c>
      <c r="G564" t="s">
        <v>11</v>
      </c>
      <c r="H564" s="2">
        <v>45776.583506944444</v>
      </c>
      <c r="I564" s="9">
        <f t="shared" si="76"/>
        <v>45782</v>
      </c>
      <c r="J564" s="2" t="str">
        <f t="shared" si="77"/>
        <v/>
      </c>
      <c r="L564" s="2" t="str">
        <f t="shared" si="78"/>
        <v/>
      </c>
      <c r="N564" s="10" t="str">
        <f t="shared" si="79"/>
        <v/>
      </c>
      <c r="O564" s="2">
        <f t="shared" si="80"/>
        <v>45782</v>
      </c>
      <c r="P564" s="2">
        <v>45777.704004629632</v>
      </c>
      <c r="Q564" s="2">
        <f t="shared" si="81"/>
        <v>45786</v>
      </c>
      <c r="R564" s="2">
        <v>45782.329467592594</v>
      </c>
      <c r="S564">
        <f t="shared" si="82"/>
        <v>0</v>
      </c>
      <c r="T564" s="2">
        <f t="shared" si="83"/>
        <v>45786</v>
      </c>
      <c r="U564" t="str">
        <f t="shared" si="84"/>
        <v>NO PRAZO</v>
      </c>
    </row>
    <row r="565" spans="1:21" hidden="1">
      <c r="A565" s="1">
        <v>19802</v>
      </c>
      <c r="B565" t="s">
        <v>22</v>
      </c>
      <c r="C565" t="s">
        <v>13</v>
      </c>
      <c r="D565" t="s">
        <v>18</v>
      </c>
      <c r="E565" s="1">
        <v>714</v>
      </c>
      <c r="F565" s="1">
        <v>2025</v>
      </c>
      <c r="G565" t="s">
        <v>11</v>
      </c>
      <c r="H565" s="2">
        <v>45775.583506944444</v>
      </c>
      <c r="I565" s="9">
        <f t="shared" si="76"/>
        <v>45779</v>
      </c>
      <c r="J565" s="2" t="str">
        <f t="shared" si="77"/>
        <v/>
      </c>
      <c r="L565" s="2" t="str">
        <f t="shared" si="78"/>
        <v/>
      </c>
      <c r="N565" s="10" t="str">
        <f t="shared" si="79"/>
        <v/>
      </c>
      <c r="O565" s="2">
        <f t="shared" si="80"/>
        <v>45779</v>
      </c>
      <c r="P565" s="2">
        <v>45777.420520833337</v>
      </c>
      <c r="Q565" s="2">
        <f t="shared" si="81"/>
        <v>45785</v>
      </c>
      <c r="R565" s="2">
        <v>45777.420740740738</v>
      </c>
      <c r="S565">
        <f t="shared" si="82"/>
        <v>0</v>
      </c>
      <c r="T565" s="2">
        <f t="shared" si="83"/>
        <v>45785</v>
      </c>
      <c r="U565" t="str">
        <f t="shared" si="84"/>
        <v>NO PRAZO</v>
      </c>
    </row>
    <row r="566" spans="1:21" hidden="1">
      <c r="A566" s="1">
        <v>19800</v>
      </c>
      <c r="B566" t="s">
        <v>23</v>
      </c>
      <c r="C566" t="s">
        <v>13</v>
      </c>
      <c r="D566" t="s">
        <v>10</v>
      </c>
      <c r="E566" s="1">
        <v>712</v>
      </c>
      <c r="F566" s="1">
        <v>2025</v>
      </c>
      <c r="G566" t="s">
        <v>11</v>
      </c>
      <c r="H566" s="2">
        <v>45775.500138888892</v>
      </c>
      <c r="I566" s="9">
        <f t="shared" si="76"/>
        <v>45776</v>
      </c>
      <c r="J566" s="2" t="str">
        <f t="shared" si="77"/>
        <v/>
      </c>
      <c r="L566" s="2" t="str">
        <f t="shared" si="78"/>
        <v/>
      </c>
      <c r="N566" s="10" t="str">
        <f t="shared" si="79"/>
        <v/>
      </c>
      <c r="O566" s="2">
        <f t="shared" si="80"/>
        <v>45776</v>
      </c>
      <c r="P566" s="2">
        <v>45775.709444444445</v>
      </c>
      <c r="Q566" s="2">
        <f t="shared" si="81"/>
        <v>45777</v>
      </c>
      <c r="R566" s="2">
        <v>45775.717743055553</v>
      </c>
      <c r="S566">
        <f t="shared" si="82"/>
        <v>0</v>
      </c>
      <c r="T566" s="2">
        <f t="shared" si="83"/>
        <v>45777</v>
      </c>
      <c r="U566" t="str">
        <f t="shared" si="84"/>
        <v>NO PRAZO</v>
      </c>
    </row>
    <row r="567" spans="1:21" hidden="1">
      <c r="A567" s="1">
        <v>19793</v>
      </c>
      <c r="B567" t="s">
        <v>17</v>
      </c>
      <c r="C567" t="s">
        <v>13</v>
      </c>
      <c r="D567" t="s">
        <v>10</v>
      </c>
      <c r="E567" s="1">
        <v>705</v>
      </c>
      <c r="F567" s="1">
        <v>2025</v>
      </c>
      <c r="G567" t="s">
        <v>11</v>
      </c>
      <c r="H567" s="2">
        <v>45772.583483796298</v>
      </c>
      <c r="I567" s="9">
        <f t="shared" si="76"/>
        <v>45775</v>
      </c>
      <c r="J567" s="2" t="str">
        <f t="shared" si="77"/>
        <v/>
      </c>
      <c r="L567" s="2" t="str">
        <f t="shared" si="78"/>
        <v/>
      </c>
      <c r="N567" s="10" t="str">
        <f t="shared" si="79"/>
        <v/>
      </c>
      <c r="O567" s="2">
        <f t="shared" si="80"/>
        <v>45775</v>
      </c>
      <c r="P567" s="2">
        <v>45772.717650462961</v>
      </c>
      <c r="Q567" s="2">
        <f t="shared" si="81"/>
        <v>45776</v>
      </c>
      <c r="R567" s="2">
        <v>45772.729039351849</v>
      </c>
      <c r="S567">
        <f t="shared" si="82"/>
        <v>0</v>
      </c>
      <c r="T567" s="2">
        <f t="shared" si="83"/>
        <v>45776</v>
      </c>
      <c r="U567" t="str">
        <f t="shared" si="84"/>
        <v>NO PRAZO</v>
      </c>
    </row>
    <row r="568" spans="1:21" hidden="1">
      <c r="A568" s="1">
        <v>19785</v>
      </c>
      <c r="B568" t="s">
        <v>8</v>
      </c>
      <c r="C568" t="s">
        <v>9</v>
      </c>
      <c r="D568" t="s">
        <v>10</v>
      </c>
      <c r="E568" s="1">
        <v>697</v>
      </c>
      <c r="F568" s="1">
        <v>2025</v>
      </c>
      <c r="G568" t="s">
        <v>11</v>
      </c>
      <c r="H568" s="2">
        <v>45772.458495370367</v>
      </c>
      <c r="I568" s="9">
        <f t="shared" si="76"/>
        <v>45775</v>
      </c>
      <c r="J568" s="2" t="str">
        <f t="shared" si="77"/>
        <v/>
      </c>
      <c r="L568" s="2" t="str">
        <f t="shared" si="78"/>
        <v/>
      </c>
      <c r="N568" s="10" t="str">
        <f t="shared" si="79"/>
        <v/>
      </c>
      <c r="O568" s="2">
        <f t="shared" si="80"/>
        <v>45775</v>
      </c>
      <c r="P568" s="2">
        <v>45772.639398148145</v>
      </c>
      <c r="Q568" s="2">
        <f t="shared" si="81"/>
        <v>45776</v>
      </c>
      <c r="R568" s="2">
        <v>45772.68540509259</v>
      </c>
      <c r="S568">
        <f t="shared" si="82"/>
        <v>0</v>
      </c>
      <c r="T568" s="2">
        <f t="shared" si="83"/>
        <v>45776</v>
      </c>
      <c r="U568" t="str">
        <f t="shared" si="84"/>
        <v>NO PRAZO</v>
      </c>
    </row>
    <row r="569" spans="1:21" hidden="1">
      <c r="A569" s="1">
        <v>19784</v>
      </c>
      <c r="B569" t="s">
        <v>22</v>
      </c>
      <c r="C569" t="s">
        <v>13</v>
      </c>
      <c r="D569" t="s">
        <v>18</v>
      </c>
      <c r="E569" s="1">
        <v>696</v>
      </c>
      <c r="F569" s="1">
        <v>2025</v>
      </c>
      <c r="G569" t="s">
        <v>11</v>
      </c>
      <c r="H569" s="2">
        <v>45772.458495370367</v>
      </c>
      <c r="I569" s="9">
        <f t="shared" si="76"/>
        <v>45777</v>
      </c>
      <c r="J569" s="2" t="str">
        <f t="shared" si="77"/>
        <v/>
      </c>
      <c r="L569" s="2" t="str">
        <f t="shared" si="78"/>
        <v/>
      </c>
      <c r="N569" s="10" t="str">
        <f t="shared" si="79"/>
        <v/>
      </c>
      <c r="O569" s="2">
        <f t="shared" si="80"/>
        <v>45777</v>
      </c>
      <c r="P569" s="2">
        <v>45777.41710648148</v>
      </c>
      <c r="Q569" s="2">
        <f t="shared" si="81"/>
        <v>45784</v>
      </c>
      <c r="R569" s="2">
        <v>45777.417222222219</v>
      </c>
      <c r="S569">
        <f t="shared" si="82"/>
        <v>0</v>
      </c>
      <c r="T569" s="2">
        <f t="shared" si="83"/>
        <v>45784</v>
      </c>
      <c r="U569" t="str">
        <f t="shared" si="84"/>
        <v>NO PRAZO</v>
      </c>
    </row>
    <row r="570" spans="1:21">
      <c r="A570" s="1">
        <v>19774</v>
      </c>
      <c r="B570" t="s">
        <v>19</v>
      </c>
      <c r="C570" t="s">
        <v>13</v>
      </c>
      <c r="D570" t="s">
        <v>16</v>
      </c>
      <c r="E570" s="1">
        <v>686</v>
      </c>
      <c r="F570" s="1">
        <v>2025</v>
      </c>
      <c r="G570" t="s">
        <v>11</v>
      </c>
      <c r="H570" s="2">
        <v>45771.375138888892</v>
      </c>
      <c r="I570" s="9">
        <f t="shared" si="76"/>
        <v>45772</v>
      </c>
      <c r="J570" s="2" t="str">
        <f t="shared" si="77"/>
        <v/>
      </c>
      <c r="L570" s="2" t="str">
        <f t="shared" si="78"/>
        <v/>
      </c>
      <c r="N570" s="10" t="str">
        <f t="shared" si="79"/>
        <v/>
      </c>
      <c r="O570" s="2">
        <f t="shared" si="80"/>
        <v>45772</v>
      </c>
      <c r="P570" s="2">
        <v>45783.745462962965</v>
      </c>
      <c r="Q570" s="2">
        <f t="shared" si="81"/>
        <v>45779</v>
      </c>
      <c r="R570" s="2">
        <v>45785.728935185187</v>
      </c>
      <c r="S570">
        <f t="shared" si="82"/>
        <v>6</v>
      </c>
      <c r="T570" s="2">
        <f t="shared" si="83"/>
        <v>45779</v>
      </c>
      <c r="U570" t="str">
        <f t="shared" si="84"/>
        <v>ATRASO</v>
      </c>
    </row>
    <row r="571" spans="1:21" hidden="1">
      <c r="A571" s="1">
        <v>19759</v>
      </c>
      <c r="B571" t="s">
        <v>17</v>
      </c>
      <c r="C571" t="s">
        <v>13</v>
      </c>
      <c r="D571" t="s">
        <v>18</v>
      </c>
      <c r="E571" s="1">
        <v>671</v>
      </c>
      <c r="F571" s="1">
        <v>2025</v>
      </c>
      <c r="G571" t="s">
        <v>11</v>
      </c>
      <c r="H571" s="2">
        <v>45764.416967592595</v>
      </c>
      <c r="I571" s="9">
        <f t="shared" si="76"/>
        <v>45772</v>
      </c>
      <c r="J571" s="2" t="str">
        <f t="shared" si="77"/>
        <v/>
      </c>
      <c r="L571" s="2" t="str">
        <f t="shared" si="78"/>
        <v/>
      </c>
      <c r="N571" s="10" t="str">
        <f t="shared" si="79"/>
        <v/>
      </c>
      <c r="O571" s="2">
        <f t="shared" si="80"/>
        <v>45772</v>
      </c>
      <c r="P571" s="2">
        <v>45772.661620370367</v>
      </c>
      <c r="Q571" s="2">
        <f t="shared" si="81"/>
        <v>45779</v>
      </c>
      <c r="R571" s="2">
        <v>45772.662916666668</v>
      </c>
      <c r="S571">
        <f t="shared" si="82"/>
        <v>0</v>
      </c>
      <c r="T571" s="2">
        <f t="shared" si="83"/>
        <v>45779</v>
      </c>
      <c r="U571" t="str">
        <f t="shared" si="84"/>
        <v>NO PRAZO</v>
      </c>
    </row>
    <row r="572" spans="1:21" hidden="1">
      <c r="A572" s="1">
        <v>19758</v>
      </c>
      <c r="B572" t="s">
        <v>22</v>
      </c>
      <c r="C572" t="s">
        <v>13</v>
      </c>
      <c r="D572" t="s">
        <v>18</v>
      </c>
      <c r="E572" s="1">
        <v>670</v>
      </c>
      <c r="F572" s="1">
        <v>2025</v>
      </c>
      <c r="G572" t="s">
        <v>11</v>
      </c>
      <c r="H572" s="2">
        <v>45764.416967592595</v>
      </c>
      <c r="I572" s="9">
        <f t="shared" si="76"/>
        <v>45772</v>
      </c>
      <c r="J572" s="2" t="str">
        <f t="shared" si="77"/>
        <v/>
      </c>
      <c r="L572" s="2" t="str">
        <f t="shared" si="78"/>
        <v/>
      </c>
      <c r="N572" s="10" t="str">
        <f t="shared" si="79"/>
        <v/>
      </c>
      <c r="O572" s="2">
        <f t="shared" si="80"/>
        <v>45772</v>
      </c>
      <c r="P572" s="2">
        <v>45772.704629629632</v>
      </c>
      <c r="Q572" s="2">
        <f t="shared" si="81"/>
        <v>45779</v>
      </c>
      <c r="R572" s="2">
        <v>45772.705138888887</v>
      </c>
      <c r="S572">
        <f t="shared" si="82"/>
        <v>0</v>
      </c>
      <c r="T572" s="2">
        <f t="shared" si="83"/>
        <v>45779</v>
      </c>
      <c r="U572" t="str">
        <f t="shared" si="84"/>
        <v>NO PRAZO</v>
      </c>
    </row>
    <row r="573" spans="1:21" hidden="1">
      <c r="A573" s="1">
        <v>19757</v>
      </c>
      <c r="B573" t="s">
        <v>20</v>
      </c>
      <c r="C573" t="s">
        <v>13</v>
      </c>
      <c r="D573" t="s">
        <v>16</v>
      </c>
      <c r="E573" s="1">
        <v>669</v>
      </c>
      <c r="F573" s="1">
        <v>2025</v>
      </c>
      <c r="G573" t="s">
        <v>11</v>
      </c>
      <c r="H573" s="2">
        <v>45764.3753125</v>
      </c>
      <c r="I573" s="9">
        <f t="shared" si="76"/>
        <v>45769</v>
      </c>
      <c r="J573" s="2" t="str">
        <f t="shared" si="77"/>
        <v/>
      </c>
      <c r="L573" s="2" t="str">
        <f t="shared" si="78"/>
        <v/>
      </c>
      <c r="N573" s="10" t="str">
        <f t="shared" si="79"/>
        <v/>
      </c>
      <c r="O573" s="2">
        <f t="shared" si="80"/>
        <v>45769</v>
      </c>
      <c r="P573" s="2">
        <v>45775.762291666666</v>
      </c>
      <c r="Q573" s="2">
        <f t="shared" si="81"/>
        <v>45776</v>
      </c>
      <c r="R573" s="2">
        <v>45775.762685185182</v>
      </c>
      <c r="S573">
        <f t="shared" si="82"/>
        <v>0</v>
      </c>
      <c r="T573" s="2">
        <f t="shared" si="83"/>
        <v>45776</v>
      </c>
      <c r="U573" t="str">
        <f t="shared" si="84"/>
        <v>NO PRAZO</v>
      </c>
    </row>
    <row r="574" spans="1:21" hidden="1">
      <c r="A574" s="1">
        <v>19753</v>
      </c>
      <c r="B574" t="s">
        <v>22</v>
      </c>
      <c r="C574" t="s">
        <v>13</v>
      </c>
      <c r="D574" t="s">
        <v>18</v>
      </c>
      <c r="E574" s="1">
        <v>665</v>
      </c>
      <c r="F574" s="1">
        <v>2025</v>
      </c>
      <c r="G574" t="s">
        <v>11</v>
      </c>
      <c r="H574" s="2">
        <v>45763.375358796293</v>
      </c>
      <c r="I574" s="9">
        <f t="shared" si="76"/>
        <v>45771</v>
      </c>
      <c r="J574" s="2" t="str">
        <f t="shared" si="77"/>
        <v/>
      </c>
      <c r="L574" s="2" t="str">
        <f t="shared" si="78"/>
        <v/>
      </c>
      <c r="N574" s="10" t="str">
        <f t="shared" si="79"/>
        <v/>
      </c>
      <c r="O574" s="2">
        <f t="shared" si="80"/>
        <v>45771</v>
      </c>
      <c r="P574" s="2">
        <v>45769.611840277779</v>
      </c>
      <c r="Q574" s="2">
        <f t="shared" si="81"/>
        <v>45777</v>
      </c>
      <c r="R574" s="2">
        <v>45769.612291666665</v>
      </c>
      <c r="S574">
        <f t="shared" si="82"/>
        <v>0</v>
      </c>
      <c r="T574" s="2">
        <f t="shared" si="83"/>
        <v>45777</v>
      </c>
      <c r="U574" t="str">
        <f t="shared" si="84"/>
        <v>NO PRAZO</v>
      </c>
    </row>
    <row r="575" spans="1:21" hidden="1">
      <c r="A575" s="1">
        <v>19749</v>
      </c>
      <c r="B575" t="s">
        <v>20</v>
      </c>
      <c r="C575" t="s">
        <v>13</v>
      </c>
      <c r="D575" t="s">
        <v>18</v>
      </c>
      <c r="E575" s="1">
        <v>661</v>
      </c>
      <c r="F575" s="1">
        <v>2025</v>
      </c>
      <c r="G575" t="s">
        <v>11</v>
      </c>
      <c r="H575" s="2">
        <v>45762.500335648147</v>
      </c>
      <c r="I575" s="9">
        <f t="shared" si="76"/>
        <v>45769</v>
      </c>
      <c r="J575" s="2" t="str">
        <f t="shared" si="77"/>
        <v/>
      </c>
      <c r="L575" s="2" t="str">
        <f t="shared" si="78"/>
        <v/>
      </c>
      <c r="N575" s="10" t="str">
        <f t="shared" si="79"/>
        <v/>
      </c>
      <c r="O575" s="2">
        <f t="shared" si="80"/>
        <v>45769</v>
      </c>
      <c r="P575" s="2">
        <v>45763.421817129631</v>
      </c>
      <c r="Q575" s="2">
        <f t="shared" si="81"/>
        <v>45776</v>
      </c>
      <c r="R575" s="2">
        <v>45772.645416666666</v>
      </c>
      <c r="S575">
        <f t="shared" si="82"/>
        <v>0</v>
      </c>
      <c r="T575" s="2">
        <f t="shared" si="83"/>
        <v>45776</v>
      </c>
      <c r="U575" t="str">
        <f t="shared" si="84"/>
        <v>NO PRAZO</v>
      </c>
    </row>
    <row r="576" spans="1:21" hidden="1">
      <c r="A576" s="1">
        <v>19742</v>
      </c>
      <c r="B576" t="s">
        <v>8</v>
      </c>
      <c r="C576" t="s">
        <v>13</v>
      </c>
      <c r="D576" t="s">
        <v>10</v>
      </c>
      <c r="E576" s="1">
        <v>654</v>
      </c>
      <c r="F576" s="1">
        <v>2025</v>
      </c>
      <c r="G576" t="s">
        <v>11</v>
      </c>
      <c r="H576" s="2">
        <v>45761.625324074077</v>
      </c>
      <c r="I576" s="9">
        <f t="shared" ref="I576:I639" si="85">IF(OR(D576="ORIENTAÇÃO",D576="BUG IMPEDITIVO",D576="BUG NÃO IMPEDITIVO"),WORKDAY(H576,1,Z$2:Z$500),IF(OR(D576="MELHORIA PEQUENA",D576="MELHORIA MÉDIA"),WORKDAY(H576,3,Z$2:Z$500),""))</f>
        <v>45762</v>
      </c>
      <c r="J576" s="2" t="str">
        <f t="shared" si="77"/>
        <v/>
      </c>
      <c r="L576" s="2" t="str">
        <f t="shared" si="78"/>
        <v/>
      </c>
      <c r="N576" s="10" t="str">
        <f t="shared" si="79"/>
        <v/>
      </c>
      <c r="O576" s="2">
        <f t="shared" si="80"/>
        <v>45762</v>
      </c>
      <c r="P576" s="2">
        <v>45763.696469907409</v>
      </c>
      <c r="Q576" s="2">
        <f t="shared" si="81"/>
        <v>45763</v>
      </c>
      <c r="R576" s="2">
        <v>45763.696736111109</v>
      </c>
      <c r="S576">
        <f t="shared" si="82"/>
        <v>0</v>
      </c>
      <c r="T576" s="2">
        <f t="shared" si="83"/>
        <v>45763</v>
      </c>
      <c r="U576" t="str">
        <f t="shared" si="84"/>
        <v>NO PRAZO</v>
      </c>
    </row>
    <row r="577" spans="1:21">
      <c r="A577" s="1">
        <v>19741</v>
      </c>
      <c r="B577" t="s">
        <v>20</v>
      </c>
      <c r="C577" t="s">
        <v>13</v>
      </c>
      <c r="D577" t="s">
        <v>16</v>
      </c>
      <c r="E577" s="1">
        <v>653</v>
      </c>
      <c r="F577" s="1">
        <v>2025</v>
      </c>
      <c r="G577" t="s">
        <v>11</v>
      </c>
      <c r="H577" s="2">
        <v>45761.583657407406</v>
      </c>
      <c r="I577" s="9">
        <f t="shared" si="85"/>
        <v>45762</v>
      </c>
      <c r="J577" s="2" t="str">
        <f t="shared" si="77"/>
        <v/>
      </c>
      <c r="L577" s="2" t="str">
        <f t="shared" si="78"/>
        <v/>
      </c>
      <c r="N577" s="10" t="str">
        <f t="shared" si="79"/>
        <v/>
      </c>
      <c r="O577" s="2">
        <f t="shared" si="80"/>
        <v>45762</v>
      </c>
      <c r="P577" s="2">
        <v>45764.695520833331</v>
      </c>
      <c r="Q577" s="2">
        <f t="shared" si="81"/>
        <v>45771</v>
      </c>
      <c r="R577" s="2">
        <v>45792.713807870372</v>
      </c>
      <c r="S577">
        <f t="shared" si="82"/>
        <v>21</v>
      </c>
      <c r="T577" s="2">
        <f t="shared" si="83"/>
        <v>45771</v>
      </c>
      <c r="U577" t="str">
        <f t="shared" si="84"/>
        <v>ATRASO</v>
      </c>
    </row>
    <row r="578" spans="1:21" hidden="1">
      <c r="A578" s="1">
        <v>19740</v>
      </c>
      <c r="B578" t="s">
        <v>24</v>
      </c>
      <c r="C578" t="s">
        <v>13</v>
      </c>
      <c r="D578" t="s">
        <v>21</v>
      </c>
      <c r="E578" s="1">
        <v>652</v>
      </c>
      <c r="F578" s="1">
        <v>2025</v>
      </c>
      <c r="G578" t="s">
        <v>11</v>
      </c>
      <c r="H578" s="2">
        <v>45761.497048611112</v>
      </c>
      <c r="I578" s="9">
        <f t="shared" si="85"/>
        <v>45764</v>
      </c>
      <c r="J578" s="2" t="str">
        <f t="shared" si="77"/>
        <v/>
      </c>
      <c r="L578" s="2" t="str">
        <f t="shared" si="78"/>
        <v/>
      </c>
      <c r="N578" s="10" t="str">
        <f t="shared" si="79"/>
        <v/>
      </c>
      <c r="O578" s="2">
        <f t="shared" si="80"/>
        <v>45764</v>
      </c>
      <c r="P578" s="2">
        <v>45761.509050925924</v>
      </c>
      <c r="Q578" s="2">
        <f t="shared" si="81"/>
        <v>45797</v>
      </c>
      <c r="R578" s="2">
        <v>45785.490995370368</v>
      </c>
      <c r="S578">
        <f t="shared" si="82"/>
        <v>0</v>
      </c>
      <c r="T578" s="2">
        <f t="shared" si="83"/>
        <v>45797</v>
      </c>
      <c r="U578" t="str">
        <f t="shared" si="84"/>
        <v>NO PRAZO</v>
      </c>
    </row>
    <row r="579" spans="1:21" hidden="1">
      <c r="A579" s="1">
        <v>19738</v>
      </c>
      <c r="B579" t="s">
        <v>24</v>
      </c>
      <c r="C579" t="s">
        <v>13</v>
      </c>
      <c r="D579" t="s">
        <v>18</v>
      </c>
      <c r="E579" s="1">
        <v>650</v>
      </c>
      <c r="F579" s="1">
        <v>2025</v>
      </c>
      <c r="G579" t="s">
        <v>11</v>
      </c>
      <c r="H579" s="2">
        <v>45761.375324074077</v>
      </c>
      <c r="I579" s="9">
        <f t="shared" si="85"/>
        <v>45764</v>
      </c>
      <c r="J579" s="2" t="str">
        <f t="shared" ref="J579:J642" si="86">IF(K579&lt;&gt;"",I579,"")</f>
        <v/>
      </c>
      <c r="L579" s="2" t="str">
        <f t="shared" ref="L579:L642" si="87">IF(J579="","",WORKDAY(J579,14,Z$2:Z$500))</f>
        <v/>
      </c>
      <c r="N579" s="10" t="str">
        <f t="shared" ref="N579:N642" si="88">IF(M579="","",MAX(0,INT(M579)-INT(L579)))</f>
        <v/>
      </c>
      <c r="O579" s="2">
        <f t="shared" ref="O579:O642" si="89">IF(L579="",I579,WORKDAY(L579,1,Z$2:Z$500))</f>
        <v>45764</v>
      </c>
      <c r="P579" s="2">
        <v>45764.713159722225</v>
      </c>
      <c r="Q579" s="2">
        <f t="shared" ref="Q579:Q642" si="90">IF(OR(D579="ORIENTAÇÃO",D579="BUG IMPEDITIVO"),WORKDAY(O579,1,Z$2:Z$500),IF(OR(D579="MELHORIA PEQUENA",D579="BUG NÃO IMPEDITIVO"),WORKDAY(O579,4,Z$2:Z$500),IF(D579="MELHORIA MÉDIA",WORKDAY(O579,19,Z$2:Z$500),"")))</f>
        <v>45775</v>
      </c>
      <c r="R579" s="2">
        <v>45764.723506944443</v>
      </c>
      <c r="S579">
        <f t="shared" ref="S579:S642" si="91">MAX(0,INT(R579)-INT(Q579))</f>
        <v>0</v>
      </c>
      <c r="T579" s="2">
        <f t="shared" ref="T579:T642" si="92">IF(D579="MELHORIA MÉDIA",IF(K579&lt;&gt;"",WORKDAY(I579,34,$Z$2:$Z$1000),WORKDAY(I579,19,$Z$2:$Z$1000)),IF(OR(D579="MELHORIA PEQUENA",D579="BUG NÃO IMPEDITIVO"),WORKDAY(I579,4,$Z$2:$Z$1000),IF(OR(D579="ORIENTAÇÃO",D579="BUG IMPEDITIVO"),WORKDAY(I579,1,$Z$2:$Z$1000),"")))</f>
        <v>45775</v>
      </c>
      <c r="U579" t="str">
        <f t="shared" ref="U579:U642" si="93">IF(INT(R579)&lt;=INT(T579),"NO PRAZO","ATRASO")</f>
        <v>NO PRAZO</v>
      </c>
    </row>
    <row r="580" spans="1:21" hidden="1">
      <c r="A580" s="1">
        <v>19735</v>
      </c>
      <c r="B580" t="s">
        <v>17</v>
      </c>
      <c r="C580" t="s">
        <v>13</v>
      </c>
      <c r="D580" t="s">
        <v>18</v>
      </c>
      <c r="E580" s="1">
        <v>647</v>
      </c>
      <c r="F580" s="1">
        <v>2025</v>
      </c>
      <c r="G580" t="s">
        <v>11</v>
      </c>
      <c r="H580" s="2">
        <v>45758.667002314818</v>
      </c>
      <c r="I580" s="9">
        <f t="shared" si="85"/>
        <v>45763</v>
      </c>
      <c r="J580" s="2" t="str">
        <f t="shared" si="86"/>
        <v/>
      </c>
      <c r="L580" s="2" t="str">
        <f t="shared" si="87"/>
        <v/>
      </c>
      <c r="N580" s="10" t="str">
        <f t="shared" si="88"/>
        <v/>
      </c>
      <c r="O580" s="2">
        <f t="shared" si="89"/>
        <v>45763</v>
      </c>
      <c r="P580" s="2">
        <v>45762.555578703701</v>
      </c>
      <c r="Q580" s="2">
        <f t="shared" si="90"/>
        <v>45772</v>
      </c>
      <c r="R580" s="2">
        <v>45762.693993055553</v>
      </c>
      <c r="S580">
        <f t="shared" si="91"/>
        <v>0</v>
      </c>
      <c r="T580" s="2">
        <f t="shared" si="92"/>
        <v>45772</v>
      </c>
      <c r="U580" t="str">
        <f t="shared" si="93"/>
        <v>NO PRAZO</v>
      </c>
    </row>
    <row r="581" spans="1:21" hidden="1">
      <c r="A581" s="1">
        <v>19730</v>
      </c>
      <c r="B581" t="s">
        <v>12</v>
      </c>
      <c r="C581" t="s">
        <v>9</v>
      </c>
      <c r="D581" t="s">
        <v>18</v>
      </c>
      <c r="E581" s="1">
        <v>642</v>
      </c>
      <c r="F581" s="1">
        <v>2025</v>
      </c>
      <c r="G581" t="s">
        <v>11</v>
      </c>
      <c r="H581" s="2">
        <v>45758.375347222223</v>
      </c>
      <c r="I581" s="9">
        <f t="shared" si="85"/>
        <v>45763</v>
      </c>
      <c r="J581" s="2" t="str">
        <f t="shared" si="86"/>
        <v/>
      </c>
      <c r="L581" s="2" t="str">
        <f t="shared" si="87"/>
        <v/>
      </c>
      <c r="N581" s="10" t="str">
        <f t="shared" si="88"/>
        <v/>
      </c>
      <c r="O581" s="2">
        <f t="shared" si="89"/>
        <v>45763</v>
      </c>
      <c r="P581" s="2">
        <v>45763.672442129631</v>
      </c>
      <c r="Q581" s="2">
        <f t="shared" si="90"/>
        <v>45772</v>
      </c>
      <c r="R581" s="2">
        <v>45764.404351851852</v>
      </c>
      <c r="S581">
        <f t="shared" si="91"/>
        <v>0</v>
      </c>
      <c r="T581" s="2">
        <f t="shared" si="92"/>
        <v>45772</v>
      </c>
      <c r="U581" t="str">
        <f t="shared" si="93"/>
        <v>NO PRAZO</v>
      </c>
    </row>
    <row r="582" spans="1:21" hidden="1">
      <c r="A582" s="1">
        <v>19728</v>
      </c>
      <c r="B582" t="s">
        <v>17</v>
      </c>
      <c r="C582" t="s">
        <v>13</v>
      </c>
      <c r="D582" t="s">
        <v>18</v>
      </c>
      <c r="E582" s="1">
        <v>640</v>
      </c>
      <c r="F582" s="1">
        <v>2025</v>
      </c>
      <c r="G582" t="s">
        <v>11</v>
      </c>
      <c r="H582" s="2">
        <v>45757.666956018518</v>
      </c>
      <c r="I582" s="9">
        <f t="shared" si="85"/>
        <v>45762</v>
      </c>
      <c r="J582" s="2" t="str">
        <f t="shared" si="86"/>
        <v/>
      </c>
      <c r="L582" s="2" t="str">
        <f t="shared" si="87"/>
        <v/>
      </c>
      <c r="N582" s="10" t="str">
        <f t="shared" si="88"/>
        <v/>
      </c>
      <c r="O582" s="2">
        <f t="shared" si="89"/>
        <v>45762</v>
      </c>
      <c r="P582" s="2">
        <v>45762.556469907409</v>
      </c>
      <c r="Q582" s="2">
        <f t="shared" si="90"/>
        <v>45771</v>
      </c>
      <c r="R582" s="2">
        <v>45762.694120370368</v>
      </c>
      <c r="S582">
        <f t="shared" si="91"/>
        <v>0</v>
      </c>
      <c r="T582" s="2">
        <f t="shared" si="92"/>
        <v>45771</v>
      </c>
      <c r="U582" t="str">
        <f t="shared" si="93"/>
        <v>NO PRAZO</v>
      </c>
    </row>
    <row r="583" spans="1:21" hidden="1">
      <c r="A583" s="1">
        <v>19726</v>
      </c>
      <c r="B583" t="s">
        <v>24</v>
      </c>
      <c r="C583" t="s">
        <v>13</v>
      </c>
      <c r="D583" t="s">
        <v>10</v>
      </c>
      <c r="E583" s="1">
        <v>638</v>
      </c>
      <c r="F583" s="1">
        <v>2025</v>
      </c>
      <c r="G583" t="s">
        <v>11</v>
      </c>
      <c r="H583" s="2">
        <v>45757.375324074077</v>
      </c>
      <c r="I583" s="9">
        <f t="shared" si="85"/>
        <v>45758</v>
      </c>
      <c r="J583" s="2" t="str">
        <f t="shared" si="86"/>
        <v/>
      </c>
      <c r="L583" s="2" t="str">
        <f t="shared" si="87"/>
        <v/>
      </c>
      <c r="N583" s="10" t="str">
        <f t="shared" si="88"/>
        <v/>
      </c>
      <c r="O583" s="2">
        <f t="shared" si="89"/>
        <v>45758</v>
      </c>
      <c r="P583" s="2">
        <v>45761.41033564815</v>
      </c>
      <c r="Q583" s="2">
        <f t="shared" si="90"/>
        <v>45761</v>
      </c>
      <c r="R583" s="2">
        <v>45761.421597222223</v>
      </c>
      <c r="S583">
        <f t="shared" si="91"/>
        <v>0</v>
      </c>
      <c r="T583" s="2">
        <f t="shared" si="92"/>
        <v>45761</v>
      </c>
      <c r="U583" t="str">
        <f t="shared" si="93"/>
        <v>NO PRAZO</v>
      </c>
    </row>
    <row r="584" spans="1:21" hidden="1">
      <c r="A584" s="1">
        <v>19725</v>
      </c>
      <c r="B584" t="s">
        <v>22</v>
      </c>
      <c r="C584" t="s">
        <v>13</v>
      </c>
      <c r="D584" t="s">
        <v>16</v>
      </c>
      <c r="E584" s="1">
        <v>637</v>
      </c>
      <c r="F584" s="1">
        <v>2025</v>
      </c>
      <c r="G584" t="s">
        <v>11</v>
      </c>
      <c r="H584" s="2">
        <v>45757.333645833336</v>
      </c>
      <c r="I584" s="9">
        <f t="shared" si="85"/>
        <v>45758</v>
      </c>
      <c r="J584" s="2" t="str">
        <f t="shared" si="86"/>
        <v/>
      </c>
      <c r="L584" s="2" t="str">
        <f t="shared" si="87"/>
        <v/>
      </c>
      <c r="N584" s="10" t="str">
        <f t="shared" si="88"/>
        <v/>
      </c>
      <c r="O584" s="2">
        <f t="shared" si="89"/>
        <v>45758</v>
      </c>
      <c r="P584" s="2">
        <v>45761.667013888888</v>
      </c>
      <c r="Q584" s="2">
        <f t="shared" si="90"/>
        <v>45764</v>
      </c>
      <c r="R584" s="2">
        <v>45761.667210648149</v>
      </c>
      <c r="S584">
        <f t="shared" si="91"/>
        <v>0</v>
      </c>
      <c r="T584" s="2">
        <f t="shared" si="92"/>
        <v>45764</v>
      </c>
      <c r="U584" t="str">
        <f t="shared" si="93"/>
        <v>NO PRAZO</v>
      </c>
    </row>
    <row r="585" spans="1:21" hidden="1">
      <c r="A585" s="1">
        <v>19720</v>
      </c>
      <c r="B585" t="s">
        <v>8</v>
      </c>
      <c r="C585" t="s">
        <v>13</v>
      </c>
      <c r="D585" t="s">
        <v>16</v>
      </c>
      <c r="E585" s="1">
        <v>632</v>
      </c>
      <c r="F585" s="1">
        <v>2025</v>
      </c>
      <c r="G585" t="s">
        <v>11</v>
      </c>
      <c r="H585" s="2">
        <v>45756.708611111113</v>
      </c>
      <c r="I585" s="9">
        <f t="shared" si="85"/>
        <v>45757</v>
      </c>
      <c r="J585" s="2" t="str">
        <f t="shared" si="86"/>
        <v/>
      </c>
      <c r="L585" s="2" t="str">
        <f t="shared" si="87"/>
        <v/>
      </c>
      <c r="N585" s="10" t="str">
        <f t="shared" si="88"/>
        <v/>
      </c>
      <c r="O585" s="2">
        <f t="shared" si="89"/>
        <v>45757</v>
      </c>
      <c r="P585" s="2">
        <v>45758.450243055559</v>
      </c>
      <c r="Q585" s="2">
        <f t="shared" si="90"/>
        <v>45763</v>
      </c>
      <c r="R585" s="2">
        <v>45758.450474537036</v>
      </c>
      <c r="S585">
        <f t="shared" si="91"/>
        <v>0</v>
      </c>
      <c r="T585" s="2">
        <f t="shared" si="92"/>
        <v>45763</v>
      </c>
      <c r="U585" t="str">
        <f t="shared" si="93"/>
        <v>NO PRAZO</v>
      </c>
    </row>
    <row r="586" spans="1:21" hidden="1">
      <c r="A586" s="1">
        <v>19718</v>
      </c>
      <c r="B586" t="s">
        <v>23</v>
      </c>
      <c r="C586" t="s">
        <v>13</v>
      </c>
      <c r="D586" t="s">
        <v>10</v>
      </c>
      <c r="E586" s="1">
        <v>630</v>
      </c>
      <c r="F586" s="1">
        <v>2025</v>
      </c>
      <c r="G586" t="s">
        <v>11</v>
      </c>
      <c r="H586" s="2">
        <v>45756.658449074072</v>
      </c>
      <c r="I586" s="9">
        <f t="shared" si="85"/>
        <v>45757</v>
      </c>
      <c r="J586" s="2" t="str">
        <f t="shared" si="86"/>
        <v/>
      </c>
      <c r="L586" s="2" t="str">
        <f t="shared" si="87"/>
        <v/>
      </c>
      <c r="N586" s="10" t="str">
        <f t="shared" si="88"/>
        <v/>
      </c>
      <c r="O586" s="2">
        <f t="shared" si="89"/>
        <v>45757</v>
      </c>
      <c r="P586" s="2">
        <v>45756.675162037034</v>
      </c>
      <c r="Q586" s="2">
        <f t="shared" si="90"/>
        <v>45758</v>
      </c>
      <c r="R586" s="2">
        <v>45757.424629629626</v>
      </c>
      <c r="S586">
        <f t="shared" si="91"/>
        <v>0</v>
      </c>
      <c r="T586" s="2">
        <f t="shared" si="92"/>
        <v>45758</v>
      </c>
      <c r="U586" t="str">
        <f t="shared" si="93"/>
        <v>NO PRAZO</v>
      </c>
    </row>
    <row r="587" spans="1:21" hidden="1">
      <c r="A587" s="1">
        <v>19712</v>
      </c>
      <c r="B587" t="s">
        <v>12</v>
      </c>
      <c r="C587" t="s">
        <v>13</v>
      </c>
      <c r="D587" t="s">
        <v>18</v>
      </c>
      <c r="E587" s="1">
        <v>624</v>
      </c>
      <c r="F587" s="1">
        <v>2025</v>
      </c>
      <c r="G587" t="s">
        <v>11</v>
      </c>
      <c r="H587" s="2">
        <v>45755.750277777777</v>
      </c>
      <c r="I587" s="9">
        <f t="shared" si="85"/>
        <v>45758</v>
      </c>
      <c r="J587" s="2" t="str">
        <f t="shared" si="86"/>
        <v/>
      </c>
      <c r="L587" s="2" t="str">
        <f t="shared" si="87"/>
        <v/>
      </c>
      <c r="N587" s="10" t="str">
        <f t="shared" si="88"/>
        <v/>
      </c>
      <c r="O587" s="2">
        <f t="shared" si="89"/>
        <v>45758</v>
      </c>
      <c r="P587" s="2">
        <v>45761.407719907409</v>
      </c>
      <c r="Q587" s="2">
        <f t="shared" si="90"/>
        <v>45764</v>
      </c>
      <c r="R587" s="2">
        <v>45761.407893518517</v>
      </c>
      <c r="S587">
        <f t="shared" si="91"/>
        <v>0</v>
      </c>
      <c r="T587" s="2">
        <f t="shared" si="92"/>
        <v>45764</v>
      </c>
      <c r="U587" t="str">
        <f t="shared" si="93"/>
        <v>NO PRAZO</v>
      </c>
    </row>
    <row r="588" spans="1:21" hidden="1">
      <c r="A588" s="1">
        <v>19704</v>
      </c>
      <c r="B588" t="s">
        <v>20</v>
      </c>
      <c r="C588" t="s">
        <v>13</v>
      </c>
      <c r="D588" t="s">
        <v>18</v>
      </c>
      <c r="E588" s="1">
        <v>616</v>
      </c>
      <c r="F588" s="1">
        <v>2025</v>
      </c>
      <c r="G588" t="s">
        <v>11</v>
      </c>
      <c r="H588" s="2">
        <v>45755.375277777777</v>
      </c>
      <c r="I588" s="9">
        <f t="shared" si="85"/>
        <v>45758</v>
      </c>
      <c r="J588" s="2" t="str">
        <f t="shared" si="86"/>
        <v/>
      </c>
      <c r="L588" s="2" t="str">
        <f t="shared" si="87"/>
        <v/>
      </c>
      <c r="N588" s="10" t="str">
        <f t="shared" si="88"/>
        <v/>
      </c>
      <c r="O588" s="2">
        <f t="shared" si="89"/>
        <v>45758</v>
      </c>
      <c r="P588" s="2">
        <v>45755.646493055552</v>
      </c>
      <c r="Q588" s="2">
        <f t="shared" si="90"/>
        <v>45764</v>
      </c>
      <c r="R588" s="2">
        <v>45755.646967592591</v>
      </c>
      <c r="S588">
        <f t="shared" si="91"/>
        <v>0</v>
      </c>
      <c r="T588" s="2">
        <f t="shared" si="92"/>
        <v>45764</v>
      </c>
      <c r="U588" t="str">
        <f t="shared" si="93"/>
        <v>NO PRAZO</v>
      </c>
    </row>
    <row r="589" spans="1:21" hidden="1">
      <c r="A589" s="1">
        <v>19693</v>
      </c>
      <c r="B589" t="s">
        <v>12</v>
      </c>
      <c r="C589" t="s">
        <v>13</v>
      </c>
      <c r="D589" t="s">
        <v>18</v>
      </c>
      <c r="E589" s="1">
        <v>605</v>
      </c>
      <c r="F589" s="1">
        <v>2025</v>
      </c>
      <c r="G589" t="s">
        <v>11</v>
      </c>
      <c r="H589" s="2">
        <v>45754.458611111113</v>
      </c>
      <c r="I589" s="9">
        <f t="shared" si="85"/>
        <v>45757</v>
      </c>
      <c r="J589" s="2" t="str">
        <f t="shared" si="86"/>
        <v/>
      </c>
      <c r="L589" s="2" t="str">
        <f t="shared" si="87"/>
        <v/>
      </c>
      <c r="N589" s="10" t="str">
        <f t="shared" si="88"/>
        <v/>
      </c>
      <c r="O589" s="2">
        <f t="shared" si="89"/>
        <v>45757</v>
      </c>
      <c r="P589" s="2">
        <v>45757.655694444446</v>
      </c>
      <c r="Q589" s="2">
        <f t="shared" si="90"/>
        <v>45763</v>
      </c>
      <c r="R589" s="2">
        <v>45757.655960648146</v>
      </c>
      <c r="S589">
        <f t="shared" si="91"/>
        <v>0</v>
      </c>
      <c r="T589" s="2">
        <f t="shared" si="92"/>
        <v>45763</v>
      </c>
      <c r="U589" t="str">
        <f t="shared" si="93"/>
        <v>NO PRAZO</v>
      </c>
    </row>
    <row r="590" spans="1:21" hidden="1">
      <c r="A590" s="1">
        <v>19691</v>
      </c>
      <c r="B590" t="s">
        <v>24</v>
      </c>
      <c r="C590" t="s">
        <v>13</v>
      </c>
      <c r="D590" t="s">
        <v>16</v>
      </c>
      <c r="E590" s="1">
        <v>603</v>
      </c>
      <c r="F590" s="1">
        <v>2025</v>
      </c>
      <c r="G590" t="s">
        <v>11</v>
      </c>
      <c r="H590" s="2">
        <v>45754.333622685182</v>
      </c>
      <c r="I590" s="9">
        <f t="shared" si="85"/>
        <v>45755</v>
      </c>
      <c r="J590" s="2" t="str">
        <f t="shared" si="86"/>
        <v/>
      </c>
      <c r="L590" s="2" t="str">
        <f t="shared" si="87"/>
        <v/>
      </c>
      <c r="N590" s="10" t="str">
        <f t="shared" si="88"/>
        <v/>
      </c>
      <c r="O590" s="2">
        <f t="shared" si="89"/>
        <v>45755</v>
      </c>
      <c r="P590" s="2">
        <v>45756.649108796293</v>
      </c>
      <c r="Q590" s="2">
        <f t="shared" si="90"/>
        <v>45761</v>
      </c>
      <c r="R590" s="2">
        <v>45756.655462962961</v>
      </c>
      <c r="S590">
        <f t="shared" si="91"/>
        <v>0</v>
      </c>
      <c r="T590" s="2">
        <f t="shared" si="92"/>
        <v>45761</v>
      </c>
      <c r="U590" t="str">
        <f t="shared" si="93"/>
        <v>NO PRAZO</v>
      </c>
    </row>
    <row r="591" spans="1:21" hidden="1">
      <c r="A591" s="1">
        <v>19687</v>
      </c>
      <c r="B591" t="s">
        <v>19</v>
      </c>
      <c r="C591" t="s">
        <v>13</v>
      </c>
      <c r="D591" t="s">
        <v>18</v>
      </c>
      <c r="E591" s="1">
        <v>599</v>
      </c>
      <c r="F591" s="1">
        <v>2025</v>
      </c>
      <c r="G591" t="s">
        <v>11</v>
      </c>
      <c r="H591" s="2">
        <v>45751.583518518521</v>
      </c>
      <c r="I591" s="9">
        <f t="shared" si="85"/>
        <v>45756</v>
      </c>
      <c r="J591" s="2" t="str">
        <f t="shared" si="86"/>
        <v/>
      </c>
      <c r="L591" s="2" t="str">
        <f t="shared" si="87"/>
        <v/>
      </c>
      <c r="N591" s="10" t="str">
        <f t="shared" si="88"/>
        <v/>
      </c>
      <c r="O591" s="2">
        <f t="shared" si="89"/>
        <v>45756</v>
      </c>
      <c r="P591" s="2">
        <v>45754.442418981482</v>
      </c>
      <c r="Q591" s="2">
        <f t="shared" si="90"/>
        <v>45762</v>
      </c>
      <c r="R591" s="2">
        <v>45758.719398148147</v>
      </c>
      <c r="S591">
        <f t="shared" si="91"/>
        <v>0</v>
      </c>
      <c r="T591" s="2">
        <f t="shared" si="92"/>
        <v>45762</v>
      </c>
      <c r="U591" t="str">
        <f t="shared" si="93"/>
        <v>NO PRAZO</v>
      </c>
    </row>
    <row r="592" spans="1:21" hidden="1">
      <c r="A592" s="1">
        <v>19684</v>
      </c>
      <c r="B592" t="s">
        <v>22</v>
      </c>
      <c r="C592" t="s">
        <v>13</v>
      </c>
      <c r="D592" t="s">
        <v>10</v>
      </c>
      <c r="E592" s="1">
        <v>596</v>
      </c>
      <c r="F592" s="1">
        <v>2025</v>
      </c>
      <c r="G592" t="s">
        <v>11</v>
      </c>
      <c r="H592" s="2">
        <v>45751.416851851849</v>
      </c>
      <c r="I592" s="9">
        <f t="shared" si="85"/>
        <v>45754</v>
      </c>
      <c r="J592" s="2" t="str">
        <f t="shared" si="86"/>
        <v/>
      </c>
      <c r="L592" s="2" t="str">
        <f t="shared" si="87"/>
        <v/>
      </c>
      <c r="N592" s="10" t="str">
        <f t="shared" si="88"/>
        <v/>
      </c>
      <c r="O592" s="2">
        <f t="shared" si="89"/>
        <v>45754</v>
      </c>
      <c r="P592" s="2">
        <v>45754.401087962964</v>
      </c>
      <c r="Q592" s="2">
        <f t="shared" si="90"/>
        <v>45755</v>
      </c>
      <c r="R592" s="2">
        <v>45754.401307870372</v>
      </c>
      <c r="S592">
        <f t="shared" si="91"/>
        <v>0</v>
      </c>
      <c r="T592" s="2">
        <f t="shared" si="92"/>
        <v>45755</v>
      </c>
      <c r="U592" t="str">
        <f t="shared" si="93"/>
        <v>NO PRAZO</v>
      </c>
    </row>
    <row r="593" spans="1:21" hidden="1">
      <c r="A593" s="1">
        <v>19676</v>
      </c>
      <c r="B593" t="s">
        <v>12</v>
      </c>
      <c r="C593" t="s">
        <v>13</v>
      </c>
      <c r="D593" t="s">
        <v>10</v>
      </c>
      <c r="E593" s="1">
        <v>588</v>
      </c>
      <c r="F593" s="1">
        <v>2025</v>
      </c>
      <c r="G593" t="s">
        <v>11</v>
      </c>
      <c r="H593" s="2">
        <v>45750.625185185185</v>
      </c>
      <c r="I593" s="9">
        <f t="shared" si="85"/>
        <v>45751</v>
      </c>
      <c r="J593" s="2" t="str">
        <f t="shared" si="86"/>
        <v/>
      </c>
      <c r="L593" s="2" t="str">
        <f t="shared" si="87"/>
        <v/>
      </c>
      <c r="N593" s="10" t="str">
        <f t="shared" si="88"/>
        <v/>
      </c>
      <c r="O593" s="2">
        <f t="shared" si="89"/>
        <v>45751</v>
      </c>
      <c r="P593" s="2">
        <v>45751.443425925929</v>
      </c>
      <c r="Q593" s="2">
        <f t="shared" si="90"/>
        <v>45754</v>
      </c>
      <c r="R593" s="2">
        <v>45751.444212962961</v>
      </c>
      <c r="S593">
        <f t="shared" si="91"/>
        <v>0</v>
      </c>
      <c r="T593" s="2">
        <f t="shared" si="92"/>
        <v>45754</v>
      </c>
      <c r="U593" t="str">
        <f t="shared" si="93"/>
        <v>NO PRAZO</v>
      </c>
    </row>
    <row r="594" spans="1:21" hidden="1">
      <c r="A594" s="1">
        <v>19653</v>
      </c>
      <c r="B594" t="s">
        <v>24</v>
      </c>
      <c r="C594" t="s">
        <v>13</v>
      </c>
      <c r="D594" t="s">
        <v>10</v>
      </c>
      <c r="E594" s="1">
        <v>565</v>
      </c>
      <c r="F594" s="1">
        <v>2025</v>
      </c>
      <c r="G594" t="s">
        <v>11</v>
      </c>
      <c r="H594" s="2">
        <v>45748.375196759262</v>
      </c>
      <c r="I594" s="9">
        <f t="shared" si="85"/>
        <v>45749</v>
      </c>
      <c r="J594" s="2" t="str">
        <f t="shared" si="86"/>
        <v/>
      </c>
      <c r="L594" s="2" t="str">
        <f t="shared" si="87"/>
        <v/>
      </c>
      <c r="N594" s="10" t="str">
        <f t="shared" si="88"/>
        <v/>
      </c>
      <c r="O594" s="2">
        <f t="shared" si="89"/>
        <v>45749</v>
      </c>
      <c r="P594" s="2">
        <v>45750.410567129627</v>
      </c>
      <c r="Q594" s="2">
        <f t="shared" si="90"/>
        <v>45750</v>
      </c>
      <c r="R594" s="2">
        <v>45750.44127314815</v>
      </c>
      <c r="S594">
        <f t="shared" si="91"/>
        <v>0</v>
      </c>
      <c r="T594" s="2">
        <f t="shared" si="92"/>
        <v>45750</v>
      </c>
      <c r="U594" t="str">
        <f t="shared" si="93"/>
        <v>NO PRAZO</v>
      </c>
    </row>
    <row r="595" spans="1:21" hidden="1">
      <c r="A595" s="1">
        <v>19652</v>
      </c>
      <c r="B595" t="s">
        <v>22</v>
      </c>
      <c r="C595" t="s">
        <v>13</v>
      </c>
      <c r="D595" t="s">
        <v>16</v>
      </c>
      <c r="E595" s="1">
        <v>564</v>
      </c>
      <c r="F595" s="1">
        <v>2025</v>
      </c>
      <c r="G595" t="s">
        <v>11</v>
      </c>
      <c r="H595" s="2">
        <v>45748.33353009259</v>
      </c>
      <c r="I595" s="9">
        <f t="shared" si="85"/>
        <v>45749</v>
      </c>
      <c r="J595" s="2" t="str">
        <f t="shared" si="86"/>
        <v/>
      </c>
      <c r="L595" s="2" t="str">
        <f t="shared" si="87"/>
        <v/>
      </c>
      <c r="N595" s="10" t="str">
        <f t="shared" si="88"/>
        <v/>
      </c>
      <c r="O595" s="2">
        <f t="shared" si="89"/>
        <v>45749</v>
      </c>
      <c r="P595" s="2">
        <v>45754.606099537035</v>
      </c>
      <c r="Q595" s="2">
        <f t="shared" si="90"/>
        <v>45755</v>
      </c>
      <c r="R595" s="2">
        <v>45754.687476851854</v>
      </c>
      <c r="S595">
        <f t="shared" si="91"/>
        <v>0</v>
      </c>
      <c r="T595" s="2">
        <f t="shared" si="92"/>
        <v>45755</v>
      </c>
      <c r="U595" t="str">
        <f t="shared" si="93"/>
        <v>NO PRAZO</v>
      </c>
    </row>
    <row r="596" spans="1:21" hidden="1">
      <c r="A596" s="1">
        <v>19651</v>
      </c>
      <c r="B596" t="s">
        <v>22</v>
      </c>
      <c r="C596" t="s">
        <v>13</v>
      </c>
      <c r="D596" t="s">
        <v>16</v>
      </c>
      <c r="E596" s="1">
        <v>563</v>
      </c>
      <c r="F596" s="1">
        <v>2025</v>
      </c>
      <c r="G596" t="s">
        <v>11</v>
      </c>
      <c r="H596" s="2">
        <v>45748.33353009259</v>
      </c>
      <c r="I596" s="9">
        <f t="shared" si="85"/>
        <v>45749</v>
      </c>
      <c r="J596" s="2" t="str">
        <f t="shared" si="86"/>
        <v/>
      </c>
      <c r="L596" s="2" t="str">
        <f t="shared" si="87"/>
        <v/>
      </c>
      <c r="N596" s="10" t="str">
        <f t="shared" si="88"/>
        <v/>
      </c>
      <c r="O596" s="2">
        <f t="shared" si="89"/>
        <v>45749</v>
      </c>
      <c r="P596" s="2">
        <v>45754.604479166665</v>
      </c>
      <c r="Q596" s="2">
        <f t="shared" si="90"/>
        <v>45755</v>
      </c>
      <c r="R596" s="2">
        <v>45754.604583333334</v>
      </c>
      <c r="S596">
        <f t="shared" si="91"/>
        <v>0</v>
      </c>
      <c r="T596" s="2">
        <f t="shared" si="92"/>
        <v>45755</v>
      </c>
      <c r="U596" t="str">
        <f t="shared" si="93"/>
        <v>NO PRAZO</v>
      </c>
    </row>
    <row r="597" spans="1:21" hidden="1">
      <c r="A597" s="1">
        <v>19650</v>
      </c>
      <c r="B597" t="s">
        <v>12</v>
      </c>
      <c r="C597" t="s">
        <v>13</v>
      </c>
      <c r="D597" t="s">
        <v>10</v>
      </c>
      <c r="E597" s="1">
        <v>562</v>
      </c>
      <c r="F597" s="1">
        <v>2025</v>
      </c>
      <c r="G597" t="s">
        <v>11</v>
      </c>
      <c r="H597" s="2">
        <v>45748.33353009259</v>
      </c>
      <c r="I597" s="9">
        <f t="shared" si="85"/>
        <v>45749</v>
      </c>
      <c r="J597" s="2" t="str">
        <f t="shared" si="86"/>
        <v/>
      </c>
      <c r="L597" s="2" t="str">
        <f t="shared" si="87"/>
        <v/>
      </c>
      <c r="N597" s="10" t="str">
        <f t="shared" si="88"/>
        <v/>
      </c>
      <c r="O597" s="2">
        <f t="shared" si="89"/>
        <v>45749</v>
      </c>
      <c r="P597" s="2">
        <v>45749.644884259258</v>
      </c>
      <c r="Q597" s="2">
        <f t="shared" si="90"/>
        <v>45750</v>
      </c>
      <c r="R597" s="2">
        <v>45750.436793981484</v>
      </c>
      <c r="S597">
        <f t="shared" si="91"/>
        <v>0</v>
      </c>
      <c r="T597" s="2">
        <f t="shared" si="92"/>
        <v>45750</v>
      </c>
      <c r="U597" t="str">
        <f t="shared" si="93"/>
        <v>NO PRAZO</v>
      </c>
    </row>
    <row r="598" spans="1:21" hidden="1">
      <c r="A598" s="1">
        <v>19642</v>
      </c>
      <c r="B598" t="s">
        <v>12</v>
      </c>
      <c r="C598" t="s">
        <v>13</v>
      </c>
      <c r="D598" t="s">
        <v>16</v>
      </c>
      <c r="E598" s="1">
        <v>554</v>
      </c>
      <c r="F598" s="1">
        <v>2025</v>
      </c>
      <c r="G598" t="s">
        <v>11</v>
      </c>
      <c r="H598" s="2">
        <v>45747.375185185185</v>
      </c>
      <c r="I598" s="9">
        <f t="shared" si="85"/>
        <v>45748</v>
      </c>
      <c r="J598" s="2" t="str">
        <f t="shared" si="86"/>
        <v/>
      </c>
      <c r="L598" s="2" t="str">
        <f t="shared" si="87"/>
        <v/>
      </c>
      <c r="N598" s="10" t="str">
        <f t="shared" si="88"/>
        <v/>
      </c>
      <c r="O598" s="2">
        <f t="shared" si="89"/>
        <v>45748</v>
      </c>
      <c r="P598" s="2">
        <v>45749.713263888887</v>
      </c>
      <c r="Q598" s="2">
        <f t="shared" si="90"/>
        <v>45754</v>
      </c>
      <c r="R598" s="2">
        <v>45750.484537037039</v>
      </c>
      <c r="S598">
        <f t="shared" si="91"/>
        <v>0</v>
      </c>
      <c r="T598" s="2">
        <f t="shared" si="92"/>
        <v>45754</v>
      </c>
      <c r="U598" t="str">
        <f t="shared" si="93"/>
        <v>NO PRAZO</v>
      </c>
    </row>
    <row r="599" spans="1:21" hidden="1">
      <c r="A599" s="1">
        <v>19641</v>
      </c>
      <c r="B599" t="s">
        <v>8</v>
      </c>
      <c r="C599" t="s">
        <v>13</v>
      </c>
      <c r="D599" t="s">
        <v>10</v>
      </c>
      <c r="E599" s="1">
        <v>553</v>
      </c>
      <c r="F599" s="1">
        <v>2025</v>
      </c>
      <c r="G599" t="s">
        <v>11</v>
      </c>
      <c r="H599" s="2">
        <v>45747.33353009259</v>
      </c>
      <c r="I599" s="9">
        <f t="shared" si="85"/>
        <v>45748</v>
      </c>
      <c r="J599" s="2" t="str">
        <f t="shared" si="86"/>
        <v/>
      </c>
      <c r="L599" s="2" t="str">
        <f t="shared" si="87"/>
        <v/>
      </c>
      <c r="N599" s="10" t="str">
        <f t="shared" si="88"/>
        <v/>
      </c>
      <c r="O599" s="2">
        <f t="shared" si="89"/>
        <v>45748</v>
      </c>
      <c r="P599" s="2">
        <v>45748.400277777779</v>
      </c>
      <c r="Q599" s="2">
        <f t="shared" si="90"/>
        <v>45749</v>
      </c>
      <c r="R599" s="2">
        <v>45748.400555555556</v>
      </c>
      <c r="S599">
        <f t="shared" si="91"/>
        <v>0</v>
      </c>
      <c r="T599" s="2">
        <f t="shared" si="92"/>
        <v>45749</v>
      </c>
      <c r="U599" t="str">
        <f t="shared" si="93"/>
        <v>NO PRAZO</v>
      </c>
    </row>
    <row r="600" spans="1:21" hidden="1">
      <c r="A600" s="1">
        <v>19640</v>
      </c>
      <c r="B600" t="s">
        <v>20</v>
      </c>
      <c r="C600" t="s">
        <v>13</v>
      </c>
      <c r="D600" t="s">
        <v>18</v>
      </c>
      <c r="E600" s="1">
        <v>552</v>
      </c>
      <c r="F600" s="1">
        <v>2025</v>
      </c>
      <c r="G600" t="s">
        <v>11</v>
      </c>
      <c r="H600" s="2">
        <v>45744.666851851849</v>
      </c>
      <c r="I600" s="9">
        <f t="shared" si="85"/>
        <v>45749</v>
      </c>
      <c r="J600" s="2" t="str">
        <f t="shared" si="86"/>
        <v/>
      </c>
      <c r="L600" s="2" t="str">
        <f t="shared" si="87"/>
        <v/>
      </c>
      <c r="N600" s="10" t="str">
        <f t="shared" si="88"/>
        <v/>
      </c>
      <c r="O600" s="2">
        <f t="shared" si="89"/>
        <v>45749</v>
      </c>
      <c r="P600" s="2">
        <v>45747.40797453704</v>
      </c>
      <c r="Q600" s="2">
        <f t="shared" si="90"/>
        <v>45755</v>
      </c>
      <c r="R600" s="2">
        <v>45749.447916666664</v>
      </c>
      <c r="S600">
        <f t="shared" si="91"/>
        <v>0</v>
      </c>
      <c r="T600" s="2">
        <f t="shared" si="92"/>
        <v>45755</v>
      </c>
      <c r="U600" t="str">
        <f t="shared" si="93"/>
        <v>NO PRAZO</v>
      </c>
    </row>
    <row r="601" spans="1:21" hidden="1">
      <c r="A601" s="1">
        <v>19639</v>
      </c>
      <c r="B601" t="s">
        <v>20</v>
      </c>
      <c r="C601" t="s">
        <v>13</v>
      </c>
      <c r="D601" t="s">
        <v>18</v>
      </c>
      <c r="E601" s="1">
        <v>551</v>
      </c>
      <c r="F601" s="1">
        <v>2025</v>
      </c>
      <c r="G601" t="s">
        <v>11</v>
      </c>
      <c r="H601" s="2">
        <v>45744.666851851849</v>
      </c>
      <c r="I601" s="9">
        <f t="shared" si="85"/>
        <v>45749</v>
      </c>
      <c r="J601" s="2" t="str">
        <f t="shared" si="86"/>
        <v/>
      </c>
      <c r="L601" s="2" t="str">
        <f t="shared" si="87"/>
        <v/>
      </c>
      <c r="N601" s="10" t="str">
        <f t="shared" si="88"/>
        <v/>
      </c>
      <c r="O601" s="2">
        <f t="shared" si="89"/>
        <v>45749</v>
      </c>
      <c r="P601" s="2">
        <v>45747.405844907407</v>
      </c>
      <c r="Q601" s="2">
        <f t="shared" si="90"/>
        <v>45755</v>
      </c>
      <c r="R601" s="2">
        <v>45748.757534722223</v>
      </c>
      <c r="S601">
        <f t="shared" si="91"/>
        <v>0</v>
      </c>
      <c r="T601" s="2">
        <f t="shared" si="92"/>
        <v>45755</v>
      </c>
      <c r="U601" t="str">
        <f t="shared" si="93"/>
        <v>NO PRAZO</v>
      </c>
    </row>
    <row r="602" spans="1:21" hidden="1">
      <c r="A602" s="1">
        <v>19635</v>
      </c>
      <c r="B602" t="s">
        <v>12</v>
      </c>
      <c r="C602" t="s">
        <v>13</v>
      </c>
      <c r="D602" t="s">
        <v>18</v>
      </c>
      <c r="E602" s="1">
        <v>547</v>
      </c>
      <c r="F602" s="1">
        <v>2025</v>
      </c>
      <c r="G602" t="s">
        <v>11</v>
      </c>
      <c r="H602" s="2">
        <v>45744.500173611108</v>
      </c>
      <c r="I602" s="9">
        <f t="shared" si="85"/>
        <v>45749</v>
      </c>
      <c r="J602" s="2" t="str">
        <f t="shared" si="86"/>
        <v/>
      </c>
      <c r="L602" s="2" t="str">
        <f t="shared" si="87"/>
        <v/>
      </c>
      <c r="N602" s="10" t="str">
        <f t="shared" si="88"/>
        <v/>
      </c>
      <c r="O602" s="2">
        <f t="shared" si="89"/>
        <v>45749</v>
      </c>
      <c r="P602" s="2">
        <v>45747.416006944448</v>
      </c>
      <c r="Q602" s="2">
        <f t="shared" si="90"/>
        <v>45755</v>
      </c>
      <c r="R602" s="2">
        <v>45751.591539351852</v>
      </c>
      <c r="S602">
        <f t="shared" si="91"/>
        <v>0</v>
      </c>
      <c r="T602" s="2">
        <f t="shared" si="92"/>
        <v>45755</v>
      </c>
      <c r="U602" t="str">
        <f t="shared" si="93"/>
        <v>NO PRAZO</v>
      </c>
    </row>
    <row r="603" spans="1:21" hidden="1">
      <c r="A603" s="1">
        <v>19634</v>
      </c>
      <c r="B603" t="s">
        <v>12</v>
      </c>
      <c r="C603" t="s">
        <v>9</v>
      </c>
      <c r="D603" t="s">
        <v>18</v>
      </c>
      <c r="E603" s="1">
        <v>546</v>
      </c>
      <c r="F603" s="1">
        <v>2025</v>
      </c>
      <c r="G603" t="s">
        <v>11</v>
      </c>
      <c r="H603" s="2">
        <v>45744.458518518521</v>
      </c>
      <c r="I603" s="9">
        <f t="shared" si="85"/>
        <v>45749</v>
      </c>
      <c r="J603" s="2" t="str">
        <f t="shared" si="86"/>
        <v/>
      </c>
      <c r="L603" s="2" t="str">
        <f t="shared" si="87"/>
        <v/>
      </c>
      <c r="N603" s="10" t="str">
        <f t="shared" si="88"/>
        <v/>
      </c>
      <c r="O603" s="2">
        <f t="shared" si="89"/>
        <v>45749</v>
      </c>
      <c r="P603" s="2">
        <v>45748.665300925924</v>
      </c>
      <c r="Q603" s="2">
        <f t="shared" si="90"/>
        <v>45755</v>
      </c>
      <c r="R603" s="2">
        <v>45748.665578703702</v>
      </c>
      <c r="S603">
        <f t="shared" si="91"/>
        <v>0</v>
      </c>
      <c r="T603" s="2">
        <f t="shared" si="92"/>
        <v>45755</v>
      </c>
      <c r="U603" t="str">
        <f t="shared" si="93"/>
        <v>NO PRAZO</v>
      </c>
    </row>
    <row r="604" spans="1:21" hidden="1">
      <c r="A604" s="1">
        <v>19626</v>
      </c>
      <c r="B604" t="s">
        <v>20</v>
      </c>
      <c r="C604" t="s">
        <v>13</v>
      </c>
      <c r="D604" t="s">
        <v>16</v>
      </c>
      <c r="E604" s="1">
        <v>538</v>
      </c>
      <c r="F604" s="1">
        <v>2025</v>
      </c>
      <c r="G604" t="s">
        <v>11</v>
      </c>
      <c r="H604" s="2">
        <v>45743.666932870372</v>
      </c>
      <c r="I604" s="9">
        <f t="shared" si="85"/>
        <v>45744</v>
      </c>
      <c r="J604" s="2" t="str">
        <f t="shared" si="86"/>
        <v/>
      </c>
      <c r="L604" s="2" t="str">
        <f t="shared" si="87"/>
        <v/>
      </c>
      <c r="N604" s="10" t="str">
        <f t="shared" si="88"/>
        <v/>
      </c>
      <c r="O604" s="2">
        <f t="shared" si="89"/>
        <v>45744</v>
      </c>
      <c r="P604" s="2">
        <v>45750.693449074075</v>
      </c>
      <c r="Q604" s="2">
        <f t="shared" si="90"/>
        <v>45750</v>
      </c>
      <c r="R604" s="2">
        <v>45750.693796296298</v>
      </c>
      <c r="S604">
        <f t="shared" si="91"/>
        <v>0</v>
      </c>
      <c r="T604" s="2">
        <f t="shared" si="92"/>
        <v>45750</v>
      </c>
      <c r="U604" t="str">
        <f t="shared" si="93"/>
        <v>NO PRAZO</v>
      </c>
    </row>
    <row r="605" spans="1:21" hidden="1">
      <c r="A605" s="1">
        <v>19618</v>
      </c>
      <c r="B605" t="s">
        <v>17</v>
      </c>
      <c r="C605" t="s">
        <v>13</v>
      </c>
      <c r="D605" t="s">
        <v>18</v>
      </c>
      <c r="E605" s="1">
        <v>530</v>
      </c>
      <c r="F605" s="1">
        <v>2025</v>
      </c>
      <c r="G605" t="s">
        <v>11</v>
      </c>
      <c r="H605" s="2">
        <v>45742.667743055557</v>
      </c>
      <c r="I605" s="9">
        <f t="shared" si="85"/>
        <v>45747</v>
      </c>
      <c r="J605" s="2" t="str">
        <f t="shared" si="86"/>
        <v/>
      </c>
      <c r="L605" s="2" t="str">
        <f t="shared" si="87"/>
        <v/>
      </c>
      <c r="N605" s="10" t="str">
        <f t="shared" si="88"/>
        <v/>
      </c>
      <c r="O605" s="2">
        <f t="shared" si="89"/>
        <v>45747</v>
      </c>
      <c r="P605" s="2">
        <v>45748.522881944446</v>
      </c>
      <c r="Q605" s="2">
        <f t="shared" si="90"/>
        <v>45751</v>
      </c>
      <c r="R605" s="2">
        <v>45748.713796296295</v>
      </c>
      <c r="S605">
        <f t="shared" si="91"/>
        <v>0</v>
      </c>
      <c r="T605" s="2">
        <f t="shared" si="92"/>
        <v>45751</v>
      </c>
      <c r="U605" t="str">
        <f t="shared" si="93"/>
        <v>NO PRAZO</v>
      </c>
    </row>
    <row r="606" spans="1:21" hidden="1">
      <c r="A606" s="1">
        <v>19613</v>
      </c>
      <c r="B606" t="s">
        <v>20</v>
      </c>
      <c r="C606" t="s">
        <v>9</v>
      </c>
      <c r="D606" t="s">
        <v>18</v>
      </c>
      <c r="E606" s="1">
        <v>525</v>
      </c>
      <c r="F606" s="1">
        <v>2025</v>
      </c>
      <c r="G606" t="s">
        <v>11</v>
      </c>
      <c r="H606" s="2">
        <v>45742.584409722222</v>
      </c>
      <c r="I606" s="9">
        <f t="shared" si="85"/>
        <v>45747</v>
      </c>
      <c r="J606" s="2" t="str">
        <f t="shared" si="86"/>
        <v/>
      </c>
      <c r="L606" s="2" t="str">
        <f t="shared" si="87"/>
        <v/>
      </c>
      <c r="N606" s="10" t="str">
        <f t="shared" si="88"/>
        <v/>
      </c>
      <c r="O606" s="2">
        <f t="shared" si="89"/>
        <v>45747</v>
      </c>
      <c r="P606" s="2">
        <v>45748.527789351851</v>
      </c>
      <c r="Q606" s="2">
        <f t="shared" si="90"/>
        <v>45751</v>
      </c>
      <c r="R606" s="2">
        <v>45749.46979166667</v>
      </c>
      <c r="S606">
        <f t="shared" si="91"/>
        <v>0</v>
      </c>
      <c r="T606" s="2">
        <f t="shared" si="92"/>
        <v>45751</v>
      </c>
      <c r="U606" t="str">
        <f t="shared" si="93"/>
        <v>NO PRAZO</v>
      </c>
    </row>
    <row r="607" spans="1:21" hidden="1">
      <c r="A607" s="1">
        <v>19612</v>
      </c>
      <c r="B607" t="s">
        <v>17</v>
      </c>
      <c r="C607" t="s">
        <v>13</v>
      </c>
      <c r="D607" t="s">
        <v>16</v>
      </c>
      <c r="E607" s="1">
        <v>524</v>
      </c>
      <c r="F607" s="1">
        <v>2025</v>
      </c>
      <c r="G607" t="s">
        <v>11</v>
      </c>
      <c r="H607" s="2">
        <v>45742.459421296298</v>
      </c>
      <c r="I607" s="9">
        <f t="shared" si="85"/>
        <v>45743</v>
      </c>
      <c r="J607" s="2" t="str">
        <f t="shared" si="86"/>
        <v/>
      </c>
      <c r="L607" s="2" t="str">
        <f t="shared" si="87"/>
        <v/>
      </c>
      <c r="N607" s="10" t="str">
        <f t="shared" si="88"/>
        <v/>
      </c>
      <c r="O607" s="2">
        <f t="shared" si="89"/>
        <v>45743</v>
      </c>
      <c r="P607" s="2">
        <v>45748.518368055556</v>
      </c>
      <c r="Q607" s="2">
        <f t="shared" si="90"/>
        <v>45749</v>
      </c>
      <c r="R607" s="2">
        <v>45748.603738425925</v>
      </c>
      <c r="S607">
        <f t="shared" si="91"/>
        <v>0</v>
      </c>
      <c r="T607" s="2">
        <f t="shared" si="92"/>
        <v>45749</v>
      </c>
      <c r="U607" t="str">
        <f t="shared" si="93"/>
        <v>NO PRAZO</v>
      </c>
    </row>
    <row r="608" spans="1:21" hidden="1">
      <c r="A608" s="1">
        <v>19610</v>
      </c>
      <c r="B608" t="s">
        <v>8</v>
      </c>
      <c r="C608" t="s">
        <v>9</v>
      </c>
      <c r="D608" t="s">
        <v>18</v>
      </c>
      <c r="E608" s="1">
        <v>522</v>
      </c>
      <c r="F608" s="1">
        <v>2025</v>
      </c>
      <c r="G608" t="s">
        <v>11</v>
      </c>
      <c r="H608" s="2">
        <v>45741.792708333334</v>
      </c>
      <c r="I608" s="9">
        <f t="shared" si="85"/>
        <v>45744</v>
      </c>
      <c r="J608" s="2" t="str">
        <f t="shared" si="86"/>
        <v/>
      </c>
      <c r="L608" s="2" t="str">
        <f t="shared" si="87"/>
        <v/>
      </c>
      <c r="N608" s="10" t="str">
        <f t="shared" si="88"/>
        <v/>
      </c>
      <c r="O608" s="2">
        <f t="shared" si="89"/>
        <v>45744</v>
      </c>
      <c r="P608" s="2">
        <v>45744.718229166669</v>
      </c>
      <c r="Q608" s="2">
        <f t="shared" si="90"/>
        <v>45750</v>
      </c>
      <c r="R608" s="2">
        <v>45744.718449074076</v>
      </c>
      <c r="S608">
        <f t="shared" si="91"/>
        <v>0</v>
      </c>
      <c r="T608" s="2">
        <f t="shared" si="92"/>
        <v>45750</v>
      </c>
      <c r="U608" t="str">
        <f t="shared" si="93"/>
        <v>NO PRAZO</v>
      </c>
    </row>
    <row r="609" spans="1:21" hidden="1">
      <c r="A609" s="1">
        <v>19606</v>
      </c>
      <c r="B609" t="s">
        <v>20</v>
      </c>
      <c r="C609" t="s">
        <v>13</v>
      </c>
      <c r="D609" t="s">
        <v>18</v>
      </c>
      <c r="E609" s="1">
        <v>518</v>
      </c>
      <c r="F609" s="1">
        <v>2025</v>
      </c>
      <c r="G609" t="s">
        <v>11</v>
      </c>
      <c r="H609" s="2">
        <v>45741.584351851852</v>
      </c>
      <c r="I609" s="9">
        <f t="shared" si="85"/>
        <v>45744</v>
      </c>
      <c r="J609" s="2" t="str">
        <f t="shared" si="86"/>
        <v/>
      </c>
      <c r="L609" s="2" t="str">
        <f t="shared" si="87"/>
        <v/>
      </c>
      <c r="N609" s="10" t="str">
        <f t="shared" si="88"/>
        <v/>
      </c>
      <c r="O609" s="2">
        <f t="shared" si="89"/>
        <v>45744</v>
      </c>
      <c r="P609" s="2">
        <v>45748.686851851853</v>
      </c>
      <c r="Q609" s="2">
        <f t="shared" si="90"/>
        <v>45750</v>
      </c>
      <c r="R609" s="2">
        <v>45748.713379629633</v>
      </c>
      <c r="S609">
        <f t="shared" si="91"/>
        <v>0</v>
      </c>
      <c r="T609" s="2">
        <f t="shared" si="92"/>
        <v>45750</v>
      </c>
      <c r="U609" t="str">
        <f t="shared" si="93"/>
        <v>NO PRAZO</v>
      </c>
    </row>
    <row r="610" spans="1:21">
      <c r="A610" s="1">
        <v>19604</v>
      </c>
      <c r="B610" t="s">
        <v>20</v>
      </c>
      <c r="C610" t="s">
        <v>13</v>
      </c>
      <c r="D610" t="s">
        <v>21</v>
      </c>
      <c r="E610" s="1">
        <v>516</v>
      </c>
      <c r="F610" s="1">
        <v>2025</v>
      </c>
      <c r="G610" t="s">
        <v>11</v>
      </c>
      <c r="H610" s="2">
        <v>45740.709247685183</v>
      </c>
      <c r="I610" s="9">
        <f t="shared" si="85"/>
        <v>45743</v>
      </c>
      <c r="J610" s="2">
        <f t="shared" si="86"/>
        <v>45743</v>
      </c>
      <c r="K610" s="2">
        <v>45742.397581018522</v>
      </c>
      <c r="L610" s="2">
        <f t="shared" si="87"/>
        <v>45763</v>
      </c>
      <c r="M610" s="2">
        <v>45755.432523148149</v>
      </c>
      <c r="N610" s="10">
        <f t="shared" si="88"/>
        <v>0</v>
      </c>
      <c r="O610" s="2">
        <f t="shared" si="89"/>
        <v>45764</v>
      </c>
      <c r="P610" s="2">
        <v>45741.522546296299</v>
      </c>
      <c r="Q610" s="2">
        <f t="shared" si="90"/>
        <v>45797</v>
      </c>
      <c r="R610" s="2">
        <v>45806.725069444445</v>
      </c>
      <c r="S610">
        <f t="shared" si="91"/>
        <v>9</v>
      </c>
      <c r="T610" s="2">
        <f t="shared" si="92"/>
        <v>45797</v>
      </c>
      <c r="U610" t="str">
        <f t="shared" si="93"/>
        <v>ATRASO</v>
      </c>
    </row>
    <row r="611" spans="1:21" hidden="1">
      <c r="A611" s="1">
        <v>19587</v>
      </c>
      <c r="B611" t="s">
        <v>12</v>
      </c>
      <c r="C611" t="s">
        <v>9</v>
      </c>
      <c r="D611" t="s">
        <v>18</v>
      </c>
      <c r="E611" s="1">
        <v>499</v>
      </c>
      <c r="F611" s="1">
        <v>2025</v>
      </c>
      <c r="G611" t="s">
        <v>11</v>
      </c>
      <c r="H611" s="2">
        <v>45737.666851851849</v>
      </c>
      <c r="I611" s="9">
        <f t="shared" si="85"/>
        <v>45742</v>
      </c>
      <c r="J611" s="2" t="str">
        <f t="shared" si="86"/>
        <v/>
      </c>
      <c r="L611" s="2" t="str">
        <f t="shared" si="87"/>
        <v/>
      </c>
      <c r="N611" s="10" t="str">
        <f t="shared" si="88"/>
        <v/>
      </c>
      <c r="O611" s="2">
        <f t="shared" si="89"/>
        <v>45742</v>
      </c>
      <c r="P611" s="2">
        <v>45740.490104166667</v>
      </c>
      <c r="Q611" s="2">
        <f t="shared" si="90"/>
        <v>45748</v>
      </c>
      <c r="R611" s="2">
        <v>45742.614074074074</v>
      </c>
      <c r="S611">
        <f t="shared" si="91"/>
        <v>0</v>
      </c>
      <c r="T611" s="2">
        <f t="shared" si="92"/>
        <v>45748</v>
      </c>
      <c r="U611" t="str">
        <f t="shared" si="93"/>
        <v>NO PRAZO</v>
      </c>
    </row>
    <row r="612" spans="1:21" hidden="1">
      <c r="A612" s="1">
        <v>19586</v>
      </c>
      <c r="B612" t="s">
        <v>20</v>
      </c>
      <c r="C612" t="s">
        <v>13</v>
      </c>
      <c r="D612" t="s">
        <v>10</v>
      </c>
      <c r="E612" s="1">
        <v>498</v>
      </c>
      <c r="F612" s="1">
        <v>2025</v>
      </c>
      <c r="G612" t="s">
        <v>11</v>
      </c>
      <c r="H612" s="2">
        <v>45737.666851851849</v>
      </c>
      <c r="I612" s="9">
        <f t="shared" si="85"/>
        <v>45740</v>
      </c>
      <c r="J612" s="2" t="str">
        <f t="shared" si="86"/>
        <v/>
      </c>
      <c r="L612" s="2" t="str">
        <f t="shared" si="87"/>
        <v/>
      </c>
      <c r="N612" s="10" t="str">
        <f t="shared" si="88"/>
        <v/>
      </c>
      <c r="O612" s="2">
        <f t="shared" si="89"/>
        <v>45740</v>
      </c>
      <c r="P612" s="2">
        <v>45740.427881944444</v>
      </c>
      <c r="Q612" s="2">
        <f t="shared" si="90"/>
        <v>45741</v>
      </c>
      <c r="R612" s="2">
        <v>45740.684571759259</v>
      </c>
      <c r="S612">
        <f t="shared" si="91"/>
        <v>0</v>
      </c>
      <c r="T612" s="2">
        <f t="shared" si="92"/>
        <v>45741</v>
      </c>
      <c r="U612" t="str">
        <f t="shared" si="93"/>
        <v>NO PRAZO</v>
      </c>
    </row>
    <row r="613" spans="1:21">
      <c r="A613" s="1">
        <v>19580</v>
      </c>
      <c r="B613" t="s">
        <v>12</v>
      </c>
      <c r="C613" t="s">
        <v>13</v>
      </c>
      <c r="D613" t="s">
        <v>16</v>
      </c>
      <c r="E613" s="1">
        <v>492</v>
      </c>
      <c r="F613" s="1">
        <v>2025</v>
      </c>
      <c r="G613" t="s">
        <v>11</v>
      </c>
      <c r="H613" s="2">
        <v>45737.41684027778</v>
      </c>
      <c r="I613" s="9">
        <f t="shared" si="85"/>
        <v>45740</v>
      </c>
      <c r="J613" s="2" t="str">
        <f t="shared" si="86"/>
        <v/>
      </c>
      <c r="L613" s="2" t="str">
        <f t="shared" si="87"/>
        <v/>
      </c>
      <c r="N613" s="10" t="str">
        <f t="shared" si="88"/>
        <v/>
      </c>
      <c r="O613" s="2">
        <f t="shared" si="89"/>
        <v>45740</v>
      </c>
      <c r="P613" s="2">
        <v>45776.409282407411</v>
      </c>
      <c r="Q613" s="2">
        <f t="shared" si="90"/>
        <v>45744</v>
      </c>
      <c r="R613" s="2">
        <v>45776.419479166667</v>
      </c>
      <c r="S613">
        <f t="shared" si="91"/>
        <v>32</v>
      </c>
      <c r="T613" s="2">
        <f t="shared" si="92"/>
        <v>45744</v>
      </c>
      <c r="U613" t="str">
        <f t="shared" si="93"/>
        <v>ATRASO</v>
      </c>
    </row>
    <row r="614" spans="1:21">
      <c r="A614" s="1">
        <v>19575</v>
      </c>
      <c r="B614" t="s">
        <v>17</v>
      </c>
      <c r="C614" t="s">
        <v>9</v>
      </c>
      <c r="D614" t="s">
        <v>16</v>
      </c>
      <c r="E614" s="1">
        <v>487</v>
      </c>
      <c r="F614" s="1">
        <v>2025</v>
      </c>
      <c r="G614" t="s">
        <v>11</v>
      </c>
      <c r="H614" s="2">
        <v>45736.708425925928</v>
      </c>
      <c r="I614" s="9">
        <f t="shared" si="85"/>
        <v>45737</v>
      </c>
      <c r="J614" s="2" t="str">
        <f t="shared" si="86"/>
        <v/>
      </c>
      <c r="L614" s="2" t="str">
        <f t="shared" si="87"/>
        <v/>
      </c>
      <c r="N614" s="10" t="str">
        <f t="shared" si="88"/>
        <v/>
      </c>
      <c r="O614" s="2">
        <f t="shared" si="89"/>
        <v>45737</v>
      </c>
      <c r="P614" s="2">
        <v>45743.51122685185</v>
      </c>
      <c r="Q614" s="2">
        <f t="shared" si="90"/>
        <v>45743</v>
      </c>
      <c r="R614" s="2">
        <v>45748.603796296295</v>
      </c>
      <c r="S614">
        <f t="shared" si="91"/>
        <v>5</v>
      </c>
      <c r="T614" s="2">
        <f t="shared" si="92"/>
        <v>45743</v>
      </c>
      <c r="U614" t="str">
        <f t="shared" si="93"/>
        <v>ATRASO</v>
      </c>
    </row>
    <row r="615" spans="1:21" hidden="1">
      <c r="A615" s="1">
        <v>19574</v>
      </c>
      <c r="B615" t="s">
        <v>12</v>
      </c>
      <c r="C615" t="s">
        <v>13</v>
      </c>
      <c r="D615" t="s">
        <v>18</v>
      </c>
      <c r="E615" s="1">
        <v>486</v>
      </c>
      <c r="F615" s="1">
        <v>2025</v>
      </c>
      <c r="G615" t="s">
        <v>11</v>
      </c>
      <c r="H615" s="2">
        <v>45736.708425925928</v>
      </c>
      <c r="I615" s="9">
        <f t="shared" si="85"/>
        <v>45741</v>
      </c>
      <c r="J615" s="2" t="str">
        <f t="shared" si="86"/>
        <v/>
      </c>
      <c r="L615" s="2" t="str">
        <f t="shared" si="87"/>
        <v/>
      </c>
      <c r="N615" s="10" t="str">
        <f t="shared" si="88"/>
        <v/>
      </c>
      <c r="O615" s="2">
        <f t="shared" si="89"/>
        <v>45741</v>
      </c>
      <c r="P615" s="2">
        <v>45736.72892361111</v>
      </c>
      <c r="Q615" s="2">
        <f t="shared" si="90"/>
        <v>45747</v>
      </c>
      <c r="R615" s="2">
        <v>45737.387511574074</v>
      </c>
      <c r="S615">
        <f t="shared" si="91"/>
        <v>0</v>
      </c>
      <c r="T615" s="2">
        <f t="shared" si="92"/>
        <v>45747</v>
      </c>
      <c r="U615" t="str">
        <f t="shared" si="93"/>
        <v>NO PRAZO</v>
      </c>
    </row>
    <row r="616" spans="1:21">
      <c r="A616" s="1">
        <v>19569</v>
      </c>
      <c r="B616" t="s">
        <v>12</v>
      </c>
      <c r="C616" t="s">
        <v>9</v>
      </c>
      <c r="D616" t="s">
        <v>10</v>
      </c>
      <c r="E616" s="1">
        <v>481</v>
      </c>
      <c r="F616" s="1">
        <v>2025</v>
      </c>
      <c r="G616" t="s">
        <v>11</v>
      </c>
      <c r="H616" s="2">
        <v>45736.500092592592</v>
      </c>
      <c r="I616" s="9">
        <f t="shared" si="85"/>
        <v>45737</v>
      </c>
      <c r="J616" s="2" t="str">
        <f t="shared" si="86"/>
        <v/>
      </c>
      <c r="L616" s="2" t="str">
        <f t="shared" si="87"/>
        <v/>
      </c>
      <c r="N616" s="10" t="str">
        <f t="shared" si="88"/>
        <v/>
      </c>
      <c r="O616" s="2">
        <f t="shared" si="89"/>
        <v>45737</v>
      </c>
      <c r="P616" s="2">
        <v>45737.686666666668</v>
      </c>
      <c r="Q616" s="2">
        <f t="shared" si="90"/>
        <v>45740</v>
      </c>
      <c r="R616" s="2">
        <v>45744.609756944446</v>
      </c>
      <c r="S616">
        <f t="shared" si="91"/>
        <v>4</v>
      </c>
      <c r="T616" s="2">
        <f t="shared" si="92"/>
        <v>45740</v>
      </c>
      <c r="U616" t="str">
        <f t="shared" si="93"/>
        <v>ATRASO</v>
      </c>
    </row>
    <row r="617" spans="1:21" hidden="1">
      <c r="A617" s="1">
        <v>19568</v>
      </c>
      <c r="B617" t="s">
        <v>12</v>
      </c>
      <c r="C617" t="s">
        <v>13</v>
      </c>
      <c r="D617" t="s">
        <v>18</v>
      </c>
      <c r="E617" s="1">
        <v>480</v>
      </c>
      <c r="F617" s="1">
        <v>2025</v>
      </c>
      <c r="G617" t="s">
        <v>11</v>
      </c>
      <c r="H617" s="2">
        <v>45736.500092592592</v>
      </c>
      <c r="I617" s="9">
        <f t="shared" si="85"/>
        <v>45741</v>
      </c>
      <c r="J617" s="2" t="str">
        <f t="shared" si="86"/>
        <v/>
      </c>
      <c r="L617" s="2" t="str">
        <f t="shared" si="87"/>
        <v/>
      </c>
      <c r="N617" s="10" t="str">
        <f t="shared" si="88"/>
        <v/>
      </c>
      <c r="O617" s="2">
        <f t="shared" si="89"/>
        <v>45741</v>
      </c>
      <c r="P617" s="2">
        <v>45737.399953703702</v>
      </c>
      <c r="Q617" s="2">
        <f t="shared" si="90"/>
        <v>45747</v>
      </c>
      <c r="R617" s="2">
        <v>45743.657685185186</v>
      </c>
      <c r="S617">
        <f t="shared" si="91"/>
        <v>0</v>
      </c>
      <c r="T617" s="2">
        <f t="shared" si="92"/>
        <v>45747</v>
      </c>
      <c r="U617" t="str">
        <f t="shared" si="93"/>
        <v>NO PRAZO</v>
      </c>
    </row>
    <row r="618" spans="1:21" hidden="1">
      <c r="A618" s="1">
        <v>19566</v>
      </c>
      <c r="B618" t="s">
        <v>20</v>
      </c>
      <c r="C618" t="s">
        <v>13</v>
      </c>
      <c r="D618" t="s">
        <v>18</v>
      </c>
      <c r="E618" s="1">
        <v>478</v>
      </c>
      <c r="F618" s="1">
        <v>2025</v>
      </c>
      <c r="G618" t="s">
        <v>11</v>
      </c>
      <c r="H618" s="2">
        <v>45735.666666666664</v>
      </c>
      <c r="I618" s="9">
        <f t="shared" si="85"/>
        <v>45740</v>
      </c>
      <c r="J618" s="2" t="str">
        <f t="shared" si="86"/>
        <v/>
      </c>
      <c r="L618" s="2" t="str">
        <f t="shared" si="87"/>
        <v/>
      </c>
      <c r="N618" s="10" t="str">
        <f t="shared" si="88"/>
        <v/>
      </c>
      <c r="O618" s="2">
        <f t="shared" si="89"/>
        <v>45740</v>
      </c>
      <c r="P618" s="2">
        <v>45736.453090277777</v>
      </c>
      <c r="Q618" s="2">
        <f t="shared" si="90"/>
        <v>45744</v>
      </c>
      <c r="R618" s="2">
        <v>45742.425694444442</v>
      </c>
      <c r="S618">
        <f t="shared" si="91"/>
        <v>0</v>
      </c>
      <c r="T618" s="2">
        <f t="shared" si="92"/>
        <v>45744</v>
      </c>
      <c r="U618" t="str">
        <f t="shared" si="93"/>
        <v>NO PRAZO</v>
      </c>
    </row>
    <row r="619" spans="1:21" hidden="1">
      <c r="A619" s="1">
        <v>19563</v>
      </c>
      <c r="B619" t="s">
        <v>17</v>
      </c>
      <c r="C619" t="s">
        <v>13</v>
      </c>
      <c r="D619" t="s">
        <v>18</v>
      </c>
      <c r="E619" s="1">
        <v>475</v>
      </c>
      <c r="F619" s="1">
        <v>2025</v>
      </c>
      <c r="G619" t="s">
        <v>11</v>
      </c>
      <c r="H619" s="2">
        <v>45735.625</v>
      </c>
      <c r="I619" s="9">
        <f t="shared" si="85"/>
        <v>45740</v>
      </c>
      <c r="J619" s="2" t="str">
        <f t="shared" si="86"/>
        <v/>
      </c>
      <c r="L619" s="2" t="str">
        <f t="shared" si="87"/>
        <v/>
      </c>
      <c r="N619" s="10" t="str">
        <f t="shared" si="88"/>
        <v/>
      </c>
      <c r="O619" s="2">
        <f t="shared" si="89"/>
        <v>45740</v>
      </c>
      <c r="P619" s="2">
        <v>45743.515856481485</v>
      </c>
      <c r="Q619" s="2">
        <f t="shared" si="90"/>
        <v>45744</v>
      </c>
      <c r="R619" s="2">
        <v>45743.661585648151</v>
      </c>
      <c r="S619">
        <f t="shared" si="91"/>
        <v>0</v>
      </c>
      <c r="T619" s="2">
        <f t="shared" si="92"/>
        <v>45744</v>
      </c>
      <c r="U619" t="str">
        <f t="shared" si="93"/>
        <v>NO PRAZO</v>
      </c>
    </row>
    <row r="620" spans="1:21" hidden="1">
      <c r="A620" s="1">
        <v>19560</v>
      </c>
      <c r="B620" t="s">
        <v>19</v>
      </c>
      <c r="C620" t="s">
        <v>9</v>
      </c>
      <c r="D620" t="s">
        <v>18</v>
      </c>
      <c r="E620" s="1">
        <v>472</v>
      </c>
      <c r="F620" s="1">
        <v>2025</v>
      </c>
      <c r="G620" t="s">
        <v>11</v>
      </c>
      <c r="H620" s="2">
        <v>45735.416655092595</v>
      </c>
      <c r="I620" s="9">
        <f t="shared" si="85"/>
        <v>45740</v>
      </c>
      <c r="J620" s="2" t="str">
        <f t="shared" si="86"/>
        <v/>
      </c>
      <c r="L620" s="2" t="str">
        <f t="shared" si="87"/>
        <v/>
      </c>
      <c r="N620" s="10" t="str">
        <f t="shared" si="88"/>
        <v/>
      </c>
      <c r="O620" s="2">
        <f t="shared" si="89"/>
        <v>45740</v>
      </c>
      <c r="P620" s="2">
        <v>45736.454502314817</v>
      </c>
      <c r="Q620" s="2">
        <f t="shared" si="90"/>
        <v>45744</v>
      </c>
      <c r="R620" s="2">
        <v>45742.682997685188</v>
      </c>
      <c r="S620">
        <f t="shared" si="91"/>
        <v>0</v>
      </c>
      <c r="T620" s="2">
        <f t="shared" si="92"/>
        <v>45744</v>
      </c>
      <c r="U620" t="str">
        <f t="shared" si="93"/>
        <v>NO PRAZO</v>
      </c>
    </row>
    <row r="621" spans="1:21" hidden="1">
      <c r="A621" s="1">
        <v>19559</v>
      </c>
      <c r="B621" t="s">
        <v>8</v>
      </c>
      <c r="C621" t="s">
        <v>9</v>
      </c>
      <c r="D621" t="s">
        <v>18</v>
      </c>
      <c r="E621" s="1">
        <v>471</v>
      </c>
      <c r="F621" s="1">
        <v>2025</v>
      </c>
      <c r="G621" t="s">
        <v>11</v>
      </c>
      <c r="H621" s="2">
        <v>45734.791608796295</v>
      </c>
      <c r="I621" s="9">
        <f t="shared" si="85"/>
        <v>45737</v>
      </c>
      <c r="J621" s="2" t="str">
        <f t="shared" si="86"/>
        <v/>
      </c>
      <c r="L621" s="2" t="str">
        <f t="shared" si="87"/>
        <v/>
      </c>
      <c r="N621" s="10" t="str">
        <f t="shared" si="88"/>
        <v/>
      </c>
      <c r="O621" s="2">
        <f t="shared" si="89"/>
        <v>45737</v>
      </c>
      <c r="P621" s="2">
        <v>45735.69940972222</v>
      </c>
      <c r="Q621" s="2">
        <f t="shared" si="90"/>
        <v>45743</v>
      </c>
      <c r="R621" s="2">
        <v>45735.699641203704</v>
      </c>
      <c r="S621">
        <f t="shared" si="91"/>
        <v>0</v>
      </c>
      <c r="T621" s="2">
        <f t="shared" si="92"/>
        <v>45743</v>
      </c>
      <c r="U621" t="str">
        <f t="shared" si="93"/>
        <v>NO PRAZO</v>
      </c>
    </row>
    <row r="622" spans="1:21" hidden="1">
      <c r="A622" s="1">
        <v>19558</v>
      </c>
      <c r="B622" t="s">
        <v>8</v>
      </c>
      <c r="C622" t="s">
        <v>9</v>
      </c>
      <c r="D622" t="s">
        <v>18</v>
      </c>
      <c r="E622" s="1">
        <v>470</v>
      </c>
      <c r="F622" s="1">
        <v>2025</v>
      </c>
      <c r="G622" t="s">
        <v>11</v>
      </c>
      <c r="H622" s="2">
        <v>45734.791608796295</v>
      </c>
      <c r="I622" s="9">
        <f t="shared" si="85"/>
        <v>45737</v>
      </c>
      <c r="J622" s="2" t="str">
        <f t="shared" si="86"/>
        <v/>
      </c>
      <c r="L622" s="2" t="str">
        <f t="shared" si="87"/>
        <v/>
      </c>
      <c r="N622" s="10" t="str">
        <f t="shared" si="88"/>
        <v/>
      </c>
      <c r="O622" s="2">
        <f t="shared" si="89"/>
        <v>45737</v>
      </c>
      <c r="P622" s="2">
        <v>45735.696932870371</v>
      </c>
      <c r="Q622" s="2">
        <f t="shared" si="90"/>
        <v>45743</v>
      </c>
      <c r="R622" s="2">
        <v>45735.697164351855</v>
      </c>
      <c r="S622">
        <f t="shared" si="91"/>
        <v>0</v>
      </c>
      <c r="T622" s="2">
        <f t="shared" si="92"/>
        <v>45743</v>
      </c>
      <c r="U622" t="str">
        <f t="shared" si="93"/>
        <v>NO PRAZO</v>
      </c>
    </row>
    <row r="623" spans="1:21" hidden="1">
      <c r="A623" s="1">
        <v>19557</v>
      </c>
      <c r="B623" t="s">
        <v>20</v>
      </c>
      <c r="C623" t="s">
        <v>13</v>
      </c>
      <c r="D623" t="s">
        <v>16</v>
      </c>
      <c r="E623" s="1">
        <v>469</v>
      </c>
      <c r="F623" s="1">
        <v>2025</v>
      </c>
      <c r="G623" t="s">
        <v>11</v>
      </c>
      <c r="H623" s="2">
        <v>45734.749930555554</v>
      </c>
      <c r="I623" s="9">
        <f t="shared" si="85"/>
        <v>45735</v>
      </c>
      <c r="J623" s="2" t="str">
        <f t="shared" si="86"/>
        <v/>
      </c>
      <c r="L623" s="2" t="str">
        <f t="shared" si="87"/>
        <v/>
      </c>
      <c r="N623" s="10" t="str">
        <f t="shared" si="88"/>
        <v/>
      </c>
      <c r="O623" s="2">
        <f t="shared" si="89"/>
        <v>45735</v>
      </c>
      <c r="P623" s="2">
        <v>45741.717557870368</v>
      </c>
      <c r="Q623" s="2">
        <f t="shared" si="90"/>
        <v>45741</v>
      </c>
      <c r="R623" s="2">
        <v>45741.720034722224</v>
      </c>
      <c r="S623">
        <f t="shared" si="91"/>
        <v>0</v>
      </c>
      <c r="T623" s="2">
        <f t="shared" si="92"/>
        <v>45741</v>
      </c>
      <c r="U623" t="str">
        <f t="shared" si="93"/>
        <v>NO PRAZO</v>
      </c>
    </row>
    <row r="624" spans="1:21" hidden="1">
      <c r="A624" s="1">
        <v>19555</v>
      </c>
      <c r="B624" t="s">
        <v>12</v>
      </c>
      <c r="C624" t="s">
        <v>9</v>
      </c>
      <c r="D624" t="s">
        <v>18</v>
      </c>
      <c r="E624" s="1">
        <v>467</v>
      </c>
      <c r="F624" s="1">
        <v>2025</v>
      </c>
      <c r="G624" t="s">
        <v>11</v>
      </c>
      <c r="H624" s="2">
        <v>45734.666585648149</v>
      </c>
      <c r="I624" s="9">
        <f t="shared" si="85"/>
        <v>45737</v>
      </c>
      <c r="J624" s="2" t="str">
        <f t="shared" si="86"/>
        <v/>
      </c>
      <c r="L624" s="2" t="str">
        <f t="shared" si="87"/>
        <v/>
      </c>
      <c r="N624" s="10" t="str">
        <f t="shared" si="88"/>
        <v/>
      </c>
      <c r="O624" s="2">
        <f t="shared" si="89"/>
        <v>45737</v>
      </c>
      <c r="P624" s="2">
        <v>45735.392164351855</v>
      </c>
      <c r="Q624" s="2">
        <f t="shared" si="90"/>
        <v>45743</v>
      </c>
      <c r="R624" s="2">
        <v>45737.381597222222</v>
      </c>
      <c r="S624">
        <f t="shared" si="91"/>
        <v>0</v>
      </c>
      <c r="T624" s="2">
        <f t="shared" si="92"/>
        <v>45743</v>
      </c>
      <c r="U624" t="str">
        <f t="shared" si="93"/>
        <v>NO PRAZO</v>
      </c>
    </row>
    <row r="625" spans="1:21" hidden="1">
      <c r="A625" s="1">
        <v>19554</v>
      </c>
      <c r="B625" t="s">
        <v>12</v>
      </c>
      <c r="C625" t="s">
        <v>9</v>
      </c>
      <c r="D625" t="s">
        <v>18</v>
      </c>
      <c r="E625" s="1">
        <v>466</v>
      </c>
      <c r="F625" s="1">
        <v>2025</v>
      </c>
      <c r="G625" t="s">
        <v>11</v>
      </c>
      <c r="H625" s="2">
        <v>45734.624918981484</v>
      </c>
      <c r="I625" s="9">
        <f t="shared" si="85"/>
        <v>45737</v>
      </c>
      <c r="J625" s="2" t="str">
        <f t="shared" si="86"/>
        <v/>
      </c>
      <c r="L625" s="2" t="str">
        <f t="shared" si="87"/>
        <v/>
      </c>
      <c r="N625" s="10" t="str">
        <f t="shared" si="88"/>
        <v/>
      </c>
      <c r="O625" s="2">
        <f t="shared" si="89"/>
        <v>45737</v>
      </c>
      <c r="P625" s="2">
        <v>45736.447627314818</v>
      </c>
      <c r="Q625" s="2">
        <f t="shared" si="90"/>
        <v>45743</v>
      </c>
      <c r="R625" s="2">
        <v>45737.671574074076</v>
      </c>
      <c r="S625">
        <f t="shared" si="91"/>
        <v>0</v>
      </c>
      <c r="T625" s="2">
        <f t="shared" si="92"/>
        <v>45743</v>
      </c>
      <c r="U625" t="str">
        <f t="shared" si="93"/>
        <v>NO PRAZO</v>
      </c>
    </row>
    <row r="626" spans="1:21" hidden="1">
      <c r="A626" s="1">
        <v>19550</v>
      </c>
      <c r="B626" t="s">
        <v>17</v>
      </c>
      <c r="C626" t="s">
        <v>9</v>
      </c>
      <c r="D626" t="s">
        <v>14</v>
      </c>
      <c r="E626" s="1">
        <v>462</v>
      </c>
      <c r="F626" s="1">
        <v>2025</v>
      </c>
      <c r="G626" t="s">
        <v>11</v>
      </c>
      <c r="H626" s="2">
        <v>45734.583240740743</v>
      </c>
      <c r="I626" s="9">
        <f t="shared" si="85"/>
        <v>45735</v>
      </c>
      <c r="J626" s="2" t="str">
        <f t="shared" si="86"/>
        <v/>
      </c>
      <c r="L626" s="2" t="str">
        <f t="shared" si="87"/>
        <v/>
      </c>
      <c r="N626" s="10" t="str">
        <f t="shared" si="88"/>
        <v/>
      </c>
      <c r="O626" s="2">
        <f t="shared" si="89"/>
        <v>45735</v>
      </c>
      <c r="P626" s="2">
        <v>45735.677893518521</v>
      </c>
      <c r="Q626" s="2">
        <f t="shared" si="90"/>
        <v>45736</v>
      </c>
      <c r="R626" s="2">
        <v>45736.676319444443</v>
      </c>
      <c r="S626">
        <f t="shared" si="91"/>
        <v>0</v>
      </c>
      <c r="T626" s="2">
        <f t="shared" si="92"/>
        <v>45736</v>
      </c>
      <c r="U626" t="str">
        <f t="shared" si="93"/>
        <v>NO PRAZO</v>
      </c>
    </row>
    <row r="627" spans="1:21" hidden="1">
      <c r="A627" s="1">
        <v>19549</v>
      </c>
      <c r="B627" t="s">
        <v>17</v>
      </c>
      <c r="C627" t="s">
        <v>13</v>
      </c>
      <c r="D627" t="s">
        <v>18</v>
      </c>
      <c r="E627" s="1">
        <v>461</v>
      </c>
      <c r="F627" s="1">
        <v>2025</v>
      </c>
      <c r="G627" t="s">
        <v>11</v>
      </c>
      <c r="H627" s="2">
        <v>45734.458240740743</v>
      </c>
      <c r="I627" s="9">
        <f t="shared" si="85"/>
        <v>45737</v>
      </c>
      <c r="J627" s="2" t="str">
        <f t="shared" si="86"/>
        <v/>
      </c>
      <c r="L627" s="2" t="str">
        <f t="shared" si="87"/>
        <v/>
      </c>
      <c r="N627" s="10" t="str">
        <f t="shared" si="88"/>
        <v/>
      </c>
      <c r="O627" s="2">
        <f t="shared" si="89"/>
        <v>45737</v>
      </c>
      <c r="P627" s="2">
        <v>45736.448645833334</v>
      </c>
      <c r="Q627" s="2">
        <f t="shared" si="90"/>
        <v>45743</v>
      </c>
      <c r="R627" s="2">
        <v>45737.439108796294</v>
      </c>
      <c r="S627">
        <f t="shared" si="91"/>
        <v>0</v>
      </c>
      <c r="T627" s="2">
        <f t="shared" si="92"/>
        <v>45743</v>
      </c>
      <c r="U627" t="str">
        <f t="shared" si="93"/>
        <v>NO PRAZO</v>
      </c>
    </row>
    <row r="628" spans="1:21" hidden="1">
      <c r="A628" s="1">
        <v>19546</v>
      </c>
      <c r="B628" t="s">
        <v>17</v>
      </c>
      <c r="C628" t="s">
        <v>13</v>
      </c>
      <c r="D628" t="s">
        <v>16</v>
      </c>
      <c r="E628" s="1">
        <v>458</v>
      </c>
      <c r="F628" s="1">
        <v>2025</v>
      </c>
      <c r="G628" t="s">
        <v>11</v>
      </c>
      <c r="H628" s="2">
        <v>45733.749861111108</v>
      </c>
      <c r="I628" s="9">
        <f t="shared" si="85"/>
        <v>45734</v>
      </c>
      <c r="J628" s="2" t="str">
        <f t="shared" si="86"/>
        <v/>
      </c>
      <c r="L628" s="2" t="str">
        <f t="shared" si="87"/>
        <v/>
      </c>
      <c r="N628" s="10" t="str">
        <f t="shared" si="88"/>
        <v/>
      </c>
      <c r="O628" s="2">
        <f t="shared" si="89"/>
        <v>45734</v>
      </c>
      <c r="P628" s="2">
        <v>45734.744490740741</v>
      </c>
      <c r="Q628" s="2">
        <f t="shared" si="90"/>
        <v>45740</v>
      </c>
      <c r="R628" s="2">
        <v>45734.74560185185</v>
      </c>
      <c r="S628">
        <f t="shared" si="91"/>
        <v>0</v>
      </c>
      <c r="T628" s="2">
        <f t="shared" si="92"/>
        <v>45740</v>
      </c>
      <c r="U628" t="str">
        <f t="shared" si="93"/>
        <v>NO PRAZO</v>
      </c>
    </row>
    <row r="629" spans="1:21" hidden="1">
      <c r="A629" s="1">
        <v>19544</v>
      </c>
      <c r="B629" t="s">
        <v>20</v>
      </c>
      <c r="C629" t="s">
        <v>13</v>
      </c>
      <c r="D629" t="s">
        <v>18</v>
      </c>
      <c r="E629" s="1">
        <v>456</v>
      </c>
      <c r="F629" s="1">
        <v>2025</v>
      </c>
      <c r="G629" t="s">
        <v>11</v>
      </c>
      <c r="H629" s="2">
        <v>45733.708194444444</v>
      </c>
      <c r="I629" s="9">
        <f t="shared" si="85"/>
        <v>45736</v>
      </c>
      <c r="J629" s="2" t="str">
        <f t="shared" si="86"/>
        <v/>
      </c>
      <c r="L629" s="2" t="str">
        <f t="shared" si="87"/>
        <v/>
      </c>
      <c r="N629" s="10" t="str">
        <f t="shared" si="88"/>
        <v/>
      </c>
      <c r="O629" s="2">
        <f t="shared" si="89"/>
        <v>45736</v>
      </c>
      <c r="P629" s="2">
        <v>45735.384108796294</v>
      </c>
      <c r="Q629" s="2">
        <f t="shared" si="90"/>
        <v>45742</v>
      </c>
      <c r="R629" s="2">
        <v>45737.633750000001</v>
      </c>
      <c r="S629">
        <f t="shared" si="91"/>
        <v>0</v>
      </c>
      <c r="T629" s="2">
        <f t="shared" si="92"/>
        <v>45742</v>
      </c>
      <c r="U629" t="str">
        <f t="shared" si="93"/>
        <v>NO PRAZO</v>
      </c>
    </row>
    <row r="630" spans="1:21" hidden="1">
      <c r="A630" s="1">
        <v>19541</v>
      </c>
      <c r="B630" t="s">
        <v>20</v>
      </c>
      <c r="C630" t="s">
        <v>9</v>
      </c>
      <c r="D630" t="s">
        <v>18</v>
      </c>
      <c r="E630" s="1">
        <v>453</v>
      </c>
      <c r="F630" s="1">
        <v>2025</v>
      </c>
      <c r="G630" t="s">
        <v>11</v>
      </c>
      <c r="H630" s="2">
        <v>45733.666539351849</v>
      </c>
      <c r="I630" s="9">
        <f t="shared" si="85"/>
        <v>45736</v>
      </c>
      <c r="J630" s="2" t="str">
        <f t="shared" si="86"/>
        <v/>
      </c>
      <c r="L630" s="2" t="str">
        <f t="shared" si="87"/>
        <v/>
      </c>
      <c r="N630" s="10" t="str">
        <f t="shared" si="88"/>
        <v/>
      </c>
      <c r="O630" s="2">
        <f t="shared" si="89"/>
        <v>45736</v>
      </c>
      <c r="P630" s="2">
        <v>45740.596701388888</v>
      </c>
      <c r="Q630" s="2">
        <f t="shared" si="90"/>
        <v>45742</v>
      </c>
      <c r="R630" s="2">
        <v>45740.657812500001</v>
      </c>
      <c r="S630">
        <f t="shared" si="91"/>
        <v>0</v>
      </c>
      <c r="T630" s="2">
        <f t="shared" si="92"/>
        <v>45742</v>
      </c>
      <c r="U630" t="str">
        <f t="shared" si="93"/>
        <v>NO PRAZO</v>
      </c>
    </row>
    <row r="631" spans="1:21" hidden="1">
      <c r="A631" s="1">
        <v>19539</v>
      </c>
      <c r="B631" t="s">
        <v>12</v>
      </c>
      <c r="C631" t="s">
        <v>9</v>
      </c>
      <c r="D631" t="s">
        <v>18</v>
      </c>
      <c r="E631" s="1">
        <v>451</v>
      </c>
      <c r="F631" s="1">
        <v>2025</v>
      </c>
      <c r="G631" t="s">
        <v>11</v>
      </c>
      <c r="H631" s="2">
        <v>45733.518611111111</v>
      </c>
      <c r="I631" s="9">
        <f t="shared" si="85"/>
        <v>45736</v>
      </c>
      <c r="J631" s="2" t="str">
        <f t="shared" si="86"/>
        <v/>
      </c>
      <c r="L631" s="2" t="str">
        <f t="shared" si="87"/>
        <v/>
      </c>
      <c r="N631" s="10" t="str">
        <f t="shared" si="88"/>
        <v/>
      </c>
      <c r="O631" s="2">
        <f t="shared" si="89"/>
        <v>45736</v>
      </c>
      <c r="P631" s="2">
        <v>45733.520138888889</v>
      </c>
      <c r="Q631" s="2">
        <f t="shared" si="90"/>
        <v>45742</v>
      </c>
      <c r="R631" s="2">
        <v>45733.639155092591</v>
      </c>
      <c r="S631">
        <f t="shared" si="91"/>
        <v>0</v>
      </c>
      <c r="T631" s="2">
        <f t="shared" si="92"/>
        <v>45742</v>
      </c>
      <c r="U631" t="str">
        <f t="shared" si="93"/>
        <v>NO PRAZO</v>
      </c>
    </row>
    <row r="632" spans="1:21" hidden="1">
      <c r="A632" s="1">
        <v>19533</v>
      </c>
      <c r="B632" t="s">
        <v>20</v>
      </c>
      <c r="C632" t="s">
        <v>13</v>
      </c>
      <c r="D632" t="s">
        <v>10</v>
      </c>
      <c r="E632" s="1">
        <v>445</v>
      </c>
      <c r="F632" s="1">
        <v>2025</v>
      </c>
      <c r="G632" t="s">
        <v>11</v>
      </c>
      <c r="H632" s="2">
        <v>45730.749618055554</v>
      </c>
      <c r="I632" s="9">
        <f t="shared" si="85"/>
        <v>45733</v>
      </c>
      <c r="J632" s="2" t="str">
        <f t="shared" si="86"/>
        <v/>
      </c>
      <c r="L632" s="2" t="str">
        <f t="shared" si="87"/>
        <v/>
      </c>
      <c r="N632" s="10" t="str">
        <f t="shared" si="88"/>
        <v/>
      </c>
      <c r="O632" s="2">
        <f t="shared" si="89"/>
        <v>45733</v>
      </c>
      <c r="P632" s="2">
        <v>45733.576122685183</v>
      </c>
      <c r="Q632" s="2">
        <f t="shared" si="90"/>
        <v>45734</v>
      </c>
      <c r="R632" s="2">
        <v>45734.711111111108</v>
      </c>
      <c r="S632">
        <f t="shared" si="91"/>
        <v>0</v>
      </c>
      <c r="T632" s="2">
        <f t="shared" si="92"/>
        <v>45734</v>
      </c>
      <c r="U632" t="str">
        <f t="shared" si="93"/>
        <v>NO PRAZO</v>
      </c>
    </row>
    <row r="633" spans="1:21" hidden="1">
      <c r="A633" s="1">
        <v>19530</v>
      </c>
      <c r="B633" t="s">
        <v>20</v>
      </c>
      <c r="C633" t="s">
        <v>9</v>
      </c>
      <c r="D633" t="s">
        <v>16</v>
      </c>
      <c r="E633" s="1">
        <v>442</v>
      </c>
      <c r="F633" s="1">
        <v>2025</v>
      </c>
      <c r="G633" t="s">
        <v>11</v>
      </c>
      <c r="H633" s="2">
        <v>45730.707951388889</v>
      </c>
      <c r="I633" s="9">
        <f t="shared" si="85"/>
        <v>45733</v>
      </c>
      <c r="J633" s="2" t="str">
        <f t="shared" si="86"/>
        <v/>
      </c>
      <c r="L633" s="2" t="str">
        <f t="shared" si="87"/>
        <v/>
      </c>
      <c r="N633" s="10" t="str">
        <f t="shared" si="88"/>
        <v/>
      </c>
      <c r="O633" s="2">
        <f t="shared" si="89"/>
        <v>45733</v>
      </c>
      <c r="P633" s="2">
        <v>45733.579560185186</v>
      </c>
      <c r="Q633" s="2">
        <f t="shared" si="90"/>
        <v>45737</v>
      </c>
      <c r="R633" s="2">
        <v>45737.632326388892</v>
      </c>
      <c r="S633">
        <f t="shared" si="91"/>
        <v>0</v>
      </c>
      <c r="T633" s="2">
        <f t="shared" si="92"/>
        <v>45737</v>
      </c>
      <c r="U633" t="str">
        <f t="shared" si="93"/>
        <v>NO PRAZO</v>
      </c>
    </row>
    <row r="634" spans="1:21" hidden="1">
      <c r="A634" s="1">
        <v>19525</v>
      </c>
      <c r="B634" t="s">
        <v>19</v>
      </c>
      <c r="C634" t="s">
        <v>13</v>
      </c>
      <c r="D634" t="s">
        <v>18</v>
      </c>
      <c r="E634" s="1">
        <v>437</v>
      </c>
      <c r="F634" s="1">
        <v>2025</v>
      </c>
      <c r="G634" t="s">
        <v>11</v>
      </c>
      <c r="H634" s="2">
        <v>45730.499594907407</v>
      </c>
      <c r="I634" s="9">
        <f t="shared" si="85"/>
        <v>45735</v>
      </c>
      <c r="J634" s="2" t="str">
        <f t="shared" si="86"/>
        <v/>
      </c>
      <c r="L634" s="2" t="str">
        <f t="shared" si="87"/>
        <v/>
      </c>
      <c r="N634" s="10" t="str">
        <f t="shared" si="88"/>
        <v/>
      </c>
      <c r="O634" s="2">
        <f t="shared" si="89"/>
        <v>45735</v>
      </c>
      <c r="P634" s="2">
        <v>45734.620937500003</v>
      </c>
      <c r="Q634" s="2">
        <f t="shared" si="90"/>
        <v>45741</v>
      </c>
      <c r="R634" s="2">
        <v>45734.621550925927</v>
      </c>
      <c r="S634">
        <f t="shared" si="91"/>
        <v>0</v>
      </c>
      <c r="T634" s="2">
        <f t="shared" si="92"/>
        <v>45741</v>
      </c>
      <c r="U634" t="str">
        <f t="shared" si="93"/>
        <v>NO PRAZO</v>
      </c>
    </row>
    <row r="635" spans="1:21" hidden="1">
      <c r="A635" s="1">
        <v>19513</v>
      </c>
      <c r="B635" t="s">
        <v>20</v>
      </c>
      <c r="C635" t="s">
        <v>13</v>
      </c>
      <c r="D635" t="s">
        <v>18</v>
      </c>
      <c r="E635" s="1">
        <v>425</v>
      </c>
      <c r="F635" s="1">
        <v>2025</v>
      </c>
      <c r="G635" t="s">
        <v>11</v>
      </c>
      <c r="H635" s="2">
        <v>45729.749699074076</v>
      </c>
      <c r="I635" s="9">
        <f t="shared" si="85"/>
        <v>45734</v>
      </c>
      <c r="J635" s="2" t="str">
        <f t="shared" si="86"/>
        <v/>
      </c>
      <c r="L635" s="2" t="str">
        <f t="shared" si="87"/>
        <v/>
      </c>
      <c r="N635" s="10" t="str">
        <f t="shared" si="88"/>
        <v/>
      </c>
      <c r="O635" s="2">
        <f t="shared" si="89"/>
        <v>45734</v>
      </c>
      <c r="P635" s="2">
        <v>45730.445509259262</v>
      </c>
      <c r="Q635" s="2">
        <f t="shared" si="90"/>
        <v>45740</v>
      </c>
      <c r="R635" s="2">
        <v>45733.580046296294</v>
      </c>
      <c r="S635">
        <f t="shared" si="91"/>
        <v>0</v>
      </c>
      <c r="T635" s="2">
        <f t="shared" si="92"/>
        <v>45740</v>
      </c>
      <c r="U635" t="str">
        <f t="shared" si="93"/>
        <v>NO PRAZO</v>
      </c>
    </row>
    <row r="636" spans="1:21" hidden="1">
      <c r="A636" s="1">
        <v>19511</v>
      </c>
      <c r="B636" t="s">
        <v>19</v>
      </c>
      <c r="C636" t="s">
        <v>13</v>
      </c>
      <c r="D636" t="s">
        <v>18</v>
      </c>
      <c r="E636" s="1">
        <v>423</v>
      </c>
      <c r="F636" s="1">
        <v>2025</v>
      </c>
      <c r="G636" t="s">
        <v>11</v>
      </c>
      <c r="H636" s="2">
        <v>45729.708043981482</v>
      </c>
      <c r="I636" s="9">
        <f t="shared" si="85"/>
        <v>45734</v>
      </c>
      <c r="J636" s="2" t="str">
        <f t="shared" si="86"/>
        <v/>
      </c>
      <c r="L636" s="2" t="str">
        <f t="shared" si="87"/>
        <v/>
      </c>
      <c r="N636" s="10" t="str">
        <f t="shared" si="88"/>
        <v/>
      </c>
      <c r="O636" s="2">
        <f t="shared" si="89"/>
        <v>45734</v>
      </c>
      <c r="P636" s="2">
        <v>45733.422951388886</v>
      </c>
      <c r="Q636" s="2">
        <f t="shared" si="90"/>
        <v>45740</v>
      </c>
      <c r="R636" s="2">
        <v>45733.423194444447</v>
      </c>
      <c r="S636">
        <f t="shared" si="91"/>
        <v>0</v>
      </c>
      <c r="T636" s="2">
        <f t="shared" si="92"/>
        <v>45740</v>
      </c>
      <c r="U636" t="str">
        <f t="shared" si="93"/>
        <v>NO PRAZO</v>
      </c>
    </row>
    <row r="637" spans="1:21" hidden="1">
      <c r="A637" s="1">
        <v>19510</v>
      </c>
      <c r="B637" t="s">
        <v>17</v>
      </c>
      <c r="C637" t="s">
        <v>13</v>
      </c>
      <c r="D637" t="s">
        <v>18</v>
      </c>
      <c r="E637" s="1">
        <v>422</v>
      </c>
      <c r="F637" s="1">
        <v>2025</v>
      </c>
      <c r="G637" t="s">
        <v>11</v>
      </c>
      <c r="H637" s="2">
        <v>45729.708043981482</v>
      </c>
      <c r="I637" s="9">
        <f t="shared" si="85"/>
        <v>45734</v>
      </c>
      <c r="J637" s="2" t="str">
        <f t="shared" si="86"/>
        <v/>
      </c>
      <c r="L637" s="2" t="str">
        <f t="shared" si="87"/>
        <v/>
      </c>
      <c r="N637" s="10" t="str">
        <f t="shared" si="88"/>
        <v/>
      </c>
      <c r="O637" s="2">
        <f t="shared" si="89"/>
        <v>45734</v>
      </c>
      <c r="P637" s="2">
        <v>45735.436990740738</v>
      </c>
      <c r="Q637" s="2">
        <f t="shared" si="90"/>
        <v>45740</v>
      </c>
      <c r="R637" s="2">
        <v>45735.439513888887</v>
      </c>
      <c r="S637">
        <f t="shared" si="91"/>
        <v>0</v>
      </c>
      <c r="T637" s="2">
        <f t="shared" si="92"/>
        <v>45740</v>
      </c>
      <c r="U637" t="str">
        <f t="shared" si="93"/>
        <v>NO PRAZO</v>
      </c>
    </row>
    <row r="638" spans="1:21" hidden="1">
      <c r="A638" s="1">
        <v>19503</v>
      </c>
      <c r="B638" t="s">
        <v>19</v>
      </c>
      <c r="C638" t="s">
        <v>13</v>
      </c>
      <c r="D638" t="s">
        <v>18</v>
      </c>
      <c r="E638" s="1">
        <v>415</v>
      </c>
      <c r="F638" s="1">
        <v>2025</v>
      </c>
      <c r="G638" t="s">
        <v>11</v>
      </c>
      <c r="H638" s="2">
        <v>45729.458182870374</v>
      </c>
      <c r="I638" s="9">
        <f t="shared" si="85"/>
        <v>45734</v>
      </c>
      <c r="J638" s="2" t="str">
        <f t="shared" si="86"/>
        <v/>
      </c>
      <c r="L638" s="2" t="str">
        <f t="shared" si="87"/>
        <v/>
      </c>
      <c r="N638" s="10" t="str">
        <f t="shared" si="88"/>
        <v/>
      </c>
      <c r="O638" s="2">
        <f t="shared" si="89"/>
        <v>45734</v>
      </c>
      <c r="P638" s="2">
        <v>45730.417615740742</v>
      </c>
      <c r="Q638" s="2">
        <f t="shared" si="90"/>
        <v>45740</v>
      </c>
      <c r="R638" s="2">
        <v>45737.419502314813</v>
      </c>
      <c r="S638">
        <f t="shared" si="91"/>
        <v>0</v>
      </c>
      <c r="T638" s="2">
        <f t="shared" si="92"/>
        <v>45740</v>
      </c>
      <c r="U638" t="str">
        <f t="shared" si="93"/>
        <v>NO PRAZO</v>
      </c>
    </row>
    <row r="639" spans="1:21" hidden="1">
      <c r="A639" s="1">
        <v>19501</v>
      </c>
      <c r="B639" t="s">
        <v>20</v>
      </c>
      <c r="C639" t="s">
        <v>13</v>
      </c>
      <c r="D639" t="s">
        <v>18</v>
      </c>
      <c r="E639" s="1">
        <v>413</v>
      </c>
      <c r="F639" s="1">
        <v>2025</v>
      </c>
      <c r="G639" t="s">
        <v>11</v>
      </c>
      <c r="H639" s="2">
        <v>45729.416550925926</v>
      </c>
      <c r="I639" s="9">
        <f t="shared" si="85"/>
        <v>45734</v>
      </c>
      <c r="J639" s="2" t="str">
        <f t="shared" si="86"/>
        <v/>
      </c>
      <c r="L639" s="2" t="str">
        <f t="shared" si="87"/>
        <v/>
      </c>
      <c r="N639" s="10" t="str">
        <f t="shared" si="88"/>
        <v/>
      </c>
      <c r="O639" s="2">
        <f t="shared" si="89"/>
        <v>45734</v>
      </c>
      <c r="P639" s="2">
        <v>45736.454432870371</v>
      </c>
      <c r="Q639" s="2">
        <f t="shared" si="90"/>
        <v>45740</v>
      </c>
      <c r="R639" s="2">
        <v>45736.614861111113</v>
      </c>
      <c r="S639">
        <f t="shared" si="91"/>
        <v>0</v>
      </c>
      <c r="T639" s="2">
        <f t="shared" si="92"/>
        <v>45740</v>
      </c>
      <c r="U639" t="str">
        <f t="shared" si="93"/>
        <v>NO PRAZO</v>
      </c>
    </row>
    <row r="640" spans="1:21" hidden="1">
      <c r="A640" s="1">
        <v>19498</v>
      </c>
      <c r="B640" t="s">
        <v>19</v>
      </c>
      <c r="C640" t="s">
        <v>9</v>
      </c>
      <c r="D640" t="s">
        <v>14</v>
      </c>
      <c r="E640" s="1">
        <v>410</v>
      </c>
      <c r="F640" s="1">
        <v>2025</v>
      </c>
      <c r="G640" t="s">
        <v>11</v>
      </c>
      <c r="H640" s="2">
        <v>45728.791921296295</v>
      </c>
      <c r="I640" s="9">
        <f t="shared" ref="I640:I703" si="94">IF(OR(D640="ORIENTAÇÃO",D640="BUG IMPEDITIVO",D640="BUG NÃO IMPEDITIVO"),WORKDAY(H640,1,Z$2:Z$500),IF(OR(D640="MELHORIA PEQUENA",D640="MELHORIA MÉDIA"),WORKDAY(H640,3,Z$2:Z$500),""))</f>
        <v>45729</v>
      </c>
      <c r="J640" s="2" t="str">
        <f t="shared" si="86"/>
        <v/>
      </c>
      <c r="L640" s="2" t="str">
        <f t="shared" si="87"/>
        <v/>
      </c>
      <c r="N640" s="10" t="str">
        <f t="shared" si="88"/>
        <v/>
      </c>
      <c r="O640" s="2">
        <f t="shared" si="89"/>
        <v>45729</v>
      </c>
      <c r="P640" s="2">
        <v>45729.50141203704</v>
      </c>
      <c r="Q640" s="2">
        <f t="shared" si="90"/>
        <v>45730</v>
      </c>
      <c r="R640" s="2">
        <v>45729.824907407405</v>
      </c>
      <c r="S640">
        <f t="shared" si="91"/>
        <v>0</v>
      </c>
      <c r="T640" s="2">
        <f t="shared" si="92"/>
        <v>45730</v>
      </c>
      <c r="U640" t="str">
        <f t="shared" si="93"/>
        <v>NO PRAZO</v>
      </c>
    </row>
    <row r="641" spans="1:21" hidden="1">
      <c r="A641" s="1">
        <v>19492</v>
      </c>
      <c r="B641" t="s">
        <v>19</v>
      </c>
      <c r="C641" t="s">
        <v>9</v>
      </c>
      <c r="D641" t="s">
        <v>18</v>
      </c>
      <c r="E641" s="1">
        <v>404</v>
      </c>
      <c r="F641" s="1">
        <v>2025</v>
      </c>
      <c r="G641" t="s">
        <v>11</v>
      </c>
      <c r="H641" s="2">
        <v>45728.625185185185</v>
      </c>
      <c r="I641" s="9">
        <f t="shared" si="94"/>
        <v>45733</v>
      </c>
      <c r="J641" s="2" t="str">
        <f t="shared" si="86"/>
        <v/>
      </c>
      <c r="L641" s="2" t="str">
        <f t="shared" si="87"/>
        <v/>
      </c>
      <c r="N641" s="10" t="str">
        <f t="shared" si="88"/>
        <v/>
      </c>
      <c r="O641" s="2">
        <f t="shared" si="89"/>
        <v>45733</v>
      </c>
      <c r="P641" s="2">
        <v>45730.413715277777</v>
      </c>
      <c r="Q641" s="2">
        <f t="shared" si="90"/>
        <v>45737</v>
      </c>
      <c r="R641" s="2">
        <v>45730.413854166669</v>
      </c>
      <c r="S641">
        <f t="shared" si="91"/>
        <v>0</v>
      </c>
      <c r="T641" s="2">
        <f t="shared" si="92"/>
        <v>45737</v>
      </c>
      <c r="U641" t="str">
        <f t="shared" si="93"/>
        <v>NO PRAZO</v>
      </c>
    </row>
    <row r="642" spans="1:21" hidden="1">
      <c r="A642" s="1">
        <v>19489</v>
      </c>
      <c r="B642" t="s">
        <v>19</v>
      </c>
      <c r="C642" t="s">
        <v>9</v>
      </c>
      <c r="D642" t="s">
        <v>14</v>
      </c>
      <c r="E642" s="1">
        <v>401</v>
      </c>
      <c r="F642" s="1">
        <v>2025</v>
      </c>
      <c r="G642" t="s">
        <v>11</v>
      </c>
      <c r="H642" s="2">
        <v>45727.792326388888</v>
      </c>
      <c r="I642" s="9">
        <f t="shared" si="94"/>
        <v>45728</v>
      </c>
      <c r="J642" s="2" t="str">
        <f t="shared" si="86"/>
        <v/>
      </c>
      <c r="L642" s="2" t="str">
        <f t="shared" si="87"/>
        <v/>
      </c>
      <c r="N642" s="10" t="str">
        <f t="shared" si="88"/>
        <v/>
      </c>
      <c r="O642" s="2">
        <f t="shared" si="89"/>
        <v>45728</v>
      </c>
      <c r="P642" s="2">
        <v>45728.676793981482</v>
      </c>
      <c r="Q642" s="2">
        <f t="shared" si="90"/>
        <v>45729</v>
      </c>
      <c r="R642" s="2">
        <v>45729.673958333333</v>
      </c>
      <c r="S642">
        <f t="shared" si="91"/>
        <v>0</v>
      </c>
      <c r="T642" s="2">
        <f t="shared" si="92"/>
        <v>45729</v>
      </c>
      <c r="U642" t="str">
        <f t="shared" si="93"/>
        <v>NO PRAZO</v>
      </c>
    </row>
    <row r="643" spans="1:21" hidden="1">
      <c r="A643" s="1">
        <v>19486</v>
      </c>
      <c r="B643" t="s">
        <v>12</v>
      </c>
      <c r="C643" t="s">
        <v>9</v>
      </c>
      <c r="D643" t="s">
        <v>18</v>
      </c>
      <c r="E643" s="1">
        <v>398</v>
      </c>
      <c r="F643" s="1">
        <v>2025</v>
      </c>
      <c r="G643" t="s">
        <v>11</v>
      </c>
      <c r="H643" s="2">
        <v>45727.667314814818</v>
      </c>
      <c r="I643" s="9">
        <f t="shared" si="94"/>
        <v>45730</v>
      </c>
      <c r="J643" s="2" t="str">
        <f t="shared" ref="J643:J706" si="95">IF(K643&lt;&gt;"",I643,"")</f>
        <v/>
      </c>
      <c r="L643" s="2" t="str">
        <f t="shared" ref="L643:L706" si="96">IF(J643="","",WORKDAY(J643,14,Z$2:Z$500))</f>
        <v/>
      </c>
      <c r="N643" s="10" t="str">
        <f t="shared" ref="N643:N706" si="97">IF(M643="","",MAX(0,INT(M643)-INT(L643)))</f>
        <v/>
      </c>
      <c r="O643" s="2">
        <f t="shared" ref="O643:O706" si="98">IF(L643="",I643,WORKDAY(L643,1,Z$2:Z$500))</f>
        <v>45730</v>
      </c>
      <c r="P643" s="2">
        <v>45729.539537037039</v>
      </c>
      <c r="Q643" s="2">
        <f t="shared" ref="Q643:Q706" si="99">IF(OR(D643="ORIENTAÇÃO",D643="BUG IMPEDITIVO"),WORKDAY(O643,1,Z$2:Z$500),IF(OR(D643="MELHORIA PEQUENA",D643="BUG NÃO IMPEDITIVO"),WORKDAY(O643,4,Z$2:Z$500),IF(D643="MELHORIA MÉDIA",WORKDAY(O643,19,Z$2:Z$500),"")))</f>
        <v>45736</v>
      </c>
      <c r="R643" s="2">
        <v>45729.635127314818</v>
      </c>
      <c r="S643">
        <f t="shared" ref="S643:S706" si="100">MAX(0,INT(R643)-INT(Q643))</f>
        <v>0</v>
      </c>
      <c r="T643" s="2">
        <f t="shared" ref="T643:T706" si="101">IF(D643="MELHORIA MÉDIA",IF(K643&lt;&gt;"",WORKDAY(I643,34,$Z$2:$Z$1000),WORKDAY(I643,19,$Z$2:$Z$1000)),IF(OR(D643="MELHORIA PEQUENA",D643="BUG NÃO IMPEDITIVO"),WORKDAY(I643,4,$Z$2:$Z$1000),IF(OR(D643="ORIENTAÇÃO",D643="BUG IMPEDITIVO"),WORKDAY(I643,1,$Z$2:$Z$1000),"")))</f>
        <v>45736</v>
      </c>
      <c r="U643" t="str">
        <f t="shared" ref="U643:U706" si="102">IF(INT(R643)&lt;=INT(T643),"NO PRAZO","ATRASO")</f>
        <v>NO PRAZO</v>
      </c>
    </row>
    <row r="644" spans="1:21" hidden="1">
      <c r="A644" s="1">
        <v>19485</v>
      </c>
      <c r="B644" t="s">
        <v>12</v>
      </c>
      <c r="C644" t="s">
        <v>9</v>
      </c>
      <c r="D644" t="s">
        <v>18</v>
      </c>
      <c r="E644" s="1">
        <v>397</v>
      </c>
      <c r="F644" s="1">
        <v>2025</v>
      </c>
      <c r="G644" t="s">
        <v>11</v>
      </c>
      <c r="H644" s="2">
        <v>45727.583958333336</v>
      </c>
      <c r="I644" s="9">
        <f t="shared" si="94"/>
        <v>45730</v>
      </c>
      <c r="J644" s="2" t="str">
        <f t="shared" si="95"/>
        <v/>
      </c>
      <c r="L644" s="2" t="str">
        <f t="shared" si="96"/>
        <v/>
      </c>
      <c r="N644" s="10" t="str">
        <f t="shared" si="97"/>
        <v/>
      </c>
      <c r="O644" s="2">
        <f t="shared" si="98"/>
        <v>45730</v>
      </c>
      <c r="P644" s="2">
        <v>45728.40016203704</v>
      </c>
      <c r="Q644" s="2">
        <f t="shared" si="99"/>
        <v>45736</v>
      </c>
      <c r="R644" s="2">
        <v>45730.596805555557</v>
      </c>
      <c r="S644">
        <f t="shared" si="100"/>
        <v>0</v>
      </c>
      <c r="T644" s="2">
        <f t="shared" si="101"/>
        <v>45736</v>
      </c>
      <c r="U644" t="str">
        <f t="shared" si="102"/>
        <v>NO PRAZO</v>
      </c>
    </row>
    <row r="645" spans="1:21" hidden="1">
      <c r="A645" s="1">
        <v>19482</v>
      </c>
      <c r="B645" t="s">
        <v>23</v>
      </c>
      <c r="C645" t="s">
        <v>9</v>
      </c>
      <c r="D645" t="s">
        <v>16</v>
      </c>
      <c r="E645" s="1">
        <v>394</v>
      </c>
      <c r="F645" s="1">
        <v>2025</v>
      </c>
      <c r="G645" t="s">
        <v>11</v>
      </c>
      <c r="H645" s="2">
        <v>45727.413356481484</v>
      </c>
      <c r="I645" s="9">
        <f t="shared" si="94"/>
        <v>45728</v>
      </c>
      <c r="J645" s="2" t="str">
        <f t="shared" si="95"/>
        <v/>
      </c>
      <c r="L645" s="2" t="str">
        <f t="shared" si="96"/>
        <v/>
      </c>
      <c r="N645" s="10" t="str">
        <f t="shared" si="97"/>
        <v/>
      </c>
      <c r="O645" s="2">
        <f t="shared" si="98"/>
        <v>45728</v>
      </c>
      <c r="P645" s="2">
        <v>45727.623831018522</v>
      </c>
      <c r="Q645" s="2">
        <f t="shared" si="99"/>
        <v>45734</v>
      </c>
      <c r="R645" s="2">
        <v>45730.641805555555</v>
      </c>
      <c r="S645">
        <f t="shared" si="100"/>
        <v>0</v>
      </c>
      <c r="T645" s="2">
        <f t="shared" si="101"/>
        <v>45734</v>
      </c>
      <c r="U645" t="str">
        <f t="shared" si="102"/>
        <v>NO PRAZO</v>
      </c>
    </row>
    <row r="646" spans="1:21" hidden="1">
      <c r="A646" s="1">
        <v>19480</v>
      </c>
      <c r="B646" t="s">
        <v>20</v>
      </c>
      <c r="C646" t="s">
        <v>9</v>
      </c>
      <c r="D646" t="s">
        <v>18</v>
      </c>
      <c r="E646" s="1">
        <v>392</v>
      </c>
      <c r="F646" s="1">
        <v>2025</v>
      </c>
      <c r="G646" t="s">
        <v>11</v>
      </c>
      <c r="H646" s="2">
        <v>45726.708969907406</v>
      </c>
      <c r="I646" s="9">
        <f t="shared" si="94"/>
        <v>45729</v>
      </c>
      <c r="J646" s="2" t="str">
        <f t="shared" si="95"/>
        <v/>
      </c>
      <c r="L646" s="2" t="str">
        <f t="shared" si="96"/>
        <v/>
      </c>
      <c r="N646" s="10" t="str">
        <f t="shared" si="97"/>
        <v/>
      </c>
      <c r="O646" s="2">
        <f t="shared" si="98"/>
        <v>45729</v>
      </c>
      <c r="P646" s="2">
        <v>45727.487129629626</v>
      </c>
      <c r="Q646" s="2">
        <f t="shared" si="99"/>
        <v>45735</v>
      </c>
      <c r="R646" s="2">
        <v>45728.66710648148</v>
      </c>
      <c r="S646">
        <f t="shared" si="100"/>
        <v>0</v>
      </c>
      <c r="T646" s="2">
        <f t="shared" si="101"/>
        <v>45735</v>
      </c>
      <c r="U646" t="str">
        <f t="shared" si="102"/>
        <v>NO PRAZO</v>
      </c>
    </row>
    <row r="647" spans="1:21" hidden="1">
      <c r="A647" s="1">
        <v>19478</v>
      </c>
      <c r="B647" t="s">
        <v>20</v>
      </c>
      <c r="C647" t="s">
        <v>13</v>
      </c>
      <c r="D647" t="s">
        <v>18</v>
      </c>
      <c r="E647" s="1">
        <v>390</v>
      </c>
      <c r="F647" s="1">
        <v>2025</v>
      </c>
      <c r="G647" t="s">
        <v>11</v>
      </c>
      <c r="H647" s="2">
        <v>45726.708969907406</v>
      </c>
      <c r="I647" s="9">
        <f t="shared" si="94"/>
        <v>45729</v>
      </c>
      <c r="J647" s="2" t="str">
        <f t="shared" si="95"/>
        <v/>
      </c>
      <c r="L647" s="2" t="str">
        <f t="shared" si="96"/>
        <v/>
      </c>
      <c r="N647" s="10" t="str">
        <f t="shared" si="97"/>
        <v/>
      </c>
      <c r="O647" s="2">
        <f t="shared" si="98"/>
        <v>45729</v>
      </c>
      <c r="P647" s="2">
        <v>45727.526585648149</v>
      </c>
      <c r="Q647" s="2">
        <f t="shared" si="99"/>
        <v>45735</v>
      </c>
      <c r="R647" s="2">
        <v>45733.450266203705</v>
      </c>
      <c r="S647">
        <f t="shared" si="100"/>
        <v>0</v>
      </c>
      <c r="T647" s="2">
        <f t="shared" si="101"/>
        <v>45735</v>
      </c>
      <c r="U647" t="str">
        <f t="shared" si="102"/>
        <v>NO PRAZO</v>
      </c>
    </row>
    <row r="648" spans="1:21" hidden="1">
      <c r="A648" s="1">
        <v>19474</v>
      </c>
      <c r="B648" t="s">
        <v>17</v>
      </c>
      <c r="C648" t="s">
        <v>13</v>
      </c>
      <c r="D648" t="s">
        <v>18</v>
      </c>
      <c r="E648" s="1">
        <v>386</v>
      </c>
      <c r="F648" s="1">
        <v>2025</v>
      </c>
      <c r="G648" t="s">
        <v>11</v>
      </c>
      <c r="H648" s="2">
        <v>45723.875219907408</v>
      </c>
      <c r="I648" s="9">
        <f t="shared" si="94"/>
        <v>45728</v>
      </c>
      <c r="J648" s="2" t="str">
        <f t="shared" si="95"/>
        <v/>
      </c>
      <c r="L648" s="2" t="str">
        <f t="shared" si="96"/>
        <v/>
      </c>
      <c r="N648" s="10" t="str">
        <f t="shared" si="97"/>
        <v/>
      </c>
      <c r="O648" s="2">
        <f t="shared" si="98"/>
        <v>45728</v>
      </c>
      <c r="P648" s="2">
        <v>45727.413587962961</v>
      </c>
      <c r="Q648" s="2">
        <f t="shared" si="99"/>
        <v>45734</v>
      </c>
      <c r="R648" s="2">
        <v>45727.414537037039</v>
      </c>
      <c r="S648">
        <f t="shared" si="100"/>
        <v>0</v>
      </c>
      <c r="T648" s="2">
        <f t="shared" si="101"/>
        <v>45734</v>
      </c>
      <c r="U648" t="str">
        <f t="shared" si="102"/>
        <v>NO PRAZO</v>
      </c>
    </row>
    <row r="649" spans="1:21" hidden="1">
      <c r="A649" s="1">
        <v>19470</v>
      </c>
      <c r="B649" t="s">
        <v>12</v>
      </c>
      <c r="C649" t="s">
        <v>13</v>
      </c>
      <c r="D649" t="s">
        <v>10</v>
      </c>
      <c r="E649" s="1">
        <v>382</v>
      </c>
      <c r="F649" s="1">
        <v>2025</v>
      </c>
      <c r="G649" t="s">
        <v>11</v>
      </c>
      <c r="H649" s="2">
        <v>45723.625219907408</v>
      </c>
      <c r="I649" s="9">
        <f t="shared" si="94"/>
        <v>45726</v>
      </c>
      <c r="J649" s="2" t="str">
        <f t="shared" si="95"/>
        <v/>
      </c>
      <c r="L649" s="2" t="str">
        <f t="shared" si="96"/>
        <v/>
      </c>
      <c r="N649" s="10" t="str">
        <f t="shared" si="97"/>
        <v/>
      </c>
      <c r="O649" s="2">
        <f t="shared" si="98"/>
        <v>45726</v>
      </c>
      <c r="P649" s="2">
        <v>45726.428206018521</v>
      </c>
      <c r="Q649" s="2">
        <f t="shared" si="99"/>
        <v>45727</v>
      </c>
      <c r="R649" s="2">
        <v>45726.423078703701</v>
      </c>
      <c r="S649">
        <f t="shared" si="100"/>
        <v>0</v>
      </c>
      <c r="T649" s="2">
        <f t="shared" si="101"/>
        <v>45727</v>
      </c>
      <c r="U649" t="str">
        <f t="shared" si="102"/>
        <v>NO PRAZO</v>
      </c>
    </row>
    <row r="650" spans="1:21" hidden="1">
      <c r="A650" s="1">
        <v>19460</v>
      </c>
      <c r="B650" t="s">
        <v>23</v>
      </c>
      <c r="C650" t="s">
        <v>13</v>
      </c>
      <c r="D650" t="s">
        <v>10</v>
      </c>
      <c r="E650" s="1">
        <v>372</v>
      </c>
      <c r="F650" s="1">
        <v>2025</v>
      </c>
      <c r="G650" t="s">
        <v>11</v>
      </c>
      <c r="H650" s="2">
        <v>45722.39534722222</v>
      </c>
      <c r="I650" s="9">
        <f t="shared" si="94"/>
        <v>45723</v>
      </c>
      <c r="J650" s="2" t="str">
        <f t="shared" si="95"/>
        <v/>
      </c>
      <c r="L650" s="2" t="str">
        <f t="shared" si="96"/>
        <v/>
      </c>
      <c r="N650" s="10" t="str">
        <f t="shared" si="97"/>
        <v/>
      </c>
      <c r="O650" s="2">
        <f t="shared" si="98"/>
        <v>45723</v>
      </c>
      <c r="P650" s="2">
        <v>45723.737939814811</v>
      </c>
      <c r="Q650" s="2">
        <f t="shared" si="99"/>
        <v>45726</v>
      </c>
      <c r="R650" s="2">
        <v>45723.751863425925</v>
      </c>
      <c r="S650">
        <f t="shared" si="100"/>
        <v>0</v>
      </c>
      <c r="T650" s="2">
        <f t="shared" si="101"/>
        <v>45726</v>
      </c>
      <c r="U650" t="str">
        <f t="shared" si="102"/>
        <v>NO PRAZO</v>
      </c>
    </row>
    <row r="651" spans="1:21" hidden="1">
      <c r="A651" s="1">
        <v>19458</v>
      </c>
      <c r="B651" t="s">
        <v>20</v>
      </c>
      <c r="C651" t="s">
        <v>13</v>
      </c>
      <c r="D651" t="s">
        <v>18</v>
      </c>
      <c r="E651" s="1">
        <v>370</v>
      </c>
      <c r="F651" s="1">
        <v>2025</v>
      </c>
      <c r="G651" t="s">
        <v>11</v>
      </c>
      <c r="H651" s="2">
        <v>45716.792604166665</v>
      </c>
      <c r="I651" s="9">
        <f t="shared" si="94"/>
        <v>45726</v>
      </c>
      <c r="J651" s="2" t="str">
        <f t="shared" si="95"/>
        <v/>
      </c>
      <c r="L651" s="2" t="str">
        <f t="shared" si="96"/>
        <v/>
      </c>
      <c r="N651" s="10" t="str">
        <f t="shared" si="97"/>
        <v/>
      </c>
      <c r="O651" s="2">
        <f t="shared" si="98"/>
        <v>45726</v>
      </c>
      <c r="P651" s="2">
        <v>45723.503657407404</v>
      </c>
      <c r="Q651" s="2">
        <f t="shared" si="99"/>
        <v>45730</v>
      </c>
      <c r="R651" s="2">
        <v>45727.782546296294</v>
      </c>
      <c r="S651">
        <f t="shared" si="100"/>
        <v>0</v>
      </c>
      <c r="T651" s="2">
        <f t="shared" si="101"/>
        <v>45730</v>
      </c>
      <c r="U651" t="str">
        <f t="shared" si="102"/>
        <v>NO PRAZO</v>
      </c>
    </row>
    <row r="652" spans="1:21" hidden="1">
      <c r="A652" s="1">
        <v>19457</v>
      </c>
      <c r="B652" t="s">
        <v>24</v>
      </c>
      <c r="C652" t="s">
        <v>9</v>
      </c>
      <c r="D652" t="s">
        <v>18</v>
      </c>
      <c r="E652" s="1">
        <v>369</v>
      </c>
      <c r="F652" s="1">
        <v>2025</v>
      </c>
      <c r="G652" t="s">
        <v>11</v>
      </c>
      <c r="H652" s="2">
        <v>45716.709282407406</v>
      </c>
      <c r="I652" s="9">
        <f t="shared" si="94"/>
        <v>45726</v>
      </c>
      <c r="J652" s="2" t="str">
        <f t="shared" si="95"/>
        <v/>
      </c>
      <c r="L652" s="2" t="str">
        <f t="shared" si="96"/>
        <v/>
      </c>
      <c r="N652" s="10" t="str">
        <f t="shared" si="97"/>
        <v/>
      </c>
      <c r="O652" s="2">
        <f t="shared" si="98"/>
        <v>45726</v>
      </c>
      <c r="P652" s="2">
        <v>45721.603368055556</v>
      </c>
      <c r="Q652" s="2">
        <f t="shared" si="99"/>
        <v>45730</v>
      </c>
      <c r="R652" s="2">
        <v>45721.606203703705</v>
      </c>
      <c r="S652">
        <f t="shared" si="100"/>
        <v>0</v>
      </c>
      <c r="T652" s="2">
        <f t="shared" si="101"/>
        <v>45730</v>
      </c>
      <c r="U652" t="str">
        <f t="shared" si="102"/>
        <v>NO PRAZO</v>
      </c>
    </row>
    <row r="653" spans="1:21" hidden="1">
      <c r="A653" s="1">
        <v>19456</v>
      </c>
      <c r="B653" t="s">
        <v>22</v>
      </c>
      <c r="C653" t="s">
        <v>13</v>
      </c>
      <c r="D653" t="s">
        <v>21</v>
      </c>
      <c r="E653" s="1">
        <v>368</v>
      </c>
      <c r="F653" s="1">
        <v>2025</v>
      </c>
      <c r="G653" t="s">
        <v>11</v>
      </c>
      <c r="H653" s="2">
        <v>45716.619444444441</v>
      </c>
      <c r="I653" s="9">
        <f t="shared" si="94"/>
        <v>45726</v>
      </c>
      <c r="J653" s="2" t="str">
        <f t="shared" si="95"/>
        <v/>
      </c>
      <c r="L653" s="2" t="str">
        <f t="shared" si="96"/>
        <v/>
      </c>
      <c r="N653" s="10" t="str">
        <f t="shared" si="97"/>
        <v/>
      </c>
      <c r="O653" s="2">
        <f t="shared" si="98"/>
        <v>45726</v>
      </c>
      <c r="P653" s="2">
        <v>45716.619930555556</v>
      </c>
      <c r="Q653" s="2">
        <f t="shared" si="99"/>
        <v>45751</v>
      </c>
      <c r="R653" s="2">
        <v>45716.625405092593</v>
      </c>
      <c r="S653">
        <f t="shared" si="100"/>
        <v>0</v>
      </c>
      <c r="T653" s="2">
        <f t="shared" si="101"/>
        <v>45751</v>
      </c>
      <c r="U653" t="str">
        <f t="shared" si="102"/>
        <v>NO PRAZO</v>
      </c>
    </row>
    <row r="654" spans="1:21" hidden="1">
      <c r="A654" s="1">
        <v>19452</v>
      </c>
      <c r="B654" t="s">
        <v>23</v>
      </c>
      <c r="C654" t="s">
        <v>9</v>
      </c>
      <c r="D654" t="s">
        <v>16</v>
      </c>
      <c r="E654" s="1">
        <v>364</v>
      </c>
      <c r="F654" s="1">
        <v>2025</v>
      </c>
      <c r="G654" t="s">
        <v>11</v>
      </c>
      <c r="H654" s="2">
        <v>45715.750879629632</v>
      </c>
      <c r="I654" s="9">
        <f t="shared" si="94"/>
        <v>45716</v>
      </c>
      <c r="J654" s="2" t="str">
        <f t="shared" si="95"/>
        <v/>
      </c>
      <c r="L654" s="2" t="str">
        <f t="shared" si="96"/>
        <v/>
      </c>
      <c r="N654" s="10" t="str">
        <f t="shared" si="97"/>
        <v/>
      </c>
      <c r="O654" s="2">
        <f t="shared" si="98"/>
        <v>45716</v>
      </c>
      <c r="P654" s="2">
        <v>45722.609652777777</v>
      </c>
      <c r="Q654" s="2">
        <f t="shared" si="99"/>
        <v>45727</v>
      </c>
      <c r="R654" s="2">
        <v>45722.683252314811</v>
      </c>
      <c r="S654">
        <f t="shared" si="100"/>
        <v>0</v>
      </c>
      <c r="T654" s="2">
        <f t="shared" si="101"/>
        <v>45727</v>
      </c>
      <c r="U654" t="str">
        <f t="shared" si="102"/>
        <v>NO PRAZO</v>
      </c>
    </row>
    <row r="655" spans="1:21" hidden="1">
      <c r="A655" s="1">
        <v>19449</v>
      </c>
      <c r="B655" t="s">
        <v>17</v>
      </c>
      <c r="C655" t="s">
        <v>13</v>
      </c>
      <c r="D655" t="s">
        <v>18</v>
      </c>
      <c r="E655" s="1">
        <v>361</v>
      </c>
      <c r="F655" s="1">
        <v>2025</v>
      </c>
      <c r="G655" t="s">
        <v>11</v>
      </c>
      <c r="H655" s="2">
        <v>45715.667511574073</v>
      </c>
      <c r="I655" s="9">
        <f t="shared" si="94"/>
        <v>45723</v>
      </c>
      <c r="J655" s="2" t="str">
        <f t="shared" si="95"/>
        <v/>
      </c>
      <c r="L655" s="2" t="str">
        <f t="shared" si="96"/>
        <v/>
      </c>
      <c r="N655" s="10" t="str">
        <f t="shared" si="97"/>
        <v/>
      </c>
      <c r="O655" s="2">
        <f t="shared" si="98"/>
        <v>45723</v>
      </c>
      <c r="P655" s="2">
        <v>45722.367812500001</v>
      </c>
      <c r="Q655" s="2">
        <f t="shared" si="99"/>
        <v>45729</v>
      </c>
      <c r="R655" s="2">
        <v>45722.368703703702</v>
      </c>
      <c r="S655">
        <f t="shared" si="100"/>
        <v>0</v>
      </c>
      <c r="T655" s="2">
        <f t="shared" si="101"/>
        <v>45729</v>
      </c>
      <c r="U655" t="str">
        <f t="shared" si="102"/>
        <v>NO PRAZO</v>
      </c>
    </row>
    <row r="656" spans="1:21" hidden="1">
      <c r="A656" s="1">
        <v>19444</v>
      </c>
      <c r="B656" t="s">
        <v>12</v>
      </c>
      <c r="C656" t="s">
        <v>13</v>
      </c>
      <c r="D656" t="s">
        <v>14</v>
      </c>
      <c r="E656" s="1">
        <v>356</v>
      </c>
      <c r="F656" s="1">
        <v>2025</v>
      </c>
      <c r="G656" t="s">
        <v>11</v>
      </c>
      <c r="H656" s="2">
        <v>45714.750844907408</v>
      </c>
      <c r="I656" s="9">
        <f t="shared" si="94"/>
        <v>45715</v>
      </c>
      <c r="J656" s="2" t="str">
        <f t="shared" si="95"/>
        <v/>
      </c>
      <c r="L656" s="2" t="str">
        <f t="shared" si="96"/>
        <v/>
      </c>
      <c r="N656" s="10" t="str">
        <f t="shared" si="97"/>
        <v/>
      </c>
      <c r="O656" s="2">
        <f t="shared" si="98"/>
        <v>45715</v>
      </c>
      <c r="P656" s="2">
        <v>45716.671909722223</v>
      </c>
      <c r="Q656" s="2">
        <f t="shared" si="99"/>
        <v>45716</v>
      </c>
      <c r="R656" s="2">
        <v>45716.672106481485</v>
      </c>
      <c r="S656">
        <f t="shared" si="100"/>
        <v>0</v>
      </c>
      <c r="T656" s="2">
        <f t="shared" si="101"/>
        <v>45716</v>
      </c>
      <c r="U656" t="str">
        <f t="shared" si="102"/>
        <v>NO PRAZO</v>
      </c>
    </row>
    <row r="657" spans="1:21" hidden="1">
      <c r="A657" s="1">
        <v>19437</v>
      </c>
      <c r="B657" t="s">
        <v>20</v>
      </c>
      <c r="C657" t="s">
        <v>13</v>
      </c>
      <c r="D657" t="s">
        <v>18</v>
      </c>
      <c r="E657" s="1">
        <v>349</v>
      </c>
      <c r="F657" s="1">
        <v>2025</v>
      </c>
      <c r="G657" t="s">
        <v>11</v>
      </c>
      <c r="H657" s="2">
        <v>45714.584131944444</v>
      </c>
      <c r="I657" s="9">
        <f t="shared" si="94"/>
        <v>45722</v>
      </c>
      <c r="J657" s="2" t="str">
        <f t="shared" si="95"/>
        <v/>
      </c>
      <c r="L657" s="2" t="str">
        <f t="shared" si="96"/>
        <v/>
      </c>
      <c r="N657" s="10" t="str">
        <f t="shared" si="97"/>
        <v/>
      </c>
      <c r="O657" s="2">
        <f t="shared" si="98"/>
        <v>45722</v>
      </c>
      <c r="P657" s="2">
        <v>45721.561041666668</v>
      </c>
      <c r="Q657" s="2">
        <f t="shared" si="99"/>
        <v>45728</v>
      </c>
      <c r="R657" s="2">
        <v>45721.563969907409</v>
      </c>
      <c r="S657">
        <f t="shared" si="100"/>
        <v>0</v>
      </c>
      <c r="T657" s="2">
        <f t="shared" si="101"/>
        <v>45728</v>
      </c>
      <c r="U657" t="str">
        <f t="shared" si="102"/>
        <v>NO PRAZO</v>
      </c>
    </row>
    <row r="658" spans="1:21" hidden="1">
      <c r="A658" s="1">
        <v>19436</v>
      </c>
      <c r="B658" t="s">
        <v>17</v>
      </c>
      <c r="C658" t="s">
        <v>13</v>
      </c>
      <c r="D658" t="s">
        <v>18</v>
      </c>
      <c r="E658" s="1">
        <v>348</v>
      </c>
      <c r="F658" s="1">
        <v>2025</v>
      </c>
      <c r="G658" t="s">
        <v>11</v>
      </c>
      <c r="H658" s="2">
        <v>45714.500833333332</v>
      </c>
      <c r="I658" s="9">
        <f t="shared" si="94"/>
        <v>45722</v>
      </c>
      <c r="J658" s="2" t="str">
        <f t="shared" si="95"/>
        <v/>
      </c>
      <c r="L658" s="2" t="str">
        <f t="shared" si="96"/>
        <v/>
      </c>
      <c r="N658" s="10" t="str">
        <f t="shared" si="97"/>
        <v/>
      </c>
      <c r="O658" s="2">
        <f t="shared" si="98"/>
        <v>45722</v>
      </c>
      <c r="P658" s="2">
        <v>45716.629386574074</v>
      </c>
      <c r="Q658" s="2">
        <f t="shared" si="99"/>
        <v>45728</v>
      </c>
      <c r="R658" s="2">
        <v>45716.630219907405</v>
      </c>
      <c r="S658">
        <f t="shared" si="100"/>
        <v>0</v>
      </c>
      <c r="T658" s="2">
        <f t="shared" si="101"/>
        <v>45728</v>
      </c>
      <c r="U658" t="str">
        <f t="shared" si="102"/>
        <v>NO PRAZO</v>
      </c>
    </row>
    <row r="659" spans="1:21" hidden="1">
      <c r="A659" s="1">
        <v>19422</v>
      </c>
      <c r="B659" t="s">
        <v>19</v>
      </c>
      <c r="C659" t="s">
        <v>13</v>
      </c>
      <c r="D659" t="s">
        <v>18</v>
      </c>
      <c r="E659" s="1">
        <v>334</v>
      </c>
      <c r="F659" s="1">
        <v>2025</v>
      </c>
      <c r="G659" t="s">
        <v>11</v>
      </c>
      <c r="H659" s="2">
        <v>45712.500717592593</v>
      </c>
      <c r="I659" s="9">
        <f t="shared" si="94"/>
        <v>45715</v>
      </c>
      <c r="J659" s="2" t="str">
        <f t="shared" si="95"/>
        <v/>
      </c>
      <c r="L659" s="2" t="str">
        <f t="shared" si="96"/>
        <v/>
      </c>
      <c r="N659" s="10" t="str">
        <f t="shared" si="97"/>
        <v/>
      </c>
      <c r="O659" s="2">
        <f t="shared" si="98"/>
        <v>45715</v>
      </c>
      <c r="P659" s="2">
        <v>45713.427442129629</v>
      </c>
      <c r="Q659" s="2">
        <f t="shared" si="99"/>
        <v>45726</v>
      </c>
      <c r="R659" s="2">
        <v>45713.430196759262</v>
      </c>
      <c r="S659">
        <f t="shared" si="100"/>
        <v>0</v>
      </c>
      <c r="T659" s="2">
        <f t="shared" si="101"/>
        <v>45726</v>
      </c>
      <c r="U659" t="str">
        <f t="shared" si="102"/>
        <v>NO PRAZO</v>
      </c>
    </row>
    <row r="660" spans="1:21" hidden="1">
      <c r="A660" s="1">
        <v>19416</v>
      </c>
      <c r="B660" t="s">
        <v>17</v>
      </c>
      <c r="C660" t="s">
        <v>13</v>
      </c>
      <c r="D660" t="s">
        <v>18</v>
      </c>
      <c r="E660" s="1">
        <v>328</v>
      </c>
      <c r="F660" s="1">
        <v>2025</v>
      </c>
      <c r="G660" t="s">
        <v>11</v>
      </c>
      <c r="H660" s="2">
        <v>45709.70894675926</v>
      </c>
      <c r="I660" s="9">
        <f t="shared" si="94"/>
        <v>45714</v>
      </c>
      <c r="J660" s="2" t="str">
        <f t="shared" si="95"/>
        <v/>
      </c>
      <c r="L660" s="2" t="str">
        <f t="shared" si="96"/>
        <v/>
      </c>
      <c r="N660" s="10" t="str">
        <f t="shared" si="97"/>
        <v/>
      </c>
      <c r="O660" s="2">
        <f t="shared" si="98"/>
        <v>45714</v>
      </c>
      <c r="P660" s="2">
        <v>45716.531828703701</v>
      </c>
      <c r="Q660" s="2">
        <f t="shared" si="99"/>
        <v>45723</v>
      </c>
      <c r="R660" s="2">
        <v>45716.532592592594</v>
      </c>
      <c r="S660">
        <f t="shared" si="100"/>
        <v>0</v>
      </c>
      <c r="T660" s="2">
        <f t="shared" si="101"/>
        <v>45723</v>
      </c>
      <c r="U660" t="str">
        <f t="shared" si="102"/>
        <v>NO PRAZO</v>
      </c>
    </row>
    <row r="661" spans="1:21" hidden="1">
      <c r="A661" s="1">
        <v>19413</v>
      </c>
      <c r="B661" t="s">
        <v>23</v>
      </c>
      <c r="C661" t="s">
        <v>9</v>
      </c>
      <c r="D661" t="s">
        <v>18</v>
      </c>
      <c r="E661" s="1">
        <v>325</v>
      </c>
      <c r="F661" s="1">
        <v>2025</v>
      </c>
      <c r="G661" t="s">
        <v>11</v>
      </c>
      <c r="H661" s="2">
        <v>45709.583923611113</v>
      </c>
      <c r="I661" s="9">
        <f t="shared" si="94"/>
        <v>45714</v>
      </c>
      <c r="J661" s="2" t="str">
        <f t="shared" si="95"/>
        <v/>
      </c>
      <c r="L661" s="2" t="str">
        <f t="shared" si="96"/>
        <v/>
      </c>
      <c r="N661" s="10" t="str">
        <f t="shared" si="97"/>
        <v/>
      </c>
      <c r="O661" s="2">
        <f t="shared" si="98"/>
        <v>45714</v>
      </c>
      <c r="P661" s="2">
        <v>45713.43677083333</v>
      </c>
      <c r="Q661" s="2">
        <f t="shared" si="99"/>
        <v>45723</v>
      </c>
      <c r="R661" s="2">
        <v>45713.452962962961</v>
      </c>
      <c r="S661">
        <f t="shared" si="100"/>
        <v>0</v>
      </c>
      <c r="T661" s="2">
        <f t="shared" si="101"/>
        <v>45723</v>
      </c>
      <c r="U661" t="str">
        <f t="shared" si="102"/>
        <v>NO PRAZO</v>
      </c>
    </row>
    <row r="662" spans="1:21" hidden="1">
      <c r="A662" s="1">
        <v>19400</v>
      </c>
      <c r="B662" t="s">
        <v>12</v>
      </c>
      <c r="C662" t="s">
        <v>13</v>
      </c>
      <c r="D662" t="s">
        <v>18</v>
      </c>
      <c r="E662" s="1">
        <v>312</v>
      </c>
      <c r="F662" s="1">
        <v>2025</v>
      </c>
      <c r="G662" t="s">
        <v>11</v>
      </c>
      <c r="H662" s="2">
        <v>45708.45888888889</v>
      </c>
      <c r="I662" s="9">
        <f t="shared" si="94"/>
        <v>45713</v>
      </c>
      <c r="J662" s="2" t="str">
        <f t="shared" si="95"/>
        <v/>
      </c>
      <c r="L662" s="2" t="str">
        <f t="shared" si="96"/>
        <v/>
      </c>
      <c r="N662" s="10" t="str">
        <f t="shared" si="97"/>
        <v/>
      </c>
      <c r="O662" s="2">
        <f t="shared" si="98"/>
        <v>45713</v>
      </c>
      <c r="P662" s="2">
        <v>45713.746805555558</v>
      </c>
      <c r="Q662" s="2">
        <f t="shared" si="99"/>
        <v>45722</v>
      </c>
      <c r="R662" s="2">
        <v>45713.747187499997</v>
      </c>
      <c r="S662">
        <f t="shared" si="100"/>
        <v>0</v>
      </c>
      <c r="T662" s="2">
        <f t="shared" si="101"/>
        <v>45722</v>
      </c>
      <c r="U662" t="str">
        <f t="shared" si="102"/>
        <v>NO PRAZO</v>
      </c>
    </row>
    <row r="663" spans="1:21" hidden="1">
      <c r="A663" s="1">
        <v>19394</v>
      </c>
      <c r="B663" t="s">
        <v>17</v>
      </c>
      <c r="C663" t="s">
        <v>13</v>
      </c>
      <c r="D663" t="s">
        <v>18</v>
      </c>
      <c r="E663" s="1">
        <v>306</v>
      </c>
      <c r="F663" s="1">
        <v>2025</v>
      </c>
      <c r="G663" t="s">
        <v>11</v>
      </c>
      <c r="H663" s="2">
        <v>45707.583854166667</v>
      </c>
      <c r="I663" s="9">
        <f t="shared" si="94"/>
        <v>45712</v>
      </c>
      <c r="J663" s="2" t="str">
        <f t="shared" si="95"/>
        <v/>
      </c>
      <c r="L663" s="2" t="str">
        <f t="shared" si="96"/>
        <v/>
      </c>
      <c r="N663" s="10" t="str">
        <f t="shared" si="97"/>
        <v/>
      </c>
      <c r="O663" s="2">
        <f t="shared" si="98"/>
        <v>45712</v>
      </c>
      <c r="P663" s="2">
        <v>45709.698252314818</v>
      </c>
      <c r="Q663" s="2">
        <f t="shared" si="99"/>
        <v>45716</v>
      </c>
      <c r="R663" s="2">
        <v>45709.700543981482</v>
      </c>
      <c r="S663">
        <f t="shared" si="100"/>
        <v>0</v>
      </c>
      <c r="T663" s="2">
        <f t="shared" si="101"/>
        <v>45716</v>
      </c>
      <c r="U663" t="str">
        <f t="shared" si="102"/>
        <v>NO PRAZO</v>
      </c>
    </row>
    <row r="664" spans="1:21" hidden="1">
      <c r="A664" s="1">
        <v>19390</v>
      </c>
      <c r="B664" t="s">
        <v>20</v>
      </c>
      <c r="C664" t="s">
        <v>13</v>
      </c>
      <c r="D664" t="s">
        <v>16</v>
      </c>
      <c r="E664" s="1">
        <v>302</v>
      </c>
      <c r="F664" s="1">
        <v>2025</v>
      </c>
      <c r="G664" t="s">
        <v>11</v>
      </c>
      <c r="H664" s="2">
        <v>45707.417175925926</v>
      </c>
      <c r="I664" s="9">
        <f t="shared" si="94"/>
        <v>45708</v>
      </c>
      <c r="J664" s="2" t="str">
        <f t="shared" si="95"/>
        <v/>
      </c>
      <c r="L664" s="2" t="str">
        <f t="shared" si="96"/>
        <v/>
      </c>
      <c r="N664" s="10" t="str">
        <f t="shared" si="97"/>
        <v/>
      </c>
      <c r="O664" s="2">
        <f t="shared" si="98"/>
        <v>45708</v>
      </c>
      <c r="P664" s="2">
        <v>45708.544942129629</v>
      </c>
      <c r="Q664" s="2">
        <f t="shared" si="99"/>
        <v>45714</v>
      </c>
      <c r="R664" s="2">
        <v>45712.420104166667</v>
      </c>
      <c r="S664">
        <f t="shared" si="100"/>
        <v>0</v>
      </c>
      <c r="T664" s="2">
        <f t="shared" si="101"/>
        <v>45714</v>
      </c>
      <c r="U664" t="str">
        <f t="shared" si="102"/>
        <v>NO PRAZO</v>
      </c>
    </row>
    <row r="665" spans="1:21" hidden="1">
      <c r="A665" s="1">
        <v>19381</v>
      </c>
      <c r="B665" t="s">
        <v>19</v>
      </c>
      <c r="C665" t="s">
        <v>13</v>
      </c>
      <c r="D665" t="s">
        <v>18</v>
      </c>
      <c r="E665" s="1">
        <v>293</v>
      </c>
      <c r="F665" s="1">
        <v>2025</v>
      </c>
      <c r="G665" t="s">
        <v>11</v>
      </c>
      <c r="H665" s="2">
        <v>45706.458807870367</v>
      </c>
      <c r="I665" s="9">
        <f t="shared" si="94"/>
        <v>45709</v>
      </c>
      <c r="J665" s="2" t="str">
        <f t="shared" si="95"/>
        <v/>
      </c>
      <c r="L665" s="2" t="str">
        <f t="shared" si="96"/>
        <v/>
      </c>
      <c r="N665" s="10" t="str">
        <f t="shared" si="97"/>
        <v/>
      </c>
      <c r="O665" s="2">
        <f t="shared" si="98"/>
        <v>45709</v>
      </c>
      <c r="P665" s="2">
        <v>45706.735312500001</v>
      </c>
      <c r="Q665" s="2">
        <f t="shared" si="99"/>
        <v>45715</v>
      </c>
      <c r="R665" s="2">
        <v>45707.742418981485</v>
      </c>
      <c r="S665">
        <f t="shared" si="100"/>
        <v>0</v>
      </c>
      <c r="T665" s="2">
        <f t="shared" si="101"/>
        <v>45715</v>
      </c>
      <c r="U665" t="str">
        <f t="shared" si="102"/>
        <v>NO PRAZO</v>
      </c>
    </row>
    <row r="666" spans="1:21" hidden="1">
      <c r="A666" s="1">
        <v>19380</v>
      </c>
      <c r="B666" t="s">
        <v>17</v>
      </c>
      <c r="C666" t="s">
        <v>13</v>
      </c>
      <c r="D666" t="s">
        <v>18</v>
      </c>
      <c r="E666" s="1">
        <v>292</v>
      </c>
      <c r="F666" s="1">
        <v>2025</v>
      </c>
      <c r="G666" t="s">
        <v>11</v>
      </c>
      <c r="H666" s="2">
        <v>45706.458807870367</v>
      </c>
      <c r="I666" s="9">
        <f t="shared" si="94"/>
        <v>45709</v>
      </c>
      <c r="J666" s="2" t="str">
        <f t="shared" si="95"/>
        <v/>
      </c>
      <c r="L666" s="2" t="str">
        <f t="shared" si="96"/>
        <v/>
      </c>
      <c r="N666" s="10" t="str">
        <f t="shared" si="97"/>
        <v/>
      </c>
      <c r="O666" s="2">
        <f t="shared" si="98"/>
        <v>45709</v>
      </c>
      <c r="P666" s="2">
        <v>45708.424618055556</v>
      </c>
      <c r="Q666" s="2">
        <f t="shared" si="99"/>
        <v>45715</v>
      </c>
      <c r="R666" s="2">
        <v>45708.618854166663</v>
      </c>
      <c r="S666">
        <f t="shared" si="100"/>
        <v>0</v>
      </c>
      <c r="T666" s="2">
        <f t="shared" si="101"/>
        <v>45715</v>
      </c>
      <c r="U666" t="str">
        <f t="shared" si="102"/>
        <v>NO PRAZO</v>
      </c>
    </row>
    <row r="667" spans="1:21" hidden="1">
      <c r="A667" s="1">
        <v>19379</v>
      </c>
      <c r="B667" t="s">
        <v>17</v>
      </c>
      <c r="C667" t="s">
        <v>13</v>
      </c>
      <c r="D667" t="s">
        <v>18</v>
      </c>
      <c r="E667" s="1">
        <v>291</v>
      </c>
      <c r="F667" s="1">
        <v>2025</v>
      </c>
      <c r="G667" t="s">
        <v>11</v>
      </c>
      <c r="H667" s="2">
        <v>45706.458807870367</v>
      </c>
      <c r="I667" s="9">
        <f t="shared" si="94"/>
        <v>45709</v>
      </c>
      <c r="J667" s="2" t="str">
        <f t="shared" si="95"/>
        <v/>
      </c>
      <c r="L667" s="2" t="str">
        <f t="shared" si="96"/>
        <v/>
      </c>
      <c r="N667" s="10" t="str">
        <f t="shared" si="97"/>
        <v/>
      </c>
      <c r="O667" s="2">
        <f t="shared" si="98"/>
        <v>45709</v>
      </c>
      <c r="P667" s="2">
        <v>45708.424363425926</v>
      </c>
      <c r="Q667" s="2">
        <f t="shared" si="99"/>
        <v>45715</v>
      </c>
      <c r="R667" s="2">
        <v>45708.618622685186</v>
      </c>
      <c r="S667">
        <f t="shared" si="100"/>
        <v>0</v>
      </c>
      <c r="T667" s="2">
        <f t="shared" si="101"/>
        <v>45715</v>
      </c>
      <c r="U667" t="str">
        <f t="shared" si="102"/>
        <v>NO PRAZO</v>
      </c>
    </row>
    <row r="668" spans="1:21">
      <c r="A668" s="1">
        <v>19378</v>
      </c>
      <c r="B668" t="s">
        <v>24</v>
      </c>
      <c r="C668" t="s">
        <v>13</v>
      </c>
      <c r="D668" t="s">
        <v>16</v>
      </c>
      <c r="E668" s="1">
        <v>290</v>
      </c>
      <c r="F668" s="1">
        <v>2025</v>
      </c>
      <c r="G668" t="s">
        <v>11</v>
      </c>
      <c r="H668" s="2">
        <v>45706.375497685185</v>
      </c>
      <c r="I668" s="9">
        <f t="shared" si="94"/>
        <v>45707</v>
      </c>
      <c r="J668" s="2" t="str">
        <f t="shared" si="95"/>
        <v/>
      </c>
      <c r="L668" s="2" t="str">
        <f t="shared" si="96"/>
        <v/>
      </c>
      <c r="N668" s="10" t="str">
        <f t="shared" si="97"/>
        <v/>
      </c>
      <c r="O668" s="2">
        <f t="shared" si="98"/>
        <v>45707</v>
      </c>
      <c r="P668" s="2">
        <v>45716.519305555557</v>
      </c>
      <c r="Q668" s="2">
        <f t="shared" si="99"/>
        <v>45713</v>
      </c>
      <c r="R668" s="2">
        <v>45716.519606481481</v>
      </c>
      <c r="S668">
        <f t="shared" si="100"/>
        <v>3</v>
      </c>
      <c r="T668" s="2">
        <f t="shared" si="101"/>
        <v>45713</v>
      </c>
      <c r="U668" t="str">
        <f t="shared" si="102"/>
        <v>ATRASO</v>
      </c>
    </row>
    <row r="669" spans="1:21" hidden="1">
      <c r="A669" s="1">
        <v>19374</v>
      </c>
      <c r="B669" t="s">
        <v>12</v>
      </c>
      <c r="C669" t="s">
        <v>13</v>
      </c>
      <c r="D669" t="s">
        <v>10</v>
      </c>
      <c r="E669" s="1">
        <v>286</v>
      </c>
      <c r="F669" s="1">
        <v>2025</v>
      </c>
      <c r="G669" t="s">
        <v>11</v>
      </c>
      <c r="H669" s="2">
        <v>45705.708796296298</v>
      </c>
      <c r="I669" s="9">
        <f t="shared" si="94"/>
        <v>45706</v>
      </c>
      <c r="J669" s="2" t="str">
        <f t="shared" si="95"/>
        <v/>
      </c>
      <c r="L669" s="2" t="str">
        <f t="shared" si="96"/>
        <v/>
      </c>
      <c r="N669" s="10" t="str">
        <f t="shared" si="97"/>
        <v/>
      </c>
      <c r="O669" s="2">
        <f t="shared" si="98"/>
        <v>45706</v>
      </c>
      <c r="P669" s="2">
        <v>45707.502685185187</v>
      </c>
      <c r="Q669" s="2">
        <f t="shared" si="99"/>
        <v>45707</v>
      </c>
      <c r="R669" s="2">
        <v>45707.774675925924</v>
      </c>
      <c r="S669">
        <f t="shared" si="100"/>
        <v>0</v>
      </c>
      <c r="T669" s="2">
        <f t="shared" si="101"/>
        <v>45707</v>
      </c>
      <c r="U669" t="str">
        <f t="shared" si="102"/>
        <v>NO PRAZO</v>
      </c>
    </row>
    <row r="670" spans="1:21" hidden="1">
      <c r="A670" s="1">
        <v>19373</v>
      </c>
      <c r="B670" t="s">
        <v>20</v>
      </c>
      <c r="C670" t="s">
        <v>13</v>
      </c>
      <c r="D670" t="s">
        <v>18</v>
      </c>
      <c r="E670" s="1">
        <v>285</v>
      </c>
      <c r="F670" s="1">
        <v>2025</v>
      </c>
      <c r="G670" t="s">
        <v>11</v>
      </c>
      <c r="H670" s="2">
        <v>45705.708796296298</v>
      </c>
      <c r="I670" s="9">
        <f t="shared" si="94"/>
        <v>45708</v>
      </c>
      <c r="J670" s="2" t="str">
        <f t="shared" si="95"/>
        <v/>
      </c>
      <c r="L670" s="2" t="str">
        <f t="shared" si="96"/>
        <v/>
      </c>
      <c r="N670" s="10" t="str">
        <f t="shared" si="97"/>
        <v/>
      </c>
      <c r="O670" s="2">
        <f t="shared" si="98"/>
        <v>45708</v>
      </c>
      <c r="P670" s="2">
        <v>45706.41847222222</v>
      </c>
      <c r="Q670" s="2">
        <f t="shared" si="99"/>
        <v>45714</v>
      </c>
      <c r="R670" s="2">
        <v>45709.418923611112</v>
      </c>
      <c r="S670">
        <f t="shared" si="100"/>
        <v>0</v>
      </c>
      <c r="T670" s="2">
        <f t="shared" si="101"/>
        <v>45714</v>
      </c>
      <c r="U670" t="str">
        <f t="shared" si="102"/>
        <v>NO PRAZO</v>
      </c>
    </row>
    <row r="671" spans="1:21" hidden="1">
      <c r="A671" s="1">
        <v>19372</v>
      </c>
      <c r="B671" t="s">
        <v>20</v>
      </c>
      <c r="C671" t="s">
        <v>13</v>
      </c>
      <c r="D671" t="s">
        <v>16</v>
      </c>
      <c r="E671" s="1">
        <v>284</v>
      </c>
      <c r="F671" s="1">
        <v>2025</v>
      </c>
      <c r="G671" t="s">
        <v>11</v>
      </c>
      <c r="H671" s="2">
        <v>45705.66710648148</v>
      </c>
      <c r="I671" s="9">
        <f t="shared" si="94"/>
        <v>45706</v>
      </c>
      <c r="J671" s="2" t="str">
        <f t="shared" si="95"/>
        <v/>
      </c>
      <c r="L671" s="2" t="str">
        <f t="shared" si="96"/>
        <v/>
      </c>
      <c r="N671" s="10" t="str">
        <f t="shared" si="97"/>
        <v/>
      </c>
      <c r="O671" s="2">
        <f t="shared" si="98"/>
        <v>45706</v>
      </c>
      <c r="P671" s="2">
        <v>45712.61010416667</v>
      </c>
      <c r="Q671" s="2">
        <f t="shared" si="99"/>
        <v>45712</v>
      </c>
      <c r="R671" s="2">
        <v>45712.610972222225</v>
      </c>
      <c r="S671">
        <f t="shared" si="100"/>
        <v>0</v>
      </c>
      <c r="T671" s="2">
        <f t="shared" si="101"/>
        <v>45712</v>
      </c>
      <c r="U671" t="str">
        <f t="shared" si="102"/>
        <v>NO PRAZO</v>
      </c>
    </row>
    <row r="672" spans="1:21">
      <c r="A672" s="1">
        <v>19371</v>
      </c>
      <c r="B672" t="s">
        <v>12</v>
      </c>
      <c r="C672" t="s">
        <v>13</v>
      </c>
      <c r="D672" t="s">
        <v>10</v>
      </c>
      <c r="E672" s="1">
        <v>283</v>
      </c>
      <c r="F672" s="1">
        <v>2025</v>
      </c>
      <c r="G672" t="s">
        <v>11</v>
      </c>
      <c r="H672" s="2">
        <v>45705.66710648148</v>
      </c>
      <c r="I672" s="9">
        <f t="shared" si="94"/>
        <v>45706</v>
      </c>
      <c r="J672" s="2" t="str">
        <f t="shared" si="95"/>
        <v/>
      </c>
      <c r="L672" s="2" t="str">
        <f t="shared" si="96"/>
        <v/>
      </c>
      <c r="N672" s="10" t="str">
        <f t="shared" si="97"/>
        <v/>
      </c>
      <c r="O672" s="2">
        <f t="shared" si="98"/>
        <v>45706</v>
      </c>
      <c r="P672" s="2">
        <v>45707.499363425923</v>
      </c>
      <c r="Q672" s="2">
        <f t="shared" si="99"/>
        <v>45707</v>
      </c>
      <c r="R672" s="2">
        <v>45708.490752314814</v>
      </c>
      <c r="S672">
        <f t="shared" si="100"/>
        <v>1</v>
      </c>
      <c r="T672" s="2">
        <f t="shared" si="101"/>
        <v>45707</v>
      </c>
      <c r="U672" t="str">
        <f t="shared" si="102"/>
        <v>ATRASO</v>
      </c>
    </row>
    <row r="673" spans="1:21" hidden="1">
      <c r="A673" s="1">
        <v>19370</v>
      </c>
      <c r="B673" t="s">
        <v>23</v>
      </c>
      <c r="C673" t="s">
        <v>9</v>
      </c>
      <c r="D673" t="s">
        <v>18</v>
      </c>
      <c r="E673" s="1">
        <v>282</v>
      </c>
      <c r="F673" s="1">
        <v>2025</v>
      </c>
      <c r="G673" t="s">
        <v>11</v>
      </c>
      <c r="H673" s="2">
        <v>45705.66710648148</v>
      </c>
      <c r="I673" s="9">
        <f t="shared" si="94"/>
        <v>45708</v>
      </c>
      <c r="J673" s="2" t="str">
        <f t="shared" si="95"/>
        <v/>
      </c>
      <c r="L673" s="2" t="str">
        <f t="shared" si="96"/>
        <v/>
      </c>
      <c r="N673" s="10" t="str">
        <f t="shared" si="97"/>
        <v/>
      </c>
      <c r="O673" s="2">
        <f t="shared" si="98"/>
        <v>45708</v>
      </c>
      <c r="P673" s="2">
        <v>45709.392696759256</v>
      </c>
      <c r="Q673" s="2">
        <f t="shared" si="99"/>
        <v>45714</v>
      </c>
      <c r="R673" s="2">
        <v>45709.417974537035</v>
      </c>
      <c r="S673">
        <f t="shared" si="100"/>
        <v>0</v>
      </c>
      <c r="T673" s="2">
        <f t="shared" si="101"/>
        <v>45714</v>
      </c>
      <c r="U673" t="str">
        <f t="shared" si="102"/>
        <v>NO PRAZO</v>
      </c>
    </row>
    <row r="674" spans="1:21" hidden="1">
      <c r="A674" s="1">
        <v>19369</v>
      </c>
      <c r="B674" t="s">
        <v>20</v>
      </c>
      <c r="C674" t="s">
        <v>13</v>
      </c>
      <c r="D674" t="s">
        <v>18</v>
      </c>
      <c r="E674" s="1">
        <v>281</v>
      </c>
      <c r="F674" s="1">
        <v>2025</v>
      </c>
      <c r="G674" t="s">
        <v>11</v>
      </c>
      <c r="H674" s="2">
        <v>45705.500474537039</v>
      </c>
      <c r="I674" s="9">
        <f t="shared" si="94"/>
        <v>45708</v>
      </c>
      <c r="J674" s="2" t="str">
        <f t="shared" si="95"/>
        <v/>
      </c>
      <c r="L674" s="2" t="str">
        <f t="shared" si="96"/>
        <v/>
      </c>
      <c r="N674" s="10" t="str">
        <f t="shared" si="97"/>
        <v/>
      </c>
      <c r="O674" s="2">
        <f t="shared" si="98"/>
        <v>45708</v>
      </c>
      <c r="P674" s="2">
        <v>45712.555312500001</v>
      </c>
      <c r="Q674" s="2">
        <f t="shared" si="99"/>
        <v>45714</v>
      </c>
      <c r="R674" s="2">
        <v>45712.555706018517</v>
      </c>
      <c r="S674">
        <f t="shared" si="100"/>
        <v>0</v>
      </c>
      <c r="T674" s="2">
        <f t="shared" si="101"/>
        <v>45714</v>
      </c>
      <c r="U674" t="str">
        <f t="shared" si="102"/>
        <v>NO PRAZO</v>
      </c>
    </row>
    <row r="675" spans="1:21" hidden="1">
      <c r="A675" s="1">
        <v>19364</v>
      </c>
      <c r="B675" t="s">
        <v>19</v>
      </c>
      <c r="C675" t="s">
        <v>13</v>
      </c>
      <c r="D675" t="s">
        <v>18</v>
      </c>
      <c r="E675" s="1">
        <v>276</v>
      </c>
      <c r="F675" s="1">
        <v>2025</v>
      </c>
      <c r="G675" t="s">
        <v>11</v>
      </c>
      <c r="H675" s="2">
        <v>45702.666932870372</v>
      </c>
      <c r="I675" s="9">
        <f t="shared" si="94"/>
        <v>45707</v>
      </c>
      <c r="J675" s="2" t="str">
        <f t="shared" si="95"/>
        <v/>
      </c>
      <c r="L675" s="2" t="str">
        <f t="shared" si="96"/>
        <v/>
      </c>
      <c r="N675" s="10" t="str">
        <f t="shared" si="97"/>
        <v/>
      </c>
      <c r="O675" s="2">
        <f t="shared" si="98"/>
        <v>45707</v>
      </c>
      <c r="P675" s="2">
        <v>45705.43</v>
      </c>
      <c r="Q675" s="2">
        <f t="shared" si="99"/>
        <v>45713</v>
      </c>
      <c r="R675" s="2">
        <v>45707.716331018521</v>
      </c>
      <c r="S675">
        <f t="shared" si="100"/>
        <v>0</v>
      </c>
      <c r="T675" s="2">
        <f t="shared" si="101"/>
        <v>45713</v>
      </c>
      <c r="U675" t="str">
        <f t="shared" si="102"/>
        <v>NO PRAZO</v>
      </c>
    </row>
    <row r="676" spans="1:21" hidden="1">
      <c r="A676" s="1">
        <v>19360</v>
      </c>
      <c r="B676" t="s">
        <v>17</v>
      </c>
      <c r="C676" t="s">
        <v>13</v>
      </c>
      <c r="D676" t="s">
        <v>18</v>
      </c>
      <c r="E676" s="1">
        <v>272</v>
      </c>
      <c r="F676" s="1">
        <v>2025</v>
      </c>
      <c r="G676" t="s">
        <v>11</v>
      </c>
      <c r="H676" s="2">
        <v>45702.500254629631</v>
      </c>
      <c r="I676" s="9">
        <f t="shared" si="94"/>
        <v>45707</v>
      </c>
      <c r="J676" s="2" t="str">
        <f t="shared" si="95"/>
        <v/>
      </c>
      <c r="L676" s="2" t="str">
        <f t="shared" si="96"/>
        <v/>
      </c>
      <c r="N676" s="10" t="str">
        <f t="shared" si="97"/>
        <v/>
      </c>
      <c r="O676" s="2">
        <f t="shared" si="98"/>
        <v>45707</v>
      </c>
      <c r="P676" s="2">
        <v>45707.342349537037</v>
      </c>
      <c r="Q676" s="2">
        <f t="shared" si="99"/>
        <v>45713</v>
      </c>
      <c r="R676" s="2">
        <v>45707.345104166663</v>
      </c>
      <c r="S676">
        <f t="shared" si="100"/>
        <v>0</v>
      </c>
      <c r="T676" s="2">
        <f t="shared" si="101"/>
        <v>45713</v>
      </c>
      <c r="U676" t="str">
        <f t="shared" si="102"/>
        <v>NO PRAZO</v>
      </c>
    </row>
    <row r="677" spans="1:21" hidden="1">
      <c r="A677" s="1">
        <v>19359</v>
      </c>
      <c r="B677" t="s">
        <v>22</v>
      </c>
      <c r="C677" t="s">
        <v>13</v>
      </c>
      <c r="D677" t="s">
        <v>18</v>
      </c>
      <c r="E677" s="1">
        <v>271</v>
      </c>
      <c r="F677" s="1">
        <v>2025</v>
      </c>
      <c r="G677" t="s">
        <v>11</v>
      </c>
      <c r="H677" s="2">
        <v>45702.3752662037</v>
      </c>
      <c r="I677" s="9">
        <f t="shared" si="94"/>
        <v>45707</v>
      </c>
      <c r="J677" s="2">
        <f t="shared" si="95"/>
        <v>45707</v>
      </c>
      <c r="K677" s="2">
        <v>45706.733969907407</v>
      </c>
      <c r="L677" s="2">
        <f t="shared" si="96"/>
        <v>45730</v>
      </c>
      <c r="M677" s="2">
        <v>45708.438449074078</v>
      </c>
      <c r="N677" s="10">
        <f t="shared" si="97"/>
        <v>0</v>
      </c>
      <c r="O677" s="2">
        <f t="shared" si="98"/>
        <v>45733</v>
      </c>
      <c r="P677" s="2">
        <v>45702.630648148152</v>
      </c>
      <c r="Q677" s="2">
        <f t="shared" si="99"/>
        <v>45737</v>
      </c>
      <c r="R677" s="2">
        <v>45708.619421296295</v>
      </c>
      <c r="S677">
        <f t="shared" si="100"/>
        <v>0</v>
      </c>
      <c r="T677" s="2">
        <f t="shared" si="101"/>
        <v>45713</v>
      </c>
      <c r="U677" t="str">
        <f t="shared" si="102"/>
        <v>NO PRAZO</v>
      </c>
    </row>
    <row r="678" spans="1:21" hidden="1">
      <c r="A678" s="1">
        <v>19350</v>
      </c>
      <c r="B678" t="s">
        <v>17</v>
      </c>
      <c r="C678" t="s">
        <v>13</v>
      </c>
      <c r="D678" t="s">
        <v>18</v>
      </c>
      <c r="E678" s="1">
        <v>262</v>
      </c>
      <c r="F678" s="1">
        <v>2025</v>
      </c>
      <c r="G678" t="s">
        <v>11</v>
      </c>
      <c r="H678" s="2">
        <v>45700.708668981482</v>
      </c>
      <c r="I678" s="9">
        <f t="shared" si="94"/>
        <v>45705</v>
      </c>
      <c r="J678" s="2" t="str">
        <f t="shared" si="95"/>
        <v/>
      </c>
      <c r="L678" s="2" t="str">
        <f t="shared" si="96"/>
        <v/>
      </c>
      <c r="N678" s="10" t="str">
        <f t="shared" si="97"/>
        <v/>
      </c>
      <c r="O678" s="2">
        <f t="shared" si="98"/>
        <v>45705</v>
      </c>
      <c r="P678" s="2">
        <v>45707.718495370369</v>
      </c>
      <c r="Q678" s="2">
        <f t="shared" si="99"/>
        <v>45709</v>
      </c>
      <c r="R678" s="2">
        <v>45707.719664351855</v>
      </c>
      <c r="S678">
        <f t="shared" si="100"/>
        <v>0</v>
      </c>
      <c r="T678" s="2">
        <f t="shared" si="101"/>
        <v>45709</v>
      </c>
      <c r="U678" t="str">
        <f t="shared" si="102"/>
        <v>NO PRAZO</v>
      </c>
    </row>
    <row r="679" spans="1:21" hidden="1">
      <c r="A679" s="1">
        <v>19346</v>
      </c>
      <c r="B679" t="s">
        <v>12</v>
      </c>
      <c r="C679" t="s">
        <v>13</v>
      </c>
      <c r="D679" t="s">
        <v>16</v>
      </c>
      <c r="E679" s="1">
        <v>258</v>
      </c>
      <c r="F679" s="1">
        <v>2025</v>
      </c>
      <c r="G679" t="s">
        <v>11</v>
      </c>
      <c r="H679" s="2">
        <v>45700.5003125</v>
      </c>
      <c r="I679" s="9">
        <f t="shared" si="94"/>
        <v>45701</v>
      </c>
      <c r="J679" s="2" t="str">
        <f t="shared" si="95"/>
        <v/>
      </c>
      <c r="L679" s="2" t="str">
        <f t="shared" si="96"/>
        <v/>
      </c>
      <c r="N679" s="10" t="str">
        <f t="shared" si="97"/>
        <v/>
      </c>
      <c r="O679" s="2">
        <f t="shared" si="98"/>
        <v>45701</v>
      </c>
      <c r="P679" s="2">
        <v>45701.612384259257</v>
      </c>
      <c r="Q679" s="2">
        <f t="shared" si="99"/>
        <v>45707</v>
      </c>
      <c r="R679" s="2">
        <v>45702.415902777779</v>
      </c>
      <c r="S679">
        <f t="shared" si="100"/>
        <v>0</v>
      </c>
      <c r="T679" s="2">
        <f t="shared" si="101"/>
        <v>45707</v>
      </c>
      <c r="U679" t="str">
        <f t="shared" si="102"/>
        <v>NO PRAZO</v>
      </c>
    </row>
    <row r="680" spans="1:21" hidden="1">
      <c r="A680" s="1">
        <v>19344</v>
      </c>
      <c r="B680" t="s">
        <v>19</v>
      </c>
      <c r="C680" t="s">
        <v>13</v>
      </c>
      <c r="D680" t="s">
        <v>18</v>
      </c>
      <c r="E680" s="1">
        <v>256</v>
      </c>
      <c r="F680" s="1">
        <v>2025</v>
      </c>
      <c r="G680" t="s">
        <v>11</v>
      </c>
      <c r="H680" s="2">
        <v>45700.417280092595</v>
      </c>
      <c r="I680" s="9">
        <f t="shared" si="94"/>
        <v>45705</v>
      </c>
      <c r="J680" s="2" t="str">
        <f t="shared" si="95"/>
        <v/>
      </c>
      <c r="L680" s="2" t="str">
        <f t="shared" si="96"/>
        <v/>
      </c>
      <c r="N680" s="10" t="str">
        <f t="shared" si="97"/>
        <v/>
      </c>
      <c r="O680" s="2">
        <f t="shared" si="98"/>
        <v>45705</v>
      </c>
      <c r="P680" s="2">
        <v>45701.444664351853</v>
      </c>
      <c r="Q680" s="2">
        <f t="shared" si="99"/>
        <v>45709</v>
      </c>
      <c r="R680" s="2">
        <v>45701.444895833331</v>
      </c>
      <c r="S680">
        <f t="shared" si="100"/>
        <v>0</v>
      </c>
      <c r="T680" s="2">
        <f t="shared" si="101"/>
        <v>45709</v>
      </c>
      <c r="U680" t="str">
        <f t="shared" si="102"/>
        <v>NO PRAZO</v>
      </c>
    </row>
    <row r="681" spans="1:21" hidden="1">
      <c r="A681" s="1">
        <v>19334</v>
      </c>
      <c r="B681" t="s">
        <v>17</v>
      </c>
      <c r="C681" t="s">
        <v>13</v>
      </c>
      <c r="D681" t="s">
        <v>18</v>
      </c>
      <c r="E681" s="1">
        <v>246</v>
      </c>
      <c r="F681" s="1">
        <v>2025</v>
      </c>
      <c r="G681" t="s">
        <v>11</v>
      </c>
      <c r="H681" s="2">
        <v>45698.584178240744</v>
      </c>
      <c r="I681" s="9">
        <f t="shared" si="94"/>
        <v>45701</v>
      </c>
      <c r="J681" s="2" t="str">
        <f t="shared" si="95"/>
        <v/>
      </c>
      <c r="L681" s="2" t="str">
        <f t="shared" si="96"/>
        <v/>
      </c>
      <c r="N681" s="10" t="str">
        <f t="shared" si="97"/>
        <v/>
      </c>
      <c r="O681" s="2">
        <f t="shared" si="98"/>
        <v>45701</v>
      </c>
      <c r="P681" s="2">
        <v>45700.440358796295</v>
      </c>
      <c r="Q681" s="2">
        <f t="shared" si="99"/>
        <v>45707</v>
      </c>
      <c r="R681" s="2">
        <v>45700.442754629628</v>
      </c>
      <c r="S681">
        <f t="shared" si="100"/>
        <v>0</v>
      </c>
      <c r="T681" s="2">
        <f t="shared" si="101"/>
        <v>45707</v>
      </c>
      <c r="U681" t="str">
        <f t="shared" si="102"/>
        <v>NO PRAZO</v>
      </c>
    </row>
    <row r="682" spans="1:21" hidden="1">
      <c r="A682" s="1">
        <v>19329</v>
      </c>
      <c r="B682" t="s">
        <v>17</v>
      </c>
      <c r="C682" t="s">
        <v>13</v>
      </c>
      <c r="D682" t="s">
        <v>18</v>
      </c>
      <c r="E682" s="1">
        <v>241</v>
      </c>
      <c r="F682" s="1">
        <v>2025</v>
      </c>
      <c r="G682" t="s">
        <v>11</v>
      </c>
      <c r="H682" s="2">
        <v>45695.625659722224</v>
      </c>
      <c r="I682" s="9">
        <f t="shared" si="94"/>
        <v>45700</v>
      </c>
      <c r="J682" s="2" t="str">
        <f t="shared" si="95"/>
        <v/>
      </c>
      <c r="L682" s="2" t="str">
        <f t="shared" si="96"/>
        <v/>
      </c>
      <c r="N682" s="10" t="str">
        <f t="shared" si="97"/>
        <v/>
      </c>
      <c r="O682" s="2">
        <f t="shared" si="98"/>
        <v>45700</v>
      </c>
      <c r="P682" s="2">
        <v>45699.571886574071</v>
      </c>
      <c r="Q682" s="2">
        <f t="shared" si="99"/>
        <v>45706</v>
      </c>
      <c r="R682" s="2">
        <v>45702.415462962963</v>
      </c>
      <c r="S682">
        <f t="shared" si="100"/>
        <v>0</v>
      </c>
      <c r="T682" s="2">
        <f t="shared" si="101"/>
        <v>45706</v>
      </c>
      <c r="U682" t="str">
        <f t="shared" si="102"/>
        <v>NO PRAZO</v>
      </c>
    </row>
    <row r="683" spans="1:21" hidden="1">
      <c r="A683" s="1">
        <v>19322</v>
      </c>
      <c r="B683" t="s">
        <v>23</v>
      </c>
      <c r="C683" t="s">
        <v>13</v>
      </c>
      <c r="D683" t="s">
        <v>18</v>
      </c>
      <c r="E683" s="1">
        <v>234</v>
      </c>
      <c r="F683" s="1">
        <v>2025</v>
      </c>
      <c r="G683" t="s">
        <v>11</v>
      </c>
      <c r="H683" s="2">
        <v>45695.417314814818</v>
      </c>
      <c r="I683" s="9">
        <f t="shared" si="94"/>
        <v>45700</v>
      </c>
      <c r="J683" s="2" t="str">
        <f t="shared" si="95"/>
        <v/>
      </c>
      <c r="L683" s="2" t="str">
        <f t="shared" si="96"/>
        <v/>
      </c>
      <c r="N683" s="10" t="str">
        <f t="shared" si="97"/>
        <v/>
      </c>
      <c r="O683" s="2">
        <f t="shared" si="98"/>
        <v>45700</v>
      </c>
      <c r="P683" s="2">
        <v>45699.576180555552</v>
      </c>
      <c r="Q683" s="2">
        <f t="shared" si="99"/>
        <v>45706</v>
      </c>
      <c r="R683" s="2">
        <v>45699.605624999997</v>
      </c>
      <c r="S683">
        <f t="shared" si="100"/>
        <v>0</v>
      </c>
      <c r="T683" s="2">
        <f t="shared" si="101"/>
        <v>45706</v>
      </c>
      <c r="U683" t="str">
        <f t="shared" si="102"/>
        <v>NO PRAZO</v>
      </c>
    </row>
    <row r="684" spans="1:21" hidden="1">
      <c r="A684" s="1">
        <v>19317</v>
      </c>
      <c r="B684" t="s">
        <v>20</v>
      </c>
      <c r="C684" t="s">
        <v>13</v>
      </c>
      <c r="D684" t="s">
        <v>16</v>
      </c>
      <c r="E684" s="1">
        <v>229</v>
      </c>
      <c r="F684" s="1">
        <v>2025</v>
      </c>
      <c r="G684" t="s">
        <v>11</v>
      </c>
      <c r="H684" s="2">
        <v>45694.667291666665</v>
      </c>
      <c r="I684" s="9">
        <f t="shared" si="94"/>
        <v>45695</v>
      </c>
      <c r="J684" s="2" t="str">
        <f t="shared" si="95"/>
        <v/>
      </c>
      <c r="L684" s="2" t="str">
        <f t="shared" si="96"/>
        <v/>
      </c>
      <c r="N684" s="10" t="str">
        <f t="shared" si="97"/>
        <v/>
      </c>
      <c r="O684" s="2">
        <f t="shared" si="98"/>
        <v>45695</v>
      </c>
      <c r="P684" s="2">
        <v>45698.450752314813</v>
      </c>
      <c r="Q684" s="2">
        <f t="shared" si="99"/>
        <v>45701</v>
      </c>
      <c r="R684" s="2">
        <v>45699.65115740741</v>
      </c>
      <c r="S684">
        <f t="shared" si="100"/>
        <v>0</v>
      </c>
      <c r="T684" s="2">
        <f t="shared" si="101"/>
        <v>45701</v>
      </c>
      <c r="U684" t="str">
        <f t="shared" si="102"/>
        <v>NO PRAZO</v>
      </c>
    </row>
    <row r="685" spans="1:21" hidden="1">
      <c r="A685" s="1">
        <v>19313</v>
      </c>
      <c r="B685" t="s">
        <v>20</v>
      </c>
      <c r="C685" t="s">
        <v>13</v>
      </c>
      <c r="D685" t="s">
        <v>14</v>
      </c>
      <c r="E685" s="1">
        <v>225</v>
      </c>
      <c r="F685" s="1">
        <v>2025</v>
      </c>
      <c r="G685" t="s">
        <v>11</v>
      </c>
      <c r="H685" s="2">
        <v>45694.458981481483</v>
      </c>
      <c r="I685" s="9">
        <f t="shared" si="94"/>
        <v>45695</v>
      </c>
      <c r="J685" s="2" t="str">
        <f t="shared" si="95"/>
        <v/>
      </c>
      <c r="L685" s="2" t="str">
        <f t="shared" si="96"/>
        <v/>
      </c>
      <c r="N685" s="10" t="str">
        <f t="shared" si="97"/>
        <v/>
      </c>
      <c r="O685" s="2">
        <f t="shared" si="98"/>
        <v>45695</v>
      </c>
      <c r="P685" s="2">
        <v>45698.708657407406</v>
      </c>
      <c r="Q685" s="2">
        <f t="shared" si="99"/>
        <v>45698</v>
      </c>
      <c r="R685" s="2">
        <v>45698.708993055552</v>
      </c>
      <c r="S685">
        <f t="shared" si="100"/>
        <v>0</v>
      </c>
      <c r="T685" s="2">
        <f t="shared" si="101"/>
        <v>45698</v>
      </c>
      <c r="U685" t="str">
        <f t="shared" si="102"/>
        <v>NO PRAZO</v>
      </c>
    </row>
    <row r="686" spans="1:21" hidden="1">
      <c r="A686" s="1">
        <v>19311</v>
      </c>
      <c r="B686" t="s">
        <v>23</v>
      </c>
      <c r="C686" t="s">
        <v>9</v>
      </c>
      <c r="D686" t="s">
        <v>10</v>
      </c>
      <c r="E686" s="1">
        <v>223</v>
      </c>
      <c r="F686" s="1">
        <v>2025</v>
      </c>
      <c r="G686" t="s">
        <v>11</v>
      </c>
      <c r="H686" s="2">
        <v>45693.674456018518</v>
      </c>
      <c r="I686" s="9">
        <f t="shared" si="94"/>
        <v>45694</v>
      </c>
      <c r="J686" s="2" t="str">
        <f t="shared" si="95"/>
        <v/>
      </c>
      <c r="L686" s="2" t="str">
        <f t="shared" si="96"/>
        <v/>
      </c>
      <c r="N686" s="10" t="str">
        <f t="shared" si="97"/>
        <v/>
      </c>
      <c r="O686" s="2">
        <f t="shared" si="98"/>
        <v>45694</v>
      </c>
      <c r="P686" s="2">
        <v>45695.396620370368</v>
      </c>
      <c r="Q686" s="2">
        <f t="shared" si="99"/>
        <v>45695</v>
      </c>
      <c r="R686" s="2">
        <v>45695.406793981485</v>
      </c>
      <c r="S686">
        <f t="shared" si="100"/>
        <v>0</v>
      </c>
      <c r="T686" s="2">
        <f t="shared" si="101"/>
        <v>45695</v>
      </c>
      <c r="U686" t="str">
        <f t="shared" si="102"/>
        <v>NO PRAZO</v>
      </c>
    </row>
    <row r="687" spans="1:21" hidden="1">
      <c r="A687" s="1">
        <v>19309</v>
      </c>
      <c r="B687" t="s">
        <v>19</v>
      </c>
      <c r="C687" t="s">
        <v>13</v>
      </c>
      <c r="D687" t="s">
        <v>14</v>
      </c>
      <c r="E687" s="1">
        <v>221</v>
      </c>
      <c r="F687" s="1">
        <v>2025</v>
      </c>
      <c r="G687" t="s">
        <v>11</v>
      </c>
      <c r="H687" s="2">
        <v>45693.625590277778</v>
      </c>
      <c r="I687" s="9">
        <f t="shared" si="94"/>
        <v>45694</v>
      </c>
      <c r="J687" s="2" t="str">
        <f t="shared" si="95"/>
        <v/>
      </c>
      <c r="L687" s="2" t="str">
        <f t="shared" si="96"/>
        <v/>
      </c>
      <c r="N687" s="10" t="str">
        <f t="shared" si="97"/>
        <v/>
      </c>
      <c r="O687" s="2">
        <f t="shared" si="98"/>
        <v>45694</v>
      </c>
      <c r="P687" s="2">
        <v>45694.408599537041</v>
      </c>
      <c r="Q687" s="2">
        <f t="shared" si="99"/>
        <v>45695</v>
      </c>
      <c r="R687" s="2">
        <v>45695.756319444445</v>
      </c>
      <c r="S687">
        <f t="shared" si="100"/>
        <v>0</v>
      </c>
      <c r="T687" s="2">
        <f t="shared" si="101"/>
        <v>45695</v>
      </c>
      <c r="U687" t="str">
        <f t="shared" si="102"/>
        <v>NO PRAZO</v>
      </c>
    </row>
    <row r="688" spans="1:21" hidden="1">
      <c r="A688" s="1">
        <v>19308</v>
      </c>
      <c r="B688" t="s">
        <v>19</v>
      </c>
      <c r="C688" t="s">
        <v>13</v>
      </c>
      <c r="D688" t="s">
        <v>10</v>
      </c>
      <c r="E688" s="1">
        <v>220</v>
      </c>
      <c r="F688" s="1">
        <v>2025</v>
      </c>
      <c r="G688" t="s">
        <v>11</v>
      </c>
      <c r="H688" s="2">
        <v>45693.583935185183</v>
      </c>
      <c r="I688" s="9">
        <f t="shared" si="94"/>
        <v>45694</v>
      </c>
      <c r="J688" s="2" t="str">
        <f t="shared" si="95"/>
        <v/>
      </c>
      <c r="L688" s="2" t="str">
        <f t="shared" si="96"/>
        <v/>
      </c>
      <c r="N688" s="10" t="str">
        <f t="shared" si="97"/>
        <v/>
      </c>
      <c r="O688" s="2">
        <f t="shared" si="98"/>
        <v>45694</v>
      </c>
      <c r="P688" s="2">
        <v>45695.729131944441</v>
      </c>
      <c r="Q688" s="2">
        <f t="shared" si="99"/>
        <v>45695</v>
      </c>
      <c r="R688" s="2">
        <v>45695.741342592592</v>
      </c>
      <c r="S688">
        <f t="shared" si="100"/>
        <v>0</v>
      </c>
      <c r="T688" s="2">
        <f t="shared" si="101"/>
        <v>45695</v>
      </c>
      <c r="U688" t="str">
        <f t="shared" si="102"/>
        <v>NO PRAZO</v>
      </c>
    </row>
    <row r="689" spans="1:21" hidden="1">
      <c r="A689" s="1">
        <v>19306</v>
      </c>
      <c r="B689" t="s">
        <v>17</v>
      </c>
      <c r="C689" t="s">
        <v>13</v>
      </c>
      <c r="D689" t="s">
        <v>18</v>
      </c>
      <c r="E689" s="1">
        <v>218</v>
      </c>
      <c r="F689" s="1">
        <v>2025</v>
      </c>
      <c r="G689" t="s">
        <v>11</v>
      </c>
      <c r="H689" s="2">
        <v>45693.500578703701</v>
      </c>
      <c r="I689" s="9">
        <f t="shared" si="94"/>
        <v>45698</v>
      </c>
      <c r="J689" s="2" t="str">
        <f t="shared" si="95"/>
        <v/>
      </c>
      <c r="L689" s="2" t="str">
        <f t="shared" si="96"/>
        <v/>
      </c>
      <c r="N689" s="10" t="str">
        <f t="shared" si="97"/>
        <v/>
      </c>
      <c r="O689" s="2">
        <f t="shared" si="98"/>
        <v>45698</v>
      </c>
      <c r="P689" s="2">
        <v>45694.442025462966</v>
      </c>
      <c r="Q689" s="2">
        <f t="shared" si="99"/>
        <v>45702</v>
      </c>
      <c r="R689" s="2">
        <v>45694.442766203705</v>
      </c>
      <c r="S689">
        <f t="shared" si="100"/>
        <v>0</v>
      </c>
      <c r="T689" s="2">
        <f t="shared" si="101"/>
        <v>45702</v>
      </c>
      <c r="U689" t="str">
        <f t="shared" si="102"/>
        <v>NO PRAZO</v>
      </c>
    </row>
    <row r="690" spans="1:21" hidden="1">
      <c r="A690" s="1">
        <v>19297</v>
      </c>
      <c r="B690" t="s">
        <v>20</v>
      </c>
      <c r="C690" t="s">
        <v>13</v>
      </c>
      <c r="D690" t="s">
        <v>18</v>
      </c>
      <c r="E690" s="1">
        <v>209</v>
      </c>
      <c r="F690" s="1">
        <v>2025</v>
      </c>
      <c r="G690" t="s">
        <v>11</v>
      </c>
      <c r="H690" s="2">
        <v>45691.73164351852</v>
      </c>
      <c r="I690" s="9">
        <f t="shared" si="94"/>
        <v>45694</v>
      </c>
      <c r="J690" s="2" t="str">
        <f t="shared" si="95"/>
        <v/>
      </c>
      <c r="L690" s="2" t="str">
        <f t="shared" si="96"/>
        <v/>
      </c>
      <c r="N690" s="10" t="str">
        <f t="shared" si="97"/>
        <v/>
      </c>
      <c r="O690" s="2">
        <f t="shared" si="98"/>
        <v>45694</v>
      </c>
      <c r="P690" s="2">
        <v>45692.348240740743</v>
      </c>
      <c r="Q690" s="2">
        <f t="shared" si="99"/>
        <v>45700</v>
      </c>
      <c r="R690" s="2">
        <v>45698.4297337963</v>
      </c>
      <c r="S690">
        <f t="shared" si="100"/>
        <v>0</v>
      </c>
      <c r="T690" s="2">
        <f t="shared" si="101"/>
        <v>45700</v>
      </c>
      <c r="U690" t="str">
        <f t="shared" si="102"/>
        <v>NO PRAZO</v>
      </c>
    </row>
    <row r="691" spans="1:21" hidden="1">
      <c r="A691" s="1">
        <v>19283</v>
      </c>
      <c r="B691" t="s">
        <v>17</v>
      </c>
      <c r="C691" t="s">
        <v>13</v>
      </c>
      <c r="D691" t="s">
        <v>18</v>
      </c>
      <c r="E691" s="1">
        <v>195</v>
      </c>
      <c r="F691" s="1">
        <v>2025</v>
      </c>
      <c r="G691" t="s">
        <v>11</v>
      </c>
      <c r="H691" s="2">
        <v>45688.750208333331</v>
      </c>
      <c r="I691" s="9">
        <f t="shared" si="94"/>
        <v>45693</v>
      </c>
      <c r="J691" s="2" t="str">
        <f t="shared" si="95"/>
        <v/>
      </c>
      <c r="L691" s="2" t="str">
        <f t="shared" si="96"/>
        <v/>
      </c>
      <c r="N691" s="10" t="str">
        <f t="shared" si="97"/>
        <v/>
      </c>
      <c r="O691" s="2">
        <f t="shared" si="98"/>
        <v>45693</v>
      </c>
      <c r="P691" s="2">
        <v>45693.407870370371</v>
      </c>
      <c r="Q691" s="2">
        <f t="shared" si="99"/>
        <v>45699</v>
      </c>
      <c r="R691" s="2">
        <v>45693.412048611113</v>
      </c>
      <c r="S691">
        <f t="shared" si="100"/>
        <v>0</v>
      </c>
      <c r="T691" s="2">
        <f t="shared" si="101"/>
        <v>45699</v>
      </c>
      <c r="U691" t="str">
        <f t="shared" si="102"/>
        <v>NO PRAZO</v>
      </c>
    </row>
    <row r="692" spans="1:21" hidden="1">
      <c r="A692" s="1">
        <v>19282</v>
      </c>
      <c r="B692" t="s">
        <v>17</v>
      </c>
      <c r="C692" t="s">
        <v>13</v>
      </c>
      <c r="D692" t="s">
        <v>18</v>
      </c>
      <c r="E692" s="1">
        <v>194</v>
      </c>
      <c r="F692" s="1">
        <v>2025</v>
      </c>
      <c r="G692" t="s">
        <v>11</v>
      </c>
      <c r="H692" s="2">
        <v>45688.750208333331</v>
      </c>
      <c r="I692" s="9">
        <f t="shared" si="94"/>
        <v>45693</v>
      </c>
      <c r="J692" s="2" t="str">
        <f t="shared" si="95"/>
        <v/>
      </c>
      <c r="L692" s="2" t="str">
        <f t="shared" si="96"/>
        <v/>
      </c>
      <c r="N692" s="10" t="str">
        <f t="shared" si="97"/>
        <v/>
      </c>
      <c r="O692" s="2">
        <f t="shared" si="98"/>
        <v>45693</v>
      </c>
      <c r="P692" s="2">
        <v>45693.403182870374</v>
      </c>
      <c r="Q692" s="2">
        <f t="shared" si="99"/>
        <v>45699</v>
      </c>
      <c r="R692" s="2">
        <v>45693.403935185182</v>
      </c>
      <c r="S692">
        <f t="shared" si="100"/>
        <v>0</v>
      </c>
      <c r="T692" s="2">
        <f t="shared" si="101"/>
        <v>45699</v>
      </c>
      <c r="U692" t="str">
        <f t="shared" si="102"/>
        <v>NO PRAZO</v>
      </c>
    </row>
    <row r="693" spans="1:21" hidden="1">
      <c r="A693" s="1">
        <v>19281</v>
      </c>
      <c r="B693" t="s">
        <v>17</v>
      </c>
      <c r="C693" t="s">
        <v>13</v>
      </c>
      <c r="D693" t="s">
        <v>18</v>
      </c>
      <c r="E693" s="1">
        <v>193</v>
      </c>
      <c r="F693" s="1">
        <v>2025</v>
      </c>
      <c r="G693" t="s">
        <v>11</v>
      </c>
      <c r="H693" s="2">
        <v>45688.750208333331</v>
      </c>
      <c r="I693" s="9">
        <f t="shared" si="94"/>
        <v>45693</v>
      </c>
      <c r="J693" s="2" t="str">
        <f t="shared" si="95"/>
        <v/>
      </c>
      <c r="L693" s="2" t="str">
        <f t="shared" si="96"/>
        <v/>
      </c>
      <c r="N693" s="10" t="str">
        <f t="shared" si="97"/>
        <v/>
      </c>
      <c r="O693" s="2">
        <f t="shared" si="98"/>
        <v>45693</v>
      </c>
      <c r="P693" s="2">
        <v>45693.382534722223</v>
      </c>
      <c r="Q693" s="2">
        <f t="shared" si="99"/>
        <v>45699</v>
      </c>
      <c r="R693" s="2">
        <v>45693.384942129633</v>
      </c>
      <c r="S693">
        <f t="shared" si="100"/>
        <v>0</v>
      </c>
      <c r="T693" s="2">
        <f t="shared" si="101"/>
        <v>45699</v>
      </c>
      <c r="U693" t="str">
        <f t="shared" si="102"/>
        <v>NO PRAZO</v>
      </c>
    </row>
    <row r="694" spans="1:21" hidden="1">
      <c r="A694" s="1">
        <v>19272</v>
      </c>
      <c r="B694" t="s">
        <v>17</v>
      </c>
      <c r="C694" t="s">
        <v>13</v>
      </c>
      <c r="D694" t="s">
        <v>18</v>
      </c>
      <c r="E694" s="1">
        <v>184</v>
      </c>
      <c r="F694" s="1">
        <v>2025</v>
      </c>
      <c r="G694" t="s">
        <v>11</v>
      </c>
      <c r="H694" s="2">
        <v>45688.500185185185</v>
      </c>
      <c r="I694" s="9">
        <f t="shared" si="94"/>
        <v>45693</v>
      </c>
      <c r="J694" s="2" t="str">
        <f t="shared" si="95"/>
        <v/>
      </c>
      <c r="L694" s="2" t="str">
        <f t="shared" si="96"/>
        <v/>
      </c>
      <c r="N694" s="10" t="str">
        <f t="shared" si="97"/>
        <v/>
      </c>
      <c r="O694" s="2">
        <f t="shared" si="98"/>
        <v>45693</v>
      </c>
      <c r="P694" s="2">
        <v>45692.431574074071</v>
      </c>
      <c r="Q694" s="2">
        <f t="shared" si="99"/>
        <v>45699</v>
      </c>
      <c r="R694" s="2">
        <v>45692.432476851849</v>
      </c>
      <c r="S694">
        <f t="shared" si="100"/>
        <v>0</v>
      </c>
      <c r="T694" s="2">
        <f t="shared" si="101"/>
        <v>45699</v>
      </c>
      <c r="U694" t="str">
        <f t="shared" si="102"/>
        <v>NO PRAZO</v>
      </c>
    </row>
    <row r="695" spans="1:21" hidden="1">
      <c r="A695" s="1">
        <v>19263</v>
      </c>
      <c r="B695" t="s">
        <v>17</v>
      </c>
      <c r="C695" t="s">
        <v>13</v>
      </c>
      <c r="D695" t="s">
        <v>18</v>
      </c>
      <c r="E695" s="1">
        <v>175</v>
      </c>
      <c r="F695" s="1">
        <v>2025</v>
      </c>
      <c r="G695" t="s">
        <v>11</v>
      </c>
      <c r="H695" s="2">
        <v>45687.416863425926</v>
      </c>
      <c r="I695" s="9">
        <f t="shared" si="94"/>
        <v>45692</v>
      </c>
      <c r="J695" s="2" t="str">
        <f t="shared" si="95"/>
        <v/>
      </c>
      <c r="L695" s="2" t="str">
        <f t="shared" si="96"/>
        <v/>
      </c>
      <c r="N695" s="10" t="str">
        <f t="shared" si="97"/>
        <v/>
      </c>
      <c r="O695" s="2">
        <f t="shared" si="98"/>
        <v>45692</v>
      </c>
      <c r="P695" s="2">
        <v>45691.473900462966</v>
      </c>
      <c r="Q695" s="2">
        <f t="shared" si="99"/>
        <v>45698</v>
      </c>
      <c r="R695" s="2">
        <v>45694.449224537035</v>
      </c>
      <c r="S695">
        <f t="shared" si="100"/>
        <v>0</v>
      </c>
      <c r="T695" s="2">
        <f t="shared" si="101"/>
        <v>45698</v>
      </c>
      <c r="U695" t="str">
        <f t="shared" si="102"/>
        <v>NO PRAZO</v>
      </c>
    </row>
    <row r="696" spans="1:21" hidden="1">
      <c r="A696" s="1">
        <v>19262</v>
      </c>
      <c r="B696" t="s">
        <v>17</v>
      </c>
      <c r="C696" t="s">
        <v>13</v>
      </c>
      <c r="D696" t="s">
        <v>10</v>
      </c>
      <c r="E696" s="1">
        <v>174</v>
      </c>
      <c r="F696" s="1">
        <v>2025</v>
      </c>
      <c r="G696" t="s">
        <v>11</v>
      </c>
      <c r="H696" s="2">
        <v>45687.416863425926</v>
      </c>
      <c r="I696" s="9">
        <f t="shared" si="94"/>
        <v>45688</v>
      </c>
      <c r="J696" s="2" t="str">
        <f t="shared" si="95"/>
        <v/>
      </c>
      <c r="L696" s="2" t="str">
        <f t="shared" si="96"/>
        <v/>
      </c>
      <c r="N696" s="10" t="str">
        <f t="shared" si="97"/>
        <v/>
      </c>
      <c r="O696" s="2">
        <f t="shared" si="98"/>
        <v>45688</v>
      </c>
      <c r="P696" s="2">
        <v>45691.705185185187</v>
      </c>
      <c r="Q696" s="2">
        <f t="shared" si="99"/>
        <v>45691</v>
      </c>
      <c r="R696" s="2">
        <v>45691.73778935185</v>
      </c>
      <c r="S696">
        <f t="shared" si="100"/>
        <v>0</v>
      </c>
      <c r="T696" s="2">
        <f t="shared" si="101"/>
        <v>45691</v>
      </c>
      <c r="U696" t="str">
        <f t="shared" si="102"/>
        <v>NO PRAZO</v>
      </c>
    </row>
    <row r="697" spans="1:21" hidden="1">
      <c r="A697" s="1">
        <v>19258</v>
      </c>
      <c r="B697" t="s">
        <v>19</v>
      </c>
      <c r="C697" t="s">
        <v>13</v>
      </c>
      <c r="D697" t="s">
        <v>16</v>
      </c>
      <c r="E697" s="1">
        <v>170</v>
      </c>
      <c r="F697" s="1">
        <v>2025</v>
      </c>
      <c r="G697" t="s">
        <v>11</v>
      </c>
      <c r="H697" s="2">
        <v>45686.70853009259</v>
      </c>
      <c r="I697" s="9">
        <f t="shared" si="94"/>
        <v>45687</v>
      </c>
      <c r="J697" s="2" t="str">
        <f t="shared" si="95"/>
        <v/>
      </c>
      <c r="L697" s="2" t="str">
        <f t="shared" si="96"/>
        <v/>
      </c>
      <c r="N697" s="10" t="str">
        <f t="shared" si="97"/>
        <v/>
      </c>
      <c r="O697" s="2">
        <f t="shared" si="98"/>
        <v>45687</v>
      </c>
      <c r="P697" s="2">
        <v>45688.68309027778</v>
      </c>
      <c r="Q697" s="2">
        <f t="shared" si="99"/>
        <v>45693</v>
      </c>
      <c r="R697" s="2">
        <v>45693.489537037036</v>
      </c>
      <c r="S697">
        <f t="shared" si="100"/>
        <v>0</v>
      </c>
      <c r="T697" s="2">
        <f t="shared" si="101"/>
        <v>45693</v>
      </c>
      <c r="U697" t="str">
        <f t="shared" si="102"/>
        <v>NO PRAZO</v>
      </c>
    </row>
    <row r="698" spans="1:21" hidden="1">
      <c r="A698" s="1">
        <v>19256</v>
      </c>
      <c r="B698" t="s">
        <v>24</v>
      </c>
      <c r="C698" t="s">
        <v>13</v>
      </c>
      <c r="D698" t="s">
        <v>18</v>
      </c>
      <c r="E698" s="1">
        <v>168</v>
      </c>
      <c r="F698" s="1">
        <v>2025</v>
      </c>
      <c r="G698" t="s">
        <v>11</v>
      </c>
      <c r="H698" s="2">
        <v>45686.500196759262</v>
      </c>
      <c r="I698" s="9">
        <f t="shared" si="94"/>
        <v>45691</v>
      </c>
      <c r="J698" s="2" t="str">
        <f t="shared" si="95"/>
        <v/>
      </c>
      <c r="L698" s="2" t="str">
        <f t="shared" si="96"/>
        <v/>
      </c>
      <c r="N698" s="10" t="str">
        <f t="shared" si="97"/>
        <v/>
      </c>
      <c r="O698" s="2">
        <f t="shared" si="98"/>
        <v>45691</v>
      </c>
      <c r="P698" s="2">
        <v>45687.413101851853</v>
      </c>
      <c r="Q698" s="2">
        <f t="shared" si="99"/>
        <v>45695</v>
      </c>
      <c r="R698" s="2">
        <v>45687.414560185185</v>
      </c>
      <c r="S698">
        <f t="shared" si="100"/>
        <v>0</v>
      </c>
      <c r="T698" s="2">
        <f t="shared" si="101"/>
        <v>45695</v>
      </c>
      <c r="U698" t="str">
        <f t="shared" si="102"/>
        <v>NO PRAZO</v>
      </c>
    </row>
    <row r="699" spans="1:21" hidden="1">
      <c r="A699" s="1">
        <v>19255</v>
      </c>
      <c r="B699" t="s">
        <v>19</v>
      </c>
      <c r="C699" t="s">
        <v>13</v>
      </c>
      <c r="D699" t="s">
        <v>18</v>
      </c>
      <c r="E699" s="1">
        <v>167</v>
      </c>
      <c r="F699" s="1">
        <v>2025</v>
      </c>
      <c r="G699" t="s">
        <v>11</v>
      </c>
      <c r="H699" s="2">
        <v>45686.500196759262</v>
      </c>
      <c r="I699" s="9">
        <f t="shared" si="94"/>
        <v>45691</v>
      </c>
      <c r="J699" s="2" t="str">
        <f t="shared" si="95"/>
        <v/>
      </c>
      <c r="L699" s="2" t="str">
        <f t="shared" si="96"/>
        <v/>
      </c>
      <c r="N699" s="10" t="str">
        <f t="shared" si="97"/>
        <v/>
      </c>
      <c r="O699" s="2">
        <f t="shared" si="98"/>
        <v>45691</v>
      </c>
      <c r="P699" s="2">
        <v>45687.402905092589</v>
      </c>
      <c r="Q699" s="2">
        <f t="shared" si="99"/>
        <v>45695</v>
      </c>
      <c r="R699" s="2">
        <v>45687.403634259259</v>
      </c>
      <c r="S699">
        <f t="shared" si="100"/>
        <v>0</v>
      </c>
      <c r="T699" s="2">
        <f t="shared" si="101"/>
        <v>45695</v>
      </c>
      <c r="U699" t="str">
        <f t="shared" si="102"/>
        <v>NO PRAZO</v>
      </c>
    </row>
    <row r="700" spans="1:21" hidden="1">
      <c r="A700" s="1">
        <v>19254</v>
      </c>
      <c r="B700" t="s">
        <v>19</v>
      </c>
      <c r="C700" t="s">
        <v>13</v>
      </c>
      <c r="D700" t="s">
        <v>18</v>
      </c>
      <c r="E700" s="1">
        <v>166</v>
      </c>
      <c r="F700" s="1">
        <v>2025</v>
      </c>
      <c r="G700" t="s">
        <v>11</v>
      </c>
      <c r="H700" s="2">
        <v>45686.500196759262</v>
      </c>
      <c r="I700" s="9">
        <f t="shared" si="94"/>
        <v>45691</v>
      </c>
      <c r="J700" s="2" t="str">
        <f t="shared" si="95"/>
        <v/>
      </c>
      <c r="L700" s="2" t="str">
        <f t="shared" si="96"/>
        <v/>
      </c>
      <c r="N700" s="10" t="str">
        <f t="shared" si="97"/>
        <v/>
      </c>
      <c r="O700" s="2">
        <f t="shared" si="98"/>
        <v>45691</v>
      </c>
      <c r="P700" s="2">
        <v>45688.636597222219</v>
      </c>
      <c r="Q700" s="2">
        <f t="shared" si="99"/>
        <v>45695</v>
      </c>
      <c r="R700" s="2">
        <v>45688.636782407404</v>
      </c>
      <c r="S700">
        <f t="shared" si="100"/>
        <v>0</v>
      </c>
      <c r="T700" s="2">
        <f t="shared" si="101"/>
        <v>45695</v>
      </c>
      <c r="U700" t="str">
        <f t="shared" si="102"/>
        <v>NO PRAZO</v>
      </c>
    </row>
    <row r="701" spans="1:21" hidden="1">
      <c r="A701" s="1">
        <v>19253</v>
      </c>
      <c r="B701" t="s">
        <v>20</v>
      </c>
      <c r="C701" t="s">
        <v>13</v>
      </c>
      <c r="D701" t="s">
        <v>21</v>
      </c>
      <c r="E701" s="1">
        <v>165</v>
      </c>
      <c r="F701" s="1">
        <v>2025</v>
      </c>
      <c r="G701" t="s">
        <v>11</v>
      </c>
      <c r="H701" s="2">
        <v>45686.458518518521</v>
      </c>
      <c r="I701" s="9">
        <f t="shared" si="94"/>
        <v>45691</v>
      </c>
      <c r="J701" s="2" t="str">
        <f t="shared" si="95"/>
        <v/>
      </c>
      <c r="L701" s="2" t="str">
        <f t="shared" si="96"/>
        <v/>
      </c>
      <c r="N701" s="10" t="str">
        <f t="shared" si="97"/>
        <v/>
      </c>
      <c r="O701" s="2">
        <f t="shared" si="98"/>
        <v>45691</v>
      </c>
      <c r="P701" s="2">
        <v>45699.762916666667</v>
      </c>
      <c r="Q701" s="2">
        <f t="shared" si="99"/>
        <v>45716</v>
      </c>
      <c r="R701" s="2">
        <v>45705.599965277775</v>
      </c>
      <c r="S701">
        <f t="shared" si="100"/>
        <v>0</v>
      </c>
      <c r="T701" s="2">
        <f t="shared" si="101"/>
        <v>45716</v>
      </c>
      <c r="U701" t="str">
        <f t="shared" si="102"/>
        <v>NO PRAZO</v>
      </c>
    </row>
    <row r="702" spans="1:21" hidden="1">
      <c r="A702" s="1">
        <v>19246</v>
      </c>
      <c r="B702" t="s">
        <v>17</v>
      </c>
      <c r="C702" t="s">
        <v>13</v>
      </c>
      <c r="D702" t="s">
        <v>18</v>
      </c>
      <c r="E702" s="1">
        <v>158</v>
      </c>
      <c r="F702" s="1">
        <v>2025</v>
      </c>
      <c r="G702" t="s">
        <v>11</v>
      </c>
      <c r="H702" s="2">
        <v>45685.500208333331</v>
      </c>
      <c r="I702" s="9">
        <f t="shared" si="94"/>
        <v>45688</v>
      </c>
      <c r="J702" s="2" t="str">
        <f t="shared" si="95"/>
        <v/>
      </c>
      <c r="L702" s="2" t="str">
        <f t="shared" si="96"/>
        <v/>
      </c>
      <c r="N702" s="10" t="str">
        <f t="shared" si="97"/>
        <v/>
      </c>
      <c r="O702" s="2">
        <f t="shared" si="98"/>
        <v>45688</v>
      </c>
      <c r="P702" s="2">
        <v>45691.346898148149</v>
      </c>
      <c r="Q702" s="2">
        <f t="shared" si="99"/>
        <v>45694</v>
      </c>
      <c r="R702" s="2">
        <v>45691.348113425927</v>
      </c>
      <c r="S702">
        <f t="shared" si="100"/>
        <v>0</v>
      </c>
      <c r="T702" s="2">
        <f t="shared" si="101"/>
        <v>45694</v>
      </c>
      <c r="U702" t="str">
        <f t="shared" si="102"/>
        <v>NO PRAZO</v>
      </c>
    </row>
    <row r="703" spans="1:21" hidden="1">
      <c r="A703" s="1">
        <v>19241</v>
      </c>
      <c r="B703" t="s">
        <v>22</v>
      </c>
      <c r="C703" t="s">
        <v>13</v>
      </c>
      <c r="D703" t="s">
        <v>10</v>
      </c>
      <c r="E703" s="1">
        <v>153</v>
      </c>
      <c r="F703" s="1">
        <v>2025</v>
      </c>
      <c r="G703" t="s">
        <v>11</v>
      </c>
      <c r="H703" s="2">
        <v>45684.625717592593</v>
      </c>
      <c r="I703" s="9">
        <f t="shared" si="94"/>
        <v>45685</v>
      </c>
      <c r="J703" s="2" t="str">
        <f t="shared" si="95"/>
        <v/>
      </c>
      <c r="L703" s="2" t="str">
        <f t="shared" si="96"/>
        <v/>
      </c>
      <c r="N703" s="10" t="str">
        <f t="shared" si="97"/>
        <v/>
      </c>
      <c r="O703" s="2">
        <f t="shared" si="98"/>
        <v>45685</v>
      </c>
      <c r="P703" s="2">
        <v>45686.582951388889</v>
      </c>
      <c r="Q703" s="2">
        <f t="shared" si="99"/>
        <v>45686</v>
      </c>
      <c r="R703" s="2">
        <v>45686.634479166663</v>
      </c>
      <c r="S703">
        <f t="shared" si="100"/>
        <v>0</v>
      </c>
      <c r="T703" s="2">
        <f t="shared" si="101"/>
        <v>45686</v>
      </c>
      <c r="U703" t="str">
        <f t="shared" si="102"/>
        <v>NO PRAZO</v>
      </c>
    </row>
    <row r="704" spans="1:21" hidden="1">
      <c r="A704" s="1">
        <v>19239</v>
      </c>
      <c r="B704" t="s">
        <v>19</v>
      </c>
      <c r="C704" t="s">
        <v>13</v>
      </c>
      <c r="D704" t="s">
        <v>16</v>
      </c>
      <c r="E704" s="1">
        <v>151</v>
      </c>
      <c r="F704" s="1">
        <v>2025</v>
      </c>
      <c r="G704" t="s">
        <v>11</v>
      </c>
      <c r="H704" s="2">
        <v>45684.500740740739</v>
      </c>
      <c r="I704" s="9">
        <f t="shared" ref="I704:I767" si="103">IF(OR(D704="ORIENTAÇÃO",D704="BUG IMPEDITIVO",D704="BUG NÃO IMPEDITIVO"),WORKDAY(H704,1,Z$2:Z$500),IF(OR(D704="MELHORIA PEQUENA",D704="MELHORIA MÉDIA"),WORKDAY(H704,3,Z$2:Z$500),""))</f>
        <v>45685</v>
      </c>
      <c r="J704" s="2" t="str">
        <f t="shared" si="95"/>
        <v/>
      </c>
      <c r="L704" s="2" t="str">
        <f t="shared" si="96"/>
        <v/>
      </c>
      <c r="N704" s="10" t="str">
        <f t="shared" si="97"/>
        <v/>
      </c>
      <c r="O704" s="2">
        <f t="shared" si="98"/>
        <v>45685</v>
      </c>
      <c r="P704" s="2">
        <v>45687.49490740741</v>
      </c>
      <c r="Q704" s="2">
        <f t="shared" si="99"/>
        <v>45691</v>
      </c>
      <c r="R704" s="2">
        <v>45687.495266203703</v>
      </c>
      <c r="S704">
        <f t="shared" si="100"/>
        <v>0</v>
      </c>
      <c r="T704" s="2">
        <f t="shared" si="101"/>
        <v>45691</v>
      </c>
      <c r="U704" t="str">
        <f t="shared" si="102"/>
        <v>NO PRAZO</v>
      </c>
    </row>
    <row r="705" spans="1:21" hidden="1">
      <c r="A705" s="1">
        <v>19215</v>
      </c>
      <c r="B705" t="s">
        <v>17</v>
      </c>
      <c r="C705" t="s">
        <v>13</v>
      </c>
      <c r="D705" t="s">
        <v>18</v>
      </c>
      <c r="E705" s="1">
        <v>127</v>
      </c>
      <c r="F705" s="1">
        <v>2025</v>
      </c>
      <c r="G705" t="s">
        <v>11</v>
      </c>
      <c r="H705" s="2">
        <v>45680.500358796293</v>
      </c>
      <c r="I705" s="9">
        <f t="shared" si="103"/>
        <v>45685</v>
      </c>
      <c r="J705" s="2" t="str">
        <f t="shared" si="95"/>
        <v/>
      </c>
      <c r="L705" s="2" t="str">
        <f t="shared" si="96"/>
        <v/>
      </c>
      <c r="N705" s="10" t="str">
        <f t="shared" si="97"/>
        <v/>
      </c>
      <c r="O705" s="2">
        <f t="shared" si="98"/>
        <v>45685</v>
      </c>
      <c r="P705" s="2">
        <v>45685.60087962963</v>
      </c>
      <c r="Q705" s="2">
        <f t="shared" si="99"/>
        <v>45691</v>
      </c>
      <c r="R705" s="2">
        <v>45686.446099537039</v>
      </c>
      <c r="S705">
        <f t="shared" si="100"/>
        <v>0</v>
      </c>
      <c r="T705" s="2">
        <f t="shared" si="101"/>
        <v>45691</v>
      </c>
      <c r="U705" t="str">
        <f t="shared" si="102"/>
        <v>NO PRAZO</v>
      </c>
    </row>
    <row r="706" spans="1:21" hidden="1">
      <c r="A706" s="1">
        <v>19209</v>
      </c>
      <c r="B706" t="s">
        <v>17</v>
      </c>
      <c r="C706" t="s">
        <v>9</v>
      </c>
      <c r="D706" t="s">
        <v>18</v>
      </c>
      <c r="E706" s="1">
        <v>121</v>
      </c>
      <c r="F706" s="1">
        <v>2025</v>
      </c>
      <c r="G706" t="s">
        <v>11</v>
      </c>
      <c r="H706" s="2">
        <v>45679.458622685182</v>
      </c>
      <c r="I706" s="9">
        <f t="shared" si="103"/>
        <v>45684</v>
      </c>
      <c r="J706" s="2" t="str">
        <f t="shared" si="95"/>
        <v/>
      </c>
      <c r="L706" s="2" t="str">
        <f t="shared" si="96"/>
        <v/>
      </c>
      <c r="N706" s="10" t="str">
        <f t="shared" si="97"/>
        <v/>
      </c>
      <c r="O706" s="2">
        <f t="shared" si="98"/>
        <v>45684</v>
      </c>
      <c r="P706" s="2">
        <v>45680.421469907407</v>
      </c>
      <c r="Q706" s="2">
        <f t="shared" si="99"/>
        <v>45688</v>
      </c>
      <c r="R706" s="2">
        <v>45680.469247685185</v>
      </c>
      <c r="S706">
        <f t="shared" si="100"/>
        <v>0</v>
      </c>
      <c r="T706" s="2">
        <f t="shared" si="101"/>
        <v>45688</v>
      </c>
      <c r="U706" t="str">
        <f t="shared" si="102"/>
        <v>NO PRAZO</v>
      </c>
    </row>
    <row r="707" spans="1:21">
      <c r="A707" s="1">
        <v>19203</v>
      </c>
      <c r="B707" t="s">
        <v>23</v>
      </c>
      <c r="C707" t="s">
        <v>9</v>
      </c>
      <c r="D707" t="s">
        <v>18</v>
      </c>
      <c r="E707" s="1">
        <v>115</v>
      </c>
      <c r="F707" s="1">
        <v>2025</v>
      </c>
      <c r="G707" t="s">
        <v>11</v>
      </c>
      <c r="H707" s="2">
        <v>45678.666898148149</v>
      </c>
      <c r="I707" s="9">
        <f t="shared" si="103"/>
        <v>45681</v>
      </c>
      <c r="J707" s="2" t="str">
        <f t="shared" ref="J707:J770" si="104">IF(K707&lt;&gt;"",I707,"")</f>
        <v/>
      </c>
      <c r="L707" s="2" t="str">
        <f t="shared" ref="L707:L770" si="105">IF(J707="","",WORKDAY(J707,14,Z$2:Z$500))</f>
        <v/>
      </c>
      <c r="N707" s="10" t="str">
        <f t="shared" ref="N707:N770" si="106">IF(M707="","",MAX(0,INT(M707)-INT(L707)))</f>
        <v/>
      </c>
      <c r="O707" s="2">
        <f t="shared" ref="O707:O770" si="107">IF(L707="",I707,WORKDAY(L707,1,Z$2:Z$500))</f>
        <v>45681</v>
      </c>
      <c r="P707" s="2">
        <v>45684.593611111108</v>
      </c>
      <c r="Q707" s="2">
        <f t="shared" ref="Q707:Q770" si="108">IF(OR(D707="ORIENTAÇÃO",D707="BUG IMPEDITIVO"),WORKDAY(O707,1,Z$2:Z$500),IF(OR(D707="MELHORIA PEQUENA",D707="BUG NÃO IMPEDITIVO"),WORKDAY(O707,4,Z$2:Z$500),IF(D707="MELHORIA MÉDIA",WORKDAY(O707,19,Z$2:Z$500),"")))</f>
        <v>45687</v>
      </c>
      <c r="R707" s="2">
        <v>45688.606296296297</v>
      </c>
      <c r="S707">
        <f t="shared" ref="S707:S770" si="109">MAX(0,INT(R707)-INT(Q707))</f>
        <v>1</v>
      </c>
      <c r="T707" s="2">
        <f t="shared" ref="T707:T770" si="110">IF(D707="MELHORIA MÉDIA",IF(K707&lt;&gt;"",WORKDAY(I707,34,$Z$2:$Z$1000),WORKDAY(I707,19,$Z$2:$Z$1000)),IF(OR(D707="MELHORIA PEQUENA",D707="BUG NÃO IMPEDITIVO"),WORKDAY(I707,4,$Z$2:$Z$1000),IF(OR(D707="ORIENTAÇÃO",D707="BUG IMPEDITIVO"),WORKDAY(I707,1,$Z$2:$Z$1000),"")))</f>
        <v>45687</v>
      </c>
      <c r="U707" t="str">
        <f t="shared" ref="U707:U770" si="111">IF(INT(R707)&lt;=INT(T707),"NO PRAZO","ATRASO")</f>
        <v>ATRASO</v>
      </c>
    </row>
    <row r="708" spans="1:21" hidden="1">
      <c r="A708" s="1">
        <v>19200</v>
      </c>
      <c r="B708" t="s">
        <v>20</v>
      </c>
      <c r="C708" t="s">
        <v>13</v>
      </c>
      <c r="D708" t="s">
        <v>16</v>
      </c>
      <c r="E708" s="1">
        <v>112</v>
      </c>
      <c r="F708" s="1">
        <v>2025</v>
      </c>
      <c r="G708" t="s">
        <v>11</v>
      </c>
      <c r="H708" s="2">
        <v>45678.583553240744</v>
      </c>
      <c r="I708" s="9">
        <f t="shared" si="103"/>
        <v>45679</v>
      </c>
      <c r="J708" s="2" t="str">
        <f t="shared" si="104"/>
        <v/>
      </c>
      <c r="L708" s="2" t="str">
        <f t="shared" si="105"/>
        <v/>
      </c>
      <c r="N708" s="10" t="str">
        <f t="shared" si="106"/>
        <v/>
      </c>
      <c r="O708" s="2">
        <f t="shared" si="107"/>
        <v>45679</v>
      </c>
      <c r="P708" s="2">
        <v>45685.712557870371</v>
      </c>
      <c r="Q708" s="2">
        <f t="shared" si="108"/>
        <v>45685</v>
      </c>
      <c r="R708" s="2">
        <v>45685.712812500002</v>
      </c>
      <c r="S708">
        <f t="shared" si="109"/>
        <v>0</v>
      </c>
      <c r="T708" s="2">
        <f t="shared" si="110"/>
        <v>45685</v>
      </c>
      <c r="U708" t="str">
        <f t="shared" si="111"/>
        <v>NO PRAZO</v>
      </c>
    </row>
    <row r="709" spans="1:21">
      <c r="A709" s="1">
        <v>19193</v>
      </c>
      <c r="B709" t="s">
        <v>20</v>
      </c>
      <c r="C709" t="s">
        <v>13</v>
      </c>
      <c r="D709" t="s">
        <v>16</v>
      </c>
      <c r="E709" s="1">
        <v>105</v>
      </c>
      <c r="F709" s="1">
        <v>2025</v>
      </c>
      <c r="G709" t="s">
        <v>11</v>
      </c>
      <c r="H709" s="2">
        <v>45674.792233796295</v>
      </c>
      <c r="I709" s="9">
        <f t="shared" si="103"/>
        <v>45678</v>
      </c>
      <c r="J709" s="2" t="str">
        <f t="shared" si="104"/>
        <v/>
      </c>
      <c r="L709" s="2" t="str">
        <f t="shared" si="105"/>
        <v/>
      </c>
      <c r="N709" s="10" t="str">
        <f t="shared" si="106"/>
        <v/>
      </c>
      <c r="O709" s="2">
        <f t="shared" si="107"/>
        <v>45678</v>
      </c>
      <c r="P709" s="2">
        <v>45684.480196759258</v>
      </c>
      <c r="Q709" s="2">
        <f t="shared" si="108"/>
        <v>45684</v>
      </c>
      <c r="R709" s="2">
        <v>45685.353888888887</v>
      </c>
      <c r="S709">
        <f t="shared" si="109"/>
        <v>1</v>
      </c>
      <c r="T709" s="2">
        <f t="shared" si="110"/>
        <v>45684</v>
      </c>
      <c r="U709" t="str">
        <f t="shared" si="111"/>
        <v>ATRASO</v>
      </c>
    </row>
    <row r="710" spans="1:21" hidden="1">
      <c r="A710" s="1">
        <v>19189</v>
      </c>
      <c r="B710" t="s">
        <v>17</v>
      </c>
      <c r="C710" t="s">
        <v>9</v>
      </c>
      <c r="D710" t="s">
        <v>16</v>
      </c>
      <c r="E710" s="1">
        <v>101</v>
      </c>
      <c r="F710" s="1">
        <v>2025</v>
      </c>
      <c r="G710" t="s">
        <v>11</v>
      </c>
      <c r="H710" s="2">
        <v>45674.708865740744</v>
      </c>
      <c r="I710" s="9">
        <f t="shared" si="103"/>
        <v>45678</v>
      </c>
      <c r="J710" s="2" t="str">
        <f t="shared" si="104"/>
        <v/>
      </c>
      <c r="L710" s="2" t="str">
        <f t="shared" si="105"/>
        <v/>
      </c>
      <c r="N710" s="10" t="str">
        <f t="shared" si="106"/>
        <v/>
      </c>
      <c r="O710" s="2">
        <f t="shared" si="107"/>
        <v>45678</v>
      </c>
      <c r="P710" s="2">
        <v>45681.744560185187</v>
      </c>
      <c r="Q710" s="2">
        <f t="shared" si="108"/>
        <v>45684</v>
      </c>
      <c r="R710" s="2">
        <v>45684.41878472222</v>
      </c>
      <c r="S710">
        <f t="shared" si="109"/>
        <v>0</v>
      </c>
      <c r="T710" s="2">
        <f t="shared" si="110"/>
        <v>45684</v>
      </c>
      <c r="U710" t="str">
        <f t="shared" si="111"/>
        <v>NO PRAZO</v>
      </c>
    </row>
    <row r="711" spans="1:21" hidden="1">
      <c r="A711" s="1">
        <v>19184</v>
      </c>
      <c r="B711" t="s">
        <v>20</v>
      </c>
      <c r="C711" t="s">
        <v>13</v>
      </c>
      <c r="D711" t="s">
        <v>18</v>
      </c>
      <c r="E711" s="1">
        <v>96</v>
      </c>
      <c r="F711" s="1">
        <v>2025</v>
      </c>
      <c r="G711" t="s">
        <v>11</v>
      </c>
      <c r="H711" s="2">
        <v>45674.625509259262</v>
      </c>
      <c r="I711" s="9">
        <f t="shared" si="103"/>
        <v>45680</v>
      </c>
      <c r="J711" s="2" t="str">
        <f t="shared" si="104"/>
        <v/>
      </c>
      <c r="L711" s="2" t="str">
        <f t="shared" si="105"/>
        <v/>
      </c>
      <c r="N711" s="10" t="str">
        <f t="shared" si="106"/>
        <v/>
      </c>
      <c r="O711" s="2">
        <f t="shared" si="107"/>
        <v>45680</v>
      </c>
      <c r="P711" s="2">
        <v>45678.396574074075</v>
      </c>
      <c r="Q711" s="2">
        <f t="shared" si="108"/>
        <v>45686</v>
      </c>
      <c r="R711" s="2">
        <v>45679.626736111109</v>
      </c>
      <c r="S711">
        <f t="shared" si="109"/>
        <v>0</v>
      </c>
      <c r="T711" s="2">
        <f t="shared" si="110"/>
        <v>45686</v>
      </c>
      <c r="U711" t="str">
        <f t="shared" si="111"/>
        <v>NO PRAZO</v>
      </c>
    </row>
    <row r="712" spans="1:21" hidden="1">
      <c r="A712" s="1">
        <v>19182</v>
      </c>
      <c r="B712" t="s">
        <v>19</v>
      </c>
      <c r="C712" t="s">
        <v>13</v>
      </c>
      <c r="D712" t="s">
        <v>18</v>
      </c>
      <c r="E712" s="1">
        <v>94</v>
      </c>
      <c r="F712" s="1">
        <v>2025</v>
      </c>
      <c r="G712" t="s">
        <v>11</v>
      </c>
      <c r="H712" s="2">
        <v>45674.500497685185</v>
      </c>
      <c r="I712" s="9">
        <f t="shared" si="103"/>
        <v>45680</v>
      </c>
      <c r="J712" s="2" t="str">
        <f t="shared" si="104"/>
        <v/>
      </c>
      <c r="L712" s="2" t="str">
        <f t="shared" si="105"/>
        <v/>
      </c>
      <c r="N712" s="10" t="str">
        <f t="shared" si="106"/>
        <v/>
      </c>
      <c r="O712" s="2">
        <f t="shared" si="107"/>
        <v>45680</v>
      </c>
      <c r="P712" s="2">
        <v>45679.479884259257</v>
      </c>
      <c r="Q712" s="2">
        <f t="shared" si="108"/>
        <v>45686</v>
      </c>
      <c r="R712" s="2">
        <v>45679.47996527778</v>
      </c>
      <c r="S712">
        <f t="shared" si="109"/>
        <v>0</v>
      </c>
      <c r="T712" s="2">
        <f t="shared" si="110"/>
        <v>45686</v>
      </c>
      <c r="U712" t="str">
        <f t="shared" si="111"/>
        <v>NO PRAZO</v>
      </c>
    </row>
    <row r="713" spans="1:21" hidden="1">
      <c r="A713" s="1">
        <v>19181</v>
      </c>
      <c r="B713" t="s">
        <v>20</v>
      </c>
      <c r="C713" t="s">
        <v>13</v>
      </c>
      <c r="D713" t="s">
        <v>18</v>
      </c>
      <c r="E713" s="1">
        <v>93</v>
      </c>
      <c r="F713" s="1">
        <v>2025</v>
      </c>
      <c r="G713" t="s">
        <v>11</v>
      </c>
      <c r="H713" s="2">
        <v>45674.417187500003</v>
      </c>
      <c r="I713" s="9">
        <f t="shared" si="103"/>
        <v>45680</v>
      </c>
      <c r="J713" s="2" t="str">
        <f t="shared" si="104"/>
        <v/>
      </c>
      <c r="L713" s="2" t="str">
        <f t="shared" si="105"/>
        <v/>
      </c>
      <c r="N713" s="10" t="str">
        <f t="shared" si="106"/>
        <v/>
      </c>
      <c r="O713" s="2">
        <f t="shared" si="107"/>
        <v>45680</v>
      </c>
      <c r="P713" s="2">
        <v>45678.399421296293</v>
      </c>
      <c r="Q713" s="2">
        <f t="shared" si="108"/>
        <v>45686</v>
      </c>
      <c r="R713" s="2">
        <v>45680.667430555557</v>
      </c>
      <c r="S713">
        <f t="shared" si="109"/>
        <v>0</v>
      </c>
      <c r="T713" s="2">
        <f t="shared" si="110"/>
        <v>45686</v>
      </c>
      <c r="U713" t="str">
        <f t="shared" si="111"/>
        <v>NO PRAZO</v>
      </c>
    </row>
    <row r="714" spans="1:21" hidden="1">
      <c r="A714" s="1">
        <v>19180</v>
      </c>
      <c r="B714" t="s">
        <v>17</v>
      </c>
      <c r="C714" t="s">
        <v>9</v>
      </c>
      <c r="D714" t="s">
        <v>10</v>
      </c>
      <c r="E714" s="1">
        <v>92</v>
      </c>
      <c r="F714" s="1">
        <v>2025</v>
      </c>
      <c r="G714" t="s">
        <v>11</v>
      </c>
      <c r="H714" s="2">
        <v>45674.417187500003</v>
      </c>
      <c r="I714" s="9">
        <f t="shared" si="103"/>
        <v>45678</v>
      </c>
      <c r="J714" s="2" t="str">
        <f t="shared" si="104"/>
        <v/>
      </c>
      <c r="L714" s="2" t="str">
        <f t="shared" si="105"/>
        <v/>
      </c>
      <c r="N714" s="10" t="str">
        <f t="shared" si="106"/>
        <v/>
      </c>
      <c r="O714" s="2">
        <f t="shared" si="107"/>
        <v>45678</v>
      </c>
      <c r="P714" s="2">
        <v>45678.686840277776</v>
      </c>
      <c r="Q714" s="2">
        <f t="shared" si="108"/>
        <v>45679</v>
      </c>
      <c r="R714" s="2">
        <v>45678.692314814813</v>
      </c>
      <c r="S714">
        <f t="shared" si="109"/>
        <v>0</v>
      </c>
      <c r="T714" s="2">
        <f t="shared" si="110"/>
        <v>45679</v>
      </c>
      <c r="U714" t="str">
        <f t="shared" si="111"/>
        <v>NO PRAZO</v>
      </c>
    </row>
    <row r="715" spans="1:21" hidden="1">
      <c r="A715" s="1">
        <v>19179</v>
      </c>
      <c r="B715" t="s">
        <v>23</v>
      </c>
      <c r="C715" t="s">
        <v>13</v>
      </c>
      <c r="D715" t="s">
        <v>10</v>
      </c>
      <c r="E715" s="1">
        <v>91</v>
      </c>
      <c r="F715" s="1">
        <v>2025</v>
      </c>
      <c r="G715" t="s">
        <v>11</v>
      </c>
      <c r="H715" s="2">
        <v>45674.417187500003</v>
      </c>
      <c r="I715" s="9">
        <f t="shared" si="103"/>
        <v>45678</v>
      </c>
      <c r="J715" s="2" t="str">
        <f t="shared" si="104"/>
        <v/>
      </c>
      <c r="L715" s="2" t="str">
        <f t="shared" si="105"/>
        <v/>
      </c>
      <c r="N715" s="10" t="str">
        <f t="shared" si="106"/>
        <v/>
      </c>
      <c r="O715" s="2">
        <f t="shared" si="107"/>
        <v>45678</v>
      </c>
      <c r="P715" s="2">
        <v>45674.629942129628</v>
      </c>
      <c r="Q715" s="2">
        <f t="shared" si="108"/>
        <v>45679</v>
      </c>
      <c r="R715" s="2">
        <v>45674.645775462966</v>
      </c>
      <c r="S715">
        <f t="shared" si="109"/>
        <v>0</v>
      </c>
      <c r="T715" s="2">
        <f t="shared" si="110"/>
        <v>45679</v>
      </c>
      <c r="U715" t="str">
        <f t="shared" si="111"/>
        <v>NO PRAZO</v>
      </c>
    </row>
    <row r="716" spans="1:21" hidden="1">
      <c r="A716" s="1">
        <v>19174</v>
      </c>
      <c r="B716" t="s">
        <v>17</v>
      </c>
      <c r="C716" t="s">
        <v>9</v>
      </c>
      <c r="D716" t="s">
        <v>14</v>
      </c>
      <c r="E716" s="1">
        <v>86</v>
      </c>
      <c r="F716" s="1">
        <v>2025</v>
      </c>
      <c r="G716" t="s">
        <v>11</v>
      </c>
      <c r="H716" s="2">
        <v>45673.583749999998</v>
      </c>
      <c r="I716" s="9">
        <f t="shared" si="103"/>
        <v>45674</v>
      </c>
      <c r="J716" s="2" t="str">
        <f t="shared" si="104"/>
        <v/>
      </c>
      <c r="L716" s="2" t="str">
        <f t="shared" si="105"/>
        <v/>
      </c>
      <c r="N716" s="10" t="str">
        <f t="shared" si="106"/>
        <v/>
      </c>
      <c r="O716" s="2">
        <f t="shared" si="107"/>
        <v>45674</v>
      </c>
      <c r="P716" s="2">
        <v>45678.708368055559</v>
      </c>
      <c r="Q716" s="2">
        <f t="shared" si="108"/>
        <v>45678</v>
      </c>
      <c r="R716" s="2">
        <v>45678.70884259259</v>
      </c>
      <c r="S716">
        <f t="shared" si="109"/>
        <v>0</v>
      </c>
      <c r="T716" s="2">
        <f t="shared" si="110"/>
        <v>45678</v>
      </c>
      <c r="U716" t="str">
        <f t="shared" si="111"/>
        <v>NO PRAZO</v>
      </c>
    </row>
    <row r="717" spans="1:21" hidden="1">
      <c r="A717" s="1">
        <v>19172</v>
      </c>
      <c r="B717" t="s">
        <v>12</v>
      </c>
      <c r="C717" t="s">
        <v>13</v>
      </c>
      <c r="D717" t="s">
        <v>18</v>
      </c>
      <c r="E717" s="1">
        <v>84</v>
      </c>
      <c r="F717" s="1">
        <v>2025</v>
      </c>
      <c r="G717" t="s">
        <v>11</v>
      </c>
      <c r="H717" s="2">
        <v>45673.458738425928</v>
      </c>
      <c r="I717" s="9">
        <f t="shared" si="103"/>
        <v>45679</v>
      </c>
      <c r="J717" s="2" t="str">
        <f t="shared" si="104"/>
        <v/>
      </c>
      <c r="L717" s="2" t="str">
        <f t="shared" si="105"/>
        <v/>
      </c>
      <c r="N717" s="10" t="str">
        <f t="shared" si="106"/>
        <v/>
      </c>
      <c r="O717" s="2">
        <f t="shared" si="107"/>
        <v>45679</v>
      </c>
      <c r="P717" s="2">
        <v>45679.603506944448</v>
      </c>
      <c r="Q717" s="2">
        <f t="shared" si="108"/>
        <v>45685</v>
      </c>
      <c r="R717" s="2">
        <v>45679.60392361111</v>
      </c>
      <c r="S717">
        <f t="shared" si="109"/>
        <v>0</v>
      </c>
      <c r="T717" s="2">
        <f t="shared" si="110"/>
        <v>45685</v>
      </c>
      <c r="U717" t="str">
        <f t="shared" si="111"/>
        <v>NO PRAZO</v>
      </c>
    </row>
    <row r="718" spans="1:21" hidden="1">
      <c r="A718" s="1">
        <v>19171</v>
      </c>
      <c r="B718" t="s">
        <v>19</v>
      </c>
      <c r="C718" t="s">
        <v>13</v>
      </c>
      <c r="D718" t="s">
        <v>10</v>
      </c>
      <c r="E718" s="1">
        <v>83</v>
      </c>
      <c r="F718" s="1">
        <v>2025</v>
      </c>
      <c r="G718" t="s">
        <v>11</v>
      </c>
      <c r="H718" s="2">
        <v>45673.375393518516</v>
      </c>
      <c r="I718" s="9">
        <f t="shared" si="103"/>
        <v>45674</v>
      </c>
      <c r="J718" s="2" t="str">
        <f t="shared" si="104"/>
        <v/>
      </c>
      <c r="L718" s="2" t="str">
        <f t="shared" si="105"/>
        <v/>
      </c>
      <c r="N718" s="10" t="str">
        <f t="shared" si="106"/>
        <v/>
      </c>
      <c r="O718" s="2">
        <f t="shared" si="107"/>
        <v>45674</v>
      </c>
      <c r="P718" s="2">
        <v>45673.438287037039</v>
      </c>
      <c r="Q718" s="2">
        <f t="shared" si="108"/>
        <v>45678</v>
      </c>
      <c r="R718" s="2">
        <v>45673.457407407404</v>
      </c>
      <c r="S718">
        <f t="shared" si="109"/>
        <v>0</v>
      </c>
      <c r="T718" s="2">
        <f t="shared" si="110"/>
        <v>45678</v>
      </c>
      <c r="U718" t="str">
        <f t="shared" si="111"/>
        <v>NO PRAZO</v>
      </c>
    </row>
    <row r="719" spans="1:21" hidden="1">
      <c r="A719" s="1">
        <v>19154</v>
      </c>
      <c r="B719" t="s">
        <v>23</v>
      </c>
      <c r="C719" t="s">
        <v>13</v>
      </c>
      <c r="D719" t="s">
        <v>18</v>
      </c>
      <c r="E719" s="1">
        <v>66</v>
      </c>
      <c r="F719" s="1">
        <v>2025</v>
      </c>
      <c r="G719" t="s">
        <v>11</v>
      </c>
      <c r="H719" s="2">
        <v>45671.489305555559</v>
      </c>
      <c r="I719" s="9">
        <f t="shared" si="103"/>
        <v>45674</v>
      </c>
      <c r="J719" s="2" t="str">
        <f t="shared" si="104"/>
        <v/>
      </c>
      <c r="L719" s="2" t="str">
        <f t="shared" si="105"/>
        <v/>
      </c>
      <c r="N719" s="10" t="str">
        <f t="shared" si="106"/>
        <v/>
      </c>
      <c r="O719" s="2">
        <f t="shared" si="107"/>
        <v>45674</v>
      </c>
      <c r="P719" s="2">
        <v>45678.706990740742</v>
      </c>
      <c r="Q719" s="2">
        <f t="shared" si="108"/>
        <v>45681</v>
      </c>
      <c r="R719" s="2">
        <v>45678.718344907407</v>
      </c>
      <c r="S719">
        <f t="shared" si="109"/>
        <v>0</v>
      </c>
      <c r="T719" s="2">
        <f t="shared" si="110"/>
        <v>45681</v>
      </c>
      <c r="U719" t="str">
        <f t="shared" si="111"/>
        <v>NO PRAZO</v>
      </c>
    </row>
    <row r="720" spans="1:21" hidden="1">
      <c r="A720" s="1">
        <v>19152</v>
      </c>
      <c r="B720" t="s">
        <v>23</v>
      </c>
      <c r="C720" t="s">
        <v>13</v>
      </c>
      <c r="D720" t="s">
        <v>10</v>
      </c>
      <c r="E720" s="1">
        <v>64</v>
      </c>
      <c r="F720" s="1">
        <v>2025</v>
      </c>
      <c r="G720" t="s">
        <v>11</v>
      </c>
      <c r="H720" s="2">
        <v>45671.45857638889</v>
      </c>
      <c r="I720" s="9">
        <f t="shared" si="103"/>
        <v>45672</v>
      </c>
      <c r="J720" s="2" t="str">
        <f t="shared" si="104"/>
        <v/>
      </c>
      <c r="L720" s="2" t="str">
        <f t="shared" si="105"/>
        <v/>
      </c>
      <c r="N720" s="10" t="str">
        <f t="shared" si="106"/>
        <v/>
      </c>
      <c r="O720" s="2">
        <f t="shared" si="107"/>
        <v>45672</v>
      </c>
      <c r="P720" s="2">
        <v>45673.400821759256</v>
      </c>
      <c r="Q720" s="2">
        <f t="shared" si="108"/>
        <v>45673</v>
      </c>
      <c r="R720" s="2">
        <v>45673.456736111111</v>
      </c>
      <c r="S720">
        <f t="shared" si="109"/>
        <v>0</v>
      </c>
      <c r="T720" s="2">
        <f t="shared" si="110"/>
        <v>45673</v>
      </c>
      <c r="U720" t="str">
        <f t="shared" si="111"/>
        <v>NO PRAZO</v>
      </c>
    </row>
    <row r="721" spans="1:21" hidden="1">
      <c r="A721" s="1">
        <v>19139</v>
      </c>
      <c r="B721" t="s">
        <v>20</v>
      </c>
      <c r="C721" t="s">
        <v>9</v>
      </c>
      <c r="D721" t="s">
        <v>18</v>
      </c>
      <c r="E721" s="1">
        <v>51</v>
      </c>
      <c r="F721" s="1">
        <v>2025</v>
      </c>
      <c r="G721" t="s">
        <v>11</v>
      </c>
      <c r="H721" s="2">
        <v>45667.708912037036</v>
      </c>
      <c r="I721" s="9">
        <f t="shared" si="103"/>
        <v>45672</v>
      </c>
      <c r="J721" s="2" t="str">
        <f t="shared" si="104"/>
        <v/>
      </c>
      <c r="L721" s="2" t="str">
        <f t="shared" si="105"/>
        <v/>
      </c>
      <c r="N721" s="10" t="str">
        <f t="shared" si="106"/>
        <v/>
      </c>
      <c r="O721" s="2">
        <f t="shared" si="107"/>
        <v>45672</v>
      </c>
      <c r="P721" s="2">
        <v>45673.676238425927</v>
      </c>
      <c r="Q721" s="2">
        <f t="shared" si="108"/>
        <v>45679</v>
      </c>
      <c r="R721" s="2">
        <v>45673.676666666666</v>
      </c>
      <c r="S721">
        <f t="shared" si="109"/>
        <v>0</v>
      </c>
      <c r="T721" s="2">
        <f t="shared" si="110"/>
        <v>45679</v>
      </c>
      <c r="U721" t="str">
        <f t="shared" si="111"/>
        <v>NO PRAZO</v>
      </c>
    </row>
    <row r="722" spans="1:21" hidden="1">
      <c r="A722" s="1">
        <v>19134</v>
      </c>
      <c r="B722" t="s">
        <v>17</v>
      </c>
      <c r="C722" t="s">
        <v>13</v>
      </c>
      <c r="D722" t="s">
        <v>18</v>
      </c>
      <c r="E722" s="1">
        <v>46</v>
      </c>
      <c r="F722" s="1">
        <v>2025</v>
      </c>
      <c r="G722" t="s">
        <v>11</v>
      </c>
      <c r="H722" s="2">
        <v>45667.500590277778</v>
      </c>
      <c r="I722" s="9">
        <f t="shared" si="103"/>
        <v>45672</v>
      </c>
      <c r="J722" s="2" t="str">
        <f t="shared" si="104"/>
        <v/>
      </c>
      <c r="L722" s="2" t="str">
        <f t="shared" si="105"/>
        <v/>
      </c>
      <c r="N722" s="10" t="str">
        <f t="shared" si="106"/>
        <v/>
      </c>
      <c r="O722" s="2">
        <f t="shared" si="107"/>
        <v>45672</v>
      </c>
      <c r="P722" s="2">
        <v>45671.627627314818</v>
      </c>
      <c r="Q722" s="2">
        <f t="shared" si="108"/>
        <v>45679</v>
      </c>
      <c r="R722" s="2">
        <v>45674.412453703706</v>
      </c>
      <c r="S722">
        <f t="shared" si="109"/>
        <v>0</v>
      </c>
      <c r="T722" s="2">
        <f t="shared" si="110"/>
        <v>45679</v>
      </c>
      <c r="U722" t="str">
        <f t="shared" si="111"/>
        <v>NO PRAZO</v>
      </c>
    </row>
    <row r="723" spans="1:21" hidden="1">
      <c r="A723" s="1">
        <v>19129</v>
      </c>
      <c r="B723" t="s">
        <v>17</v>
      </c>
      <c r="C723" t="s">
        <v>9</v>
      </c>
      <c r="D723" t="s">
        <v>18</v>
      </c>
      <c r="E723" s="1">
        <v>41</v>
      </c>
      <c r="F723" s="1">
        <v>2025</v>
      </c>
      <c r="G723" t="s">
        <v>11</v>
      </c>
      <c r="H723" s="2">
        <v>45666.746724537035</v>
      </c>
      <c r="I723" s="9">
        <f t="shared" si="103"/>
        <v>45671</v>
      </c>
      <c r="J723" s="2" t="str">
        <f t="shared" si="104"/>
        <v/>
      </c>
      <c r="L723" s="2" t="str">
        <f t="shared" si="105"/>
        <v/>
      </c>
      <c r="N723" s="10" t="str">
        <f t="shared" si="106"/>
        <v/>
      </c>
      <c r="O723" s="2">
        <f t="shared" si="107"/>
        <v>45671</v>
      </c>
      <c r="P723" s="2">
        <v>45667.383437500001</v>
      </c>
      <c r="Q723" s="2">
        <f t="shared" si="108"/>
        <v>45678</v>
      </c>
      <c r="R723" s="2">
        <v>45667.464895833335</v>
      </c>
      <c r="S723">
        <f t="shared" si="109"/>
        <v>0</v>
      </c>
      <c r="T723" s="2">
        <f t="shared" si="110"/>
        <v>45678</v>
      </c>
      <c r="U723" t="str">
        <f t="shared" si="111"/>
        <v>NO PRAZO</v>
      </c>
    </row>
    <row r="724" spans="1:21">
      <c r="A724" s="1">
        <v>19125</v>
      </c>
      <c r="B724" t="s">
        <v>24</v>
      </c>
      <c r="C724" t="s">
        <v>13</v>
      </c>
      <c r="D724" t="s">
        <v>10</v>
      </c>
      <c r="E724" s="1">
        <v>37</v>
      </c>
      <c r="F724" s="1">
        <v>2025</v>
      </c>
      <c r="G724" t="s">
        <v>11</v>
      </c>
      <c r="H724" s="2">
        <v>45666.583807870367</v>
      </c>
      <c r="I724" s="9">
        <f t="shared" si="103"/>
        <v>45667</v>
      </c>
      <c r="J724" s="2" t="str">
        <f t="shared" si="104"/>
        <v/>
      </c>
      <c r="L724" s="2" t="str">
        <f t="shared" si="105"/>
        <v/>
      </c>
      <c r="N724" s="10" t="str">
        <f t="shared" si="106"/>
        <v/>
      </c>
      <c r="O724" s="2">
        <f t="shared" si="107"/>
        <v>45667</v>
      </c>
      <c r="P724" s="2">
        <v>45667.479953703703</v>
      </c>
      <c r="Q724" s="2">
        <f t="shared" si="108"/>
        <v>45670</v>
      </c>
      <c r="R724" s="2">
        <v>45671.440532407411</v>
      </c>
      <c r="S724">
        <f t="shared" si="109"/>
        <v>1</v>
      </c>
      <c r="T724" s="2">
        <f t="shared" si="110"/>
        <v>45670</v>
      </c>
      <c r="U724" t="str">
        <f t="shared" si="111"/>
        <v>ATRASO</v>
      </c>
    </row>
    <row r="725" spans="1:21" hidden="1">
      <c r="A725" s="1">
        <v>19111</v>
      </c>
      <c r="B725" t="s">
        <v>17</v>
      </c>
      <c r="C725" t="s">
        <v>13</v>
      </c>
      <c r="D725" t="s">
        <v>18</v>
      </c>
      <c r="E725" s="1">
        <v>23</v>
      </c>
      <c r="F725" s="1">
        <v>2025</v>
      </c>
      <c r="G725" t="s">
        <v>11</v>
      </c>
      <c r="H725" s="2">
        <v>45664.5003125</v>
      </c>
      <c r="I725" s="9">
        <f t="shared" si="103"/>
        <v>45667</v>
      </c>
      <c r="J725" s="2" t="str">
        <f t="shared" si="104"/>
        <v/>
      </c>
      <c r="L725" s="2" t="str">
        <f t="shared" si="105"/>
        <v/>
      </c>
      <c r="N725" s="10" t="str">
        <f t="shared" si="106"/>
        <v/>
      </c>
      <c r="O725" s="2">
        <f t="shared" si="107"/>
        <v>45667</v>
      </c>
      <c r="P725" s="2">
        <v>45665.416759259257</v>
      </c>
      <c r="Q725" s="2">
        <f t="shared" si="108"/>
        <v>45673</v>
      </c>
      <c r="R725" s="2">
        <v>45665.482465277775</v>
      </c>
      <c r="S725">
        <f t="shared" si="109"/>
        <v>0</v>
      </c>
      <c r="T725" s="2">
        <f t="shared" si="110"/>
        <v>45673</v>
      </c>
      <c r="U725" t="str">
        <f t="shared" si="111"/>
        <v>NO PRAZO</v>
      </c>
    </row>
    <row r="726" spans="1:21" hidden="1">
      <c r="A726" s="1">
        <v>19107</v>
      </c>
      <c r="B726" t="s">
        <v>12</v>
      </c>
      <c r="C726" t="s">
        <v>13</v>
      </c>
      <c r="D726" t="s">
        <v>10</v>
      </c>
      <c r="E726" s="1">
        <v>19</v>
      </c>
      <c r="F726" s="1">
        <v>2025</v>
      </c>
      <c r="G726" t="s">
        <v>11</v>
      </c>
      <c r="H726" s="2">
        <v>45664.477476851855</v>
      </c>
      <c r="I726" s="9">
        <f t="shared" si="103"/>
        <v>45665</v>
      </c>
      <c r="J726" s="2" t="str">
        <f t="shared" si="104"/>
        <v/>
      </c>
      <c r="L726" s="2" t="str">
        <f t="shared" si="105"/>
        <v/>
      </c>
      <c r="N726" s="10" t="str">
        <f t="shared" si="106"/>
        <v/>
      </c>
      <c r="O726" s="2">
        <f t="shared" si="107"/>
        <v>45665</v>
      </c>
      <c r="P726" s="2">
        <v>45664.478865740741</v>
      </c>
      <c r="Q726" s="2">
        <f t="shared" si="108"/>
        <v>45666</v>
      </c>
      <c r="R726" s="2">
        <v>45664.479259259257</v>
      </c>
      <c r="S726">
        <f t="shared" si="109"/>
        <v>0</v>
      </c>
      <c r="T726" s="2">
        <f t="shared" si="110"/>
        <v>45666</v>
      </c>
      <c r="U726" t="str">
        <f t="shared" si="111"/>
        <v>NO PRAZO</v>
      </c>
    </row>
    <row r="727" spans="1:21" hidden="1">
      <c r="A727" s="1">
        <v>19093</v>
      </c>
      <c r="B727" t="s">
        <v>17</v>
      </c>
      <c r="C727" t="s">
        <v>9</v>
      </c>
      <c r="D727" t="s">
        <v>10</v>
      </c>
      <c r="E727" s="1">
        <v>5</v>
      </c>
      <c r="F727" s="1">
        <v>2025</v>
      </c>
      <c r="G727" t="s">
        <v>11</v>
      </c>
      <c r="H727" s="2">
        <v>45660.417581018519</v>
      </c>
      <c r="I727" s="9">
        <f t="shared" si="103"/>
        <v>45663</v>
      </c>
      <c r="J727" s="2" t="str">
        <f t="shared" si="104"/>
        <v/>
      </c>
      <c r="L727" s="2" t="str">
        <f t="shared" si="105"/>
        <v/>
      </c>
      <c r="N727" s="10" t="str">
        <f t="shared" si="106"/>
        <v/>
      </c>
      <c r="O727" s="2">
        <f t="shared" si="107"/>
        <v>45663</v>
      </c>
      <c r="P727" s="2">
        <v>45664.444097222222</v>
      </c>
      <c r="Q727" s="2">
        <f t="shared" si="108"/>
        <v>45664</v>
      </c>
      <c r="R727" s="2">
        <v>45664.468298611115</v>
      </c>
      <c r="S727">
        <f t="shared" si="109"/>
        <v>0</v>
      </c>
      <c r="T727" s="2">
        <f t="shared" si="110"/>
        <v>45664</v>
      </c>
      <c r="U727" t="str">
        <f t="shared" si="111"/>
        <v>NO PRAZO</v>
      </c>
    </row>
    <row r="728" spans="1:21" hidden="1">
      <c r="A728" s="1">
        <v>19089</v>
      </c>
      <c r="B728" t="s">
        <v>17</v>
      </c>
      <c r="C728" t="s">
        <v>13</v>
      </c>
      <c r="D728" t="s">
        <v>18</v>
      </c>
      <c r="E728" s="1">
        <v>1</v>
      </c>
      <c r="F728" s="1">
        <v>2025</v>
      </c>
      <c r="G728" t="s">
        <v>11</v>
      </c>
      <c r="H728" s="2">
        <v>45659.459166666667</v>
      </c>
      <c r="I728" s="9">
        <f t="shared" si="103"/>
        <v>45664</v>
      </c>
      <c r="J728" s="2" t="str">
        <f t="shared" si="104"/>
        <v/>
      </c>
      <c r="L728" s="2" t="str">
        <f t="shared" si="105"/>
        <v/>
      </c>
      <c r="N728" s="10" t="str">
        <f t="shared" si="106"/>
        <v/>
      </c>
      <c r="O728" s="2">
        <f t="shared" si="107"/>
        <v>45664</v>
      </c>
      <c r="P728" s="2">
        <v>45663.47215277778</v>
      </c>
      <c r="Q728" s="2">
        <f t="shared" si="108"/>
        <v>45670</v>
      </c>
      <c r="R728" s="2">
        <v>45663.472997685189</v>
      </c>
      <c r="S728">
        <f t="shared" si="109"/>
        <v>0</v>
      </c>
      <c r="T728" s="2">
        <f t="shared" si="110"/>
        <v>45670</v>
      </c>
      <c r="U728" t="str">
        <f t="shared" si="111"/>
        <v>NO PRAZO</v>
      </c>
    </row>
    <row r="729" spans="1:21" hidden="1">
      <c r="A729" s="1">
        <v>19067</v>
      </c>
      <c r="B729" t="s">
        <v>17</v>
      </c>
      <c r="C729" t="s">
        <v>13</v>
      </c>
      <c r="D729" t="s">
        <v>18</v>
      </c>
      <c r="E729" s="1">
        <v>3254</v>
      </c>
      <c r="F729" s="1">
        <v>2024</v>
      </c>
      <c r="G729" t="s">
        <v>11</v>
      </c>
      <c r="H729" s="2">
        <v>45649.709085648145</v>
      </c>
      <c r="I729" s="9">
        <f t="shared" si="103"/>
        <v>45653</v>
      </c>
      <c r="J729" s="2" t="str">
        <f t="shared" si="104"/>
        <v/>
      </c>
      <c r="L729" s="2" t="str">
        <f t="shared" si="105"/>
        <v/>
      </c>
      <c r="N729" s="10" t="str">
        <f t="shared" si="106"/>
        <v/>
      </c>
      <c r="O729" s="2">
        <f t="shared" si="107"/>
        <v>45653</v>
      </c>
      <c r="P729" s="2">
        <v>45649.781273148146</v>
      </c>
      <c r="Q729" s="2">
        <f t="shared" si="108"/>
        <v>45660</v>
      </c>
      <c r="R729" s="2">
        <v>45652.404097222221</v>
      </c>
      <c r="S729">
        <f t="shared" si="109"/>
        <v>0</v>
      </c>
      <c r="T729" s="2">
        <f t="shared" si="110"/>
        <v>45660</v>
      </c>
      <c r="U729" t="str">
        <f t="shared" si="111"/>
        <v>NO PRAZO</v>
      </c>
    </row>
    <row r="730" spans="1:21">
      <c r="A730" s="1">
        <v>19053</v>
      </c>
      <c r="B730" t="s">
        <v>20</v>
      </c>
      <c r="C730" t="s">
        <v>13</v>
      </c>
      <c r="D730" t="s">
        <v>14</v>
      </c>
      <c r="E730" s="1">
        <v>3240</v>
      </c>
      <c r="F730" s="1">
        <v>2024</v>
      </c>
      <c r="G730" t="s">
        <v>11</v>
      </c>
      <c r="H730" s="2">
        <v>45645.459502314814</v>
      </c>
      <c r="I730" s="9">
        <f t="shared" si="103"/>
        <v>45646</v>
      </c>
      <c r="J730" s="2" t="str">
        <f t="shared" si="104"/>
        <v/>
      </c>
      <c r="L730" s="2" t="str">
        <f t="shared" si="105"/>
        <v/>
      </c>
      <c r="N730" s="10" t="str">
        <f t="shared" si="106"/>
        <v/>
      </c>
      <c r="O730" s="2">
        <f t="shared" si="107"/>
        <v>45646</v>
      </c>
      <c r="P730" s="2">
        <v>45646.399768518517</v>
      </c>
      <c r="Q730" s="2">
        <f t="shared" si="108"/>
        <v>45649</v>
      </c>
      <c r="R730" s="2">
        <v>45673.675428240742</v>
      </c>
      <c r="S730">
        <f t="shared" si="109"/>
        <v>24</v>
      </c>
      <c r="T730" s="2">
        <f t="shared" si="110"/>
        <v>45649</v>
      </c>
      <c r="U730" t="str">
        <f t="shared" si="111"/>
        <v>ATRASO</v>
      </c>
    </row>
    <row r="731" spans="1:21" hidden="1">
      <c r="A731" s="1">
        <v>19051</v>
      </c>
      <c r="B731" t="s">
        <v>22</v>
      </c>
      <c r="C731" t="s">
        <v>13</v>
      </c>
      <c r="D731" t="s">
        <v>18</v>
      </c>
      <c r="E731" s="1">
        <v>3238</v>
      </c>
      <c r="F731" s="1">
        <v>2024</v>
      </c>
      <c r="G731" t="s">
        <v>11</v>
      </c>
      <c r="H731" s="2">
        <v>45644.750972222224</v>
      </c>
      <c r="I731" s="9">
        <f t="shared" si="103"/>
        <v>45649</v>
      </c>
      <c r="J731" s="2" t="str">
        <f t="shared" si="104"/>
        <v/>
      </c>
      <c r="L731" s="2" t="str">
        <f t="shared" si="105"/>
        <v/>
      </c>
      <c r="N731" s="10" t="str">
        <f t="shared" si="106"/>
        <v/>
      </c>
      <c r="O731" s="2">
        <f t="shared" si="107"/>
        <v>45649</v>
      </c>
      <c r="P731" s="2">
        <v>45645.470462962963</v>
      </c>
      <c r="Q731" s="2">
        <f t="shared" si="108"/>
        <v>45656</v>
      </c>
      <c r="R731" s="2">
        <v>45649.669189814813</v>
      </c>
      <c r="S731">
        <f t="shared" si="109"/>
        <v>0</v>
      </c>
      <c r="T731" s="2">
        <f t="shared" si="110"/>
        <v>45656</v>
      </c>
      <c r="U731" t="str">
        <f t="shared" si="111"/>
        <v>NO PRAZO</v>
      </c>
    </row>
    <row r="732" spans="1:21" hidden="1">
      <c r="A732" s="1">
        <v>19044</v>
      </c>
      <c r="B732" t="s">
        <v>19</v>
      </c>
      <c r="C732" t="s">
        <v>13</v>
      </c>
      <c r="D732" t="s">
        <v>18</v>
      </c>
      <c r="E732" s="1">
        <v>3231</v>
      </c>
      <c r="F732" s="1">
        <v>2024</v>
      </c>
      <c r="G732" t="s">
        <v>11</v>
      </c>
      <c r="H732" s="2">
        <v>45644.584305555552</v>
      </c>
      <c r="I732" s="9">
        <f t="shared" si="103"/>
        <v>45649</v>
      </c>
      <c r="J732" s="2" t="str">
        <f t="shared" si="104"/>
        <v/>
      </c>
      <c r="L732" s="2" t="str">
        <f t="shared" si="105"/>
        <v/>
      </c>
      <c r="N732" s="10" t="str">
        <f t="shared" si="106"/>
        <v/>
      </c>
      <c r="O732" s="2">
        <f t="shared" si="107"/>
        <v>45649</v>
      </c>
      <c r="P732" s="2">
        <v>45649.466574074075</v>
      </c>
      <c r="Q732" s="2">
        <f t="shared" si="108"/>
        <v>45656</v>
      </c>
      <c r="R732" s="2">
        <v>45649.466747685183</v>
      </c>
      <c r="S732">
        <f t="shared" si="109"/>
        <v>0</v>
      </c>
      <c r="T732" s="2">
        <f t="shared" si="110"/>
        <v>45656</v>
      </c>
      <c r="U732" t="str">
        <f t="shared" si="111"/>
        <v>NO PRAZO</v>
      </c>
    </row>
    <row r="733" spans="1:21" hidden="1">
      <c r="A733" s="1">
        <v>19043</v>
      </c>
      <c r="B733" t="s">
        <v>17</v>
      </c>
      <c r="C733" t="s">
        <v>13</v>
      </c>
      <c r="D733" t="s">
        <v>18</v>
      </c>
      <c r="E733" s="1">
        <v>3230</v>
      </c>
      <c r="F733" s="1">
        <v>2024</v>
      </c>
      <c r="G733" t="s">
        <v>11</v>
      </c>
      <c r="H733" s="2">
        <v>45644.584305555552</v>
      </c>
      <c r="I733" s="9">
        <f t="shared" si="103"/>
        <v>45649</v>
      </c>
      <c r="J733" s="2" t="str">
        <f t="shared" si="104"/>
        <v/>
      </c>
      <c r="L733" s="2" t="str">
        <f t="shared" si="105"/>
        <v/>
      </c>
      <c r="N733" s="10" t="str">
        <f t="shared" si="106"/>
        <v/>
      </c>
      <c r="O733" s="2">
        <f t="shared" si="107"/>
        <v>45649</v>
      </c>
      <c r="P733" s="2">
        <v>45645.71769675926</v>
      </c>
      <c r="Q733" s="2">
        <f t="shared" si="108"/>
        <v>45656</v>
      </c>
      <c r="R733" s="2">
        <v>45645.717916666668</v>
      </c>
      <c r="S733">
        <f t="shared" si="109"/>
        <v>0</v>
      </c>
      <c r="T733" s="2">
        <f t="shared" si="110"/>
        <v>45656</v>
      </c>
      <c r="U733" t="str">
        <f t="shared" si="111"/>
        <v>NO PRAZO</v>
      </c>
    </row>
    <row r="734" spans="1:21" hidden="1">
      <c r="A734" s="1">
        <v>19042</v>
      </c>
      <c r="B734" t="s">
        <v>17</v>
      </c>
      <c r="C734" t="s">
        <v>13</v>
      </c>
      <c r="D734" t="s">
        <v>18</v>
      </c>
      <c r="E734" s="1">
        <v>3229</v>
      </c>
      <c r="F734" s="1">
        <v>2024</v>
      </c>
      <c r="G734" t="s">
        <v>11</v>
      </c>
      <c r="H734" s="2">
        <v>45644.584305555552</v>
      </c>
      <c r="I734" s="9">
        <f t="shared" si="103"/>
        <v>45649</v>
      </c>
      <c r="J734" s="2" t="str">
        <f t="shared" si="104"/>
        <v/>
      </c>
      <c r="L734" s="2" t="str">
        <f t="shared" si="105"/>
        <v/>
      </c>
      <c r="N734" s="10" t="str">
        <f t="shared" si="106"/>
        <v/>
      </c>
      <c r="O734" s="2">
        <f t="shared" si="107"/>
        <v>45649</v>
      </c>
      <c r="P734" s="2">
        <v>45646.614039351851</v>
      </c>
      <c r="Q734" s="2">
        <f t="shared" si="108"/>
        <v>45656</v>
      </c>
      <c r="R734" s="2">
        <v>45646.615370370368</v>
      </c>
      <c r="S734">
        <f t="shared" si="109"/>
        <v>0</v>
      </c>
      <c r="T734" s="2">
        <f t="shared" si="110"/>
        <v>45656</v>
      </c>
      <c r="U734" t="str">
        <f t="shared" si="111"/>
        <v>NO PRAZO</v>
      </c>
    </row>
    <row r="735" spans="1:21" hidden="1">
      <c r="A735" s="1">
        <v>19041</v>
      </c>
      <c r="B735" t="s">
        <v>17</v>
      </c>
      <c r="C735" t="s">
        <v>13</v>
      </c>
      <c r="D735" t="s">
        <v>18</v>
      </c>
      <c r="E735" s="1">
        <v>3228</v>
      </c>
      <c r="F735" s="1">
        <v>2024</v>
      </c>
      <c r="G735" t="s">
        <v>11</v>
      </c>
      <c r="H735" s="2">
        <v>45644.584305555552</v>
      </c>
      <c r="I735" s="9">
        <f t="shared" si="103"/>
        <v>45649</v>
      </c>
      <c r="J735" s="2" t="str">
        <f t="shared" si="104"/>
        <v/>
      </c>
      <c r="L735" s="2" t="str">
        <f t="shared" si="105"/>
        <v/>
      </c>
      <c r="N735" s="10" t="str">
        <f t="shared" si="106"/>
        <v/>
      </c>
      <c r="O735" s="2">
        <f t="shared" si="107"/>
        <v>45649</v>
      </c>
      <c r="P735" s="2">
        <v>45646.463842592595</v>
      </c>
      <c r="Q735" s="2">
        <f t="shared" si="108"/>
        <v>45656</v>
      </c>
      <c r="R735" s="2">
        <v>45646.464629629627</v>
      </c>
      <c r="S735">
        <f t="shared" si="109"/>
        <v>0</v>
      </c>
      <c r="T735" s="2">
        <f t="shared" si="110"/>
        <v>45656</v>
      </c>
      <c r="U735" t="str">
        <f t="shared" si="111"/>
        <v>NO PRAZO</v>
      </c>
    </row>
    <row r="736" spans="1:21" hidden="1">
      <c r="A736" s="1">
        <v>19036</v>
      </c>
      <c r="B736" t="s">
        <v>17</v>
      </c>
      <c r="C736" t="s">
        <v>13</v>
      </c>
      <c r="D736" t="s">
        <v>21</v>
      </c>
      <c r="E736" s="1">
        <v>3223</v>
      </c>
      <c r="F736" s="1">
        <v>2024</v>
      </c>
      <c r="G736" t="s">
        <v>11</v>
      </c>
      <c r="H736" s="2">
        <v>45644.437025462961</v>
      </c>
      <c r="I736" s="9">
        <f t="shared" si="103"/>
        <v>45649</v>
      </c>
      <c r="J736" s="2" t="str">
        <f t="shared" si="104"/>
        <v/>
      </c>
      <c r="L736" s="2" t="str">
        <f t="shared" si="105"/>
        <v/>
      </c>
      <c r="N736" s="10" t="str">
        <f t="shared" si="106"/>
        <v/>
      </c>
      <c r="O736" s="2">
        <f t="shared" si="107"/>
        <v>45649</v>
      </c>
      <c r="P736" s="2">
        <v>45644.729953703703</v>
      </c>
      <c r="Q736" s="2">
        <f t="shared" si="108"/>
        <v>45679</v>
      </c>
      <c r="R736" s="2">
        <v>45646.743171296293</v>
      </c>
      <c r="S736">
        <f t="shared" si="109"/>
        <v>0</v>
      </c>
      <c r="T736" s="2">
        <f t="shared" si="110"/>
        <v>45679</v>
      </c>
      <c r="U736" t="str">
        <f t="shared" si="111"/>
        <v>NO PRAZO</v>
      </c>
    </row>
    <row r="737" spans="1:21" hidden="1">
      <c r="A737" s="1">
        <v>19034</v>
      </c>
      <c r="B737" t="s">
        <v>24</v>
      </c>
      <c r="C737" t="s">
        <v>13</v>
      </c>
      <c r="D737" t="s">
        <v>18</v>
      </c>
      <c r="E737" s="1">
        <v>3221</v>
      </c>
      <c r="F737" s="1">
        <v>2024</v>
      </c>
      <c r="G737" t="s">
        <v>11</v>
      </c>
      <c r="H737" s="2">
        <v>45643.625868055555</v>
      </c>
      <c r="I737" s="9">
        <f t="shared" si="103"/>
        <v>45646</v>
      </c>
      <c r="J737" s="2" t="str">
        <f t="shared" si="104"/>
        <v/>
      </c>
      <c r="L737" s="2" t="str">
        <f t="shared" si="105"/>
        <v/>
      </c>
      <c r="N737" s="10" t="str">
        <f t="shared" si="106"/>
        <v/>
      </c>
      <c r="O737" s="2">
        <f t="shared" si="107"/>
        <v>45646</v>
      </c>
      <c r="P737" s="2">
        <v>45644.428819444445</v>
      </c>
      <c r="Q737" s="2">
        <f t="shared" si="108"/>
        <v>45653</v>
      </c>
      <c r="R737" s="2">
        <v>45644.429479166669</v>
      </c>
      <c r="S737">
        <f t="shared" si="109"/>
        <v>0</v>
      </c>
      <c r="T737" s="2">
        <f t="shared" si="110"/>
        <v>45653</v>
      </c>
      <c r="U737" t="str">
        <f t="shared" si="111"/>
        <v>NO PRAZO</v>
      </c>
    </row>
    <row r="738" spans="1:21" hidden="1">
      <c r="A738" s="1">
        <v>19032</v>
      </c>
      <c r="B738" t="s">
        <v>8</v>
      </c>
      <c r="C738" t="s">
        <v>9</v>
      </c>
      <c r="D738" t="s">
        <v>16</v>
      </c>
      <c r="E738" s="1">
        <v>3219</v>
      </c>
      <c r="F738" s="1">
        <v>2024</v>
      </c>
      <c r="G738" t="s">
        <v>11</v>
      </c>
      <c r="H738" s="2">
        <v>45643.614768518521</v>
      </c>
      <c r="I738" s="9">
        <f t="shared" si="103"/>
        <v>45644</v>
      </c>
      <c r="J738" s="2" t="str">
        <f t="shared" si="104"/>
        <v/>
      </c>
      <c r="L738" s="2" t="str">
        <f t="shared" si="105"/>
        <v/>
      </c>
      <c r="N738" s="10" t="str">
        <f t="shared" si="106"/>
        <v/>
      </c>
      <c r="O738" s="2">
        <f t="shared" si="107"/>
        <v>45644</v>
      </c>
      <c r="P738" s="2">
        <v>45646.364050925928</v>
      </c>
      <c r="Q738" s="2">
        <f t="shared" si="108"/>
        <v>45650</v>
      </c>
      <c r="R738" s="2">
        <v>45646.741064814814</v>
      </c>
      <c r="S738">
        <f t="shared" si="109"/>
        <v>0</v>
      </c>
      <c r="T738" s="2">
        <f t="shared" si="110"/>
        <v>45650</v>
      </c>
      <c r="U738" t="str">
        <f t="shared" si="111"/>
        <v>NO PRAZO</v>
      </c>
    </row>
    <row r="739" spans="1:21" hidden="1">
      <c r="A739" s="1">
        <v>18996</v>
      </c>
      <c r="B739" t="s">
        <v>24</v>
      </c>
      <c r="C739" t="s">
        <v>13</v>
      </c>
      <c r="D739" t="s">
        <v>18</v>
      </c>
      <c r="E739" s="1">
        <v>3183</v>
      </c>
      <c r="F739" s="1">
        <v>2024</v>
      </c>
      <c r="G739" t="s">
        <v>11</v>
      </c>
      <c r="H739" s="2">
        <v>45637.500185185185</v>
      </c>
      <c r="I739" s="9">
        <f t="shared" si="103"/>
        <v>45642</v>
      </c>
      <c r="J739" s="2" t="str">
        <f t="shared" si="104"/>
        <v/>
      </c>
      <c r="L739" s="2" t="str">
        <f t="shared" si="105"/>
        <v/>
      </c>
      <c r="N739" s="10" t="str">
        <f t="shared" si="106"/>
        <v/>
      </c>
      <c r="O739" s="2">
        <f t="shared" si="107"/>
        <v>45642</v>
      </c>
      <c r="P739" s="2">
        <v>45637.702511574076</v>
      </c>
      <c r="Q739" s="2">
        <f t="shared" si="108"/>
        <v>45646</v>
      </c>
      <c r="R739" s="2">
        <v>45637.744768518518</v>
      </c>
      <c r="S739">
        <f t="shared" si="109"/>
        <v>0</v>
      </c>
      <c r="T739" s="2">
        <f t="shared" si="110"/>
        <v>45646</v>
      </c>
      <c r="U739" t="str">
        <f t="shared" si="111"/>
        <v>NO PRAZO</v>
      </c>
    </row>
    <row r="740" spans="1:21" hidden="1">
      <c r="A740" s="1">
        <v>18988</v>
      </c>
      <c r="B740" t="s">
        <v>17</v>
      </c>
      <c r="C740" t="s">
        <v>9</v>
      </c>
      <c r="D740" t="s">
        <v>16</v>
      </c>
      <c r="E740" s="1">
        <v>3175</v>
      </c>
      <c r="F740" s="1">
        <v>2024</v>
      </c>
      <c r="G740" t="s">
        <v>11</v>
      </c>
      <c r="H740" s="2">
        <v>45636.583634259259</v>
      </c>
      <c r="I740" s="9">
        <f t="shared" si="103"/>
        <v>45637</v>
      </c>
      <c r="J740" s="2" t="str">
        <f t="shared" si="104"/>
        <v/>
      </c>
      <c r="L740" s="2" t="str">
        <f t="shared" si="105"/>
        <v/>
      </c>
      <c r="N740" s="10" t="str">
        <f t="shared" si="106"/>
        <v/>
      </c>
      <c r="O740" s="2">
        <f t="shared" si="107"/>
        <v>45637</v>
      </c>
      <c r="P740" s="2">
        <v>45637.69494212963</v>
      </c>
      <c r="Q740" s="2">
        <f t="shared" si="108"/>
        <v>45643</v>
      </c>
      <c r="R740" s="2">
        <v>45639.47488425926</v>
      </c>
      <c r="S740">
        <f t="shared" si="109"/>
        <v>0</v>
      </c>
      <c r="T740" s="2">
        <f t="shared" si="110"/>
        <v>45643</v>
      </c>
      <c r="U740" t="str">
        <f t="shared" si="111"/>
        <v>NO PRAZO</v>
      </c>
    </row>
    <row r="741" spans="1:21" hidden="1">
      <c r="A741" s="1">
        <v>18987</v>
      </c>
      <c r="B741" t="s">
        <v>20</v>
      </c>
      <c r="C741" t="s">
        <v>13</v>
      </c>
      <c r="D741" t="s">
        <v>18</v>
      </c>
      <c r="E741" s="1">
        <v>3174</v>
      </c>
      <c r="F741" s="1">
        <v>2024</v>
      </c>
      <c r="G741" t="s">
        <v>11</v>
      </c>
      <c r="H741" s="2">
        <v>45636.583634259259</v>
      </c>
      <c r="I741" s="9">
        <f t="shared" si="103"/>
        <v>45639</v>
      </c>
      <c r="J741" s="2" t="str">
        <f t="shared" si="104"/>
        <v/>
      </c>
      <c r="L741" s="2" t="str">
        <f t="shared" si="105"/>
        <v/>
      </c>
      <c r="N741" s="10" t="str">
        <f t="shared" si="106"/>
        <v/>
      </c>
      <c r="O741" s="2">
        <f t="shared" si="107"/>
        <v>45639</v>
      </c>
      <c r="P741" s="2">
        <v>45637.467557870368</v>
      </c>
      <c r="Q741" s="2">
        <f t="shared" si="108"/>
        <v>45645</v>
      </c>
      <c r="R741" s="2">
        <v>45639.377754629626</v>
      </c>
      <c r="S741">
        <f t="shared" si="109"/>
        <v>0</v>
      </c>
      <c r="T741" s="2">
        <f t="shared" si="110"/>
        <v>45645</v>
      </c>
      <c r="U741" t="str">
        <f t="shared" si="111"/>
        <v>NO PRAZO</v>
      </c>
    </row>
    <row r="742" spans="1:21" hidden="1">
      <c r="A742" s="1">
        <v>18986</v>
      </c>
      <c r="B742" t="s">
        <v>17</v>
      </c>
      <c r="C742" t="s">
        <v>13</v>
      </c>
      <c r="D742" t="s">
        <v>18</v>
      </c>
      <c r="E742" s="1">
        <v>3173</v>
      </c>
      <c r="F742" s="1">
        <v>2024</v>
      </c>
      <c r="G742" t="s">
        <v>11</v>
      </c>
      <c r="H742" s="2">
        <v>45636.500324074077</v>
      </c>
      <c r="I742" s="9">
        <f t="shared" si="103"/>
        <v>45639</v>
      </c>
      <c r="J742" s="2" t="str">
        <f t="shared" si="104"/>
        <v/>
      </c>
      <c r="L742" s="2" t="str">
        <f t="shared" si="105"/>
        <v/>
      </c>
      <c r="N742" s="10" t="str">
        <f t="shared" si="106"/>
        <v/>
      </c>
      <c r="O742" s="2">
        <f t="shared" si="107"/>
        <v>45639</v>
      </c>
      <c r="P742" s="2">
        <v>45642.5153587963</v>
      </c>
      <c r="Q742" s="2">
        <f t="shared" si="108"/>
        <v>45645</v>
      </c>
      <c r="R742" s="2">
        <v>45642.516388888886</v>
      </c>
      <c r="S742">
        <f t="shared" si="109"/>
        <v>0</v>
      </c>
      <c r="T742" s="2">
        <f t="shared" si="110"/>
        <v>45645</v>
      </c>
      <c r="U742" t="str">
        <f t="shared" si="111"/>
        <v>NO PRAZO</v>
      </c>
    </row>
    <row r="743" spans="1:21" hidden="1">
      <c r="A743" s="1">
        <v>18983</v>
      </c>
      <c r="B743" t="s">
        <v>12</v>
      </c>
      <c r="C743" t="s">
        <v>13</v>
      </c>
      <c r="D743" t="s">
        <v>16</v>
      </c>
      <c r="E743" s="1">
        <v>3170</v>
      </c>
      <c r="F743" s="1">
        <v>2024</v>
      </c>
      <c r="G743" t="s">
        <v>11</v>
      </c>
      <c r="H743" s="2">
        <v>45635.708483796298</v>
      </c>
      <c r="I743" s="9">
        <f t="shared" si="103"/>
        <v>45636</v>
      </c>
      <c r="J743" s="2" t="str">
        <f t="shared" si="104"/>
        <v/>
      </c>
      <c r="L743" s="2" t="str">
        <f t="shared" si="105"/>
        <v/>
      </c>
      <c r="N743" s="10" t="str">
        <f t="shared" si="106"/>
        <v/>
      </c>
      <c r="O743" s="2">
        <f t="shared" si="107"/>
        <v>45636</v>
      </c>
      <c r="P743" s="2">
        <v>45636.615370370368</v>
      </c>
      <c r="Q743" s="2">
        <f t="shared" si="108"/>
        <v>45642</v>
      </c>
      <c r="R743" s="2">
        <v>45636.706689814811</v>
      </c>
      <c r="S743">
        <f t="shared" si="109"/>
        <v>0</v>
      </c>
      <c r="T743" s="2">
        <f t="shared" si="110"/>
        <v>45642</v>
      </c>
      <c r="U743" t="str">
        <f t="shared" si="111"/>
        <v>NO PRAZO</v>
      </c>
    </row>
    <row r="744" spans="1:21" hidden="1">
      <c r="A744" s="1">
        <v>18981</v>
      </c>
      <c r="B744" t="s">
        <v>22</v>
      </c>
      <c r="C744" t="s">
        <v>13</v>
      </c>
      <c r="D744" t="s">
        <v>14</v>
      </c>
      <c r="E744" s="1">
        <v>3168</v>
      </c>
      <c r="F744" s="1">
        <v>2024</v>
      </c>
      <c r="G744" t="s">
        <v>11</v>
      </c>
      <c r="H744" s="2">
        <v>45635.625474537039</v>
      </c>
      <c r="I744" s="9">
        <f t="shared" si="103"/>
        <v>45636</v>
      </c>
      <c r="J744" s="2" t="str">
        <f t="shared" si="104"/>
        <v/>
      </c>
      <c r="L744" s="2" t="str">
        <f t="shared" si="105"/>
        <v/>
      </c>
      <c r="N744" s="10" t="str">
        <f t="shared" si="106"/>
        <v/>
      </c>
      <c r="O744" s="2">
        <f t="shared" si="107"/>
        <v>45636</v>
      </c>
      <c r="P744" s="2">
        <v>45637.683969907404</v>
      </c>
      <c r="Q744" s="2">
        <f t="shared" si="108"/>
        <v>45637</v>
      </c>
      <c r="R744" s="2">
        <v>45637.685810185183</v>
      </c>
      <c r="S744">
        <f t="shared" si="109"/>
        <v>0</v>
      </c>
      <c r="T744" s="2">
        <f t="shared" si="110"/>
        <v>45637</v>
      </c>
      <c r="U744" t="str">
        <f t="shared" si="111"/>
        <v>NO PRAZO</v>
      </c>
    </row>
    <row r="745" spans="1:21" hidden="1">
      <c r="A745" s="1">
        <v>18977</v>
      </c>
      <c r="B745" t="s">
        <v>20</v>
      </c>
      <c r="C745" t="s">
        <v>13</v>
      </c>
      <c r="D745" t="s">
        <v>18</v>
      </c>
      <c r="E745" s="1">
        <v>3164</v>
      </c>
      <c r="F745" s="1">
        <v>2024</v>
      </c>
      <c r="G745" t="s">
        <v>11</v>
      </c>
      <c r="H745" s="2">
        <v>45632.793402777781</v>
      </c>
      <c r="I745" s="9">
        <f t="shared" si="103"/>
        <v>45637</v>
      </c>
      <c r="J745" s="2" t="str">
        <f t="shared" si="104"/>
        <v/>
      </c>
      <c r="L745" s="2" t="str">
        <f t="shared" si="105"/>
        <v/>
      </c>
      <c r="N745" s="10" t="str">
        <f t="shared" si="106"/>
        <v/>
      </c>
      <c r="O745" s="2">
        <f t="shared" si="107"/>
        <v>45637</v>
      </c>
      <c r="P745" s="2">
        <v>45637.361296296294</v>
      </c>
      <c r="Q745" s="2">
        <f t="shared" si="108"/>
        <v>45643</v>
      </c>
      <c r="R745" s="2">
        <v>45638.812673611108</v>
      </c>
      <c r="S745">
        <f t="shared" si="109"/>
        <v>0</v>
      </c>
      <c r="T745" s="2">
        <f t="shared" si="110"/>
        <v>45643</v>
      </c>
      <c r="U745" t="str">
        <f t="shared" si="111"/>
        <v>NO PRAZO</v>
      </c>
    </row>
    <row r="746" spans="1:21" hidden="1">
      <c r="A746" s="1">
        <v>18967</v>
      </c>
      <c r="B746" t="s">
        <v>17</v>
      </c>
      <c r="C746" t="s">
        <v>9</v>
      </c>
      <c r="D746" t="s">
        <v>16</v>
      </c>
      <c r="E746" s="1">
        <v>3154</v>
      </c>
      <c r="F746" s="1">
        <v>2024</v>
      </c>
      <c r="G746" t="s">
        <v>11</v>
      </c>
      <c r="H746" s="2">
        <v>45631.709085648145</v>
      </c>
      <c r="I746" s="9">
        <f t="shared" si="103"/>
        <v>45632</v>
      </c>
      <c r="J746" s="2" t="str">
        <f t="shared" si="104"/>
        <v/>
      </c>
      <c r="L746" s="2" t="str">
        <f t="shared" si="105"/>
        <v/>
      </c>
      <c r="N746" s="10" t="str">
        <f t="shared" si="106"/>
        <v/>
      </c>
      <c r="O746" s="2">
        <f t="shared" si="107"/>
        <v>45632</v>
      </c>
      <c r="P746" s="2">
        <v>45632.850266203706</v>
      </c>
      <c r="Q746" s="2">
        <f t="shared" si="108"/>
        <v>45638</v>
      </c>
      <c r="R746" s="2">
        <v>45637.693981481483</v>
      </c>
      <c r="S746">
        <f t="shared" si="109"/>
        <v>0</v>
      </c>
      <c r="T746" s="2">
        <f t="shared" si="110"/>
        <v>45638</v>
      </c>
      <c r="U746" t="str">
        <f t="shared" si="111"/>
        <v>NO PRAZO</v>
      </c>
    </row>
    <row r="747" spans="1:21" hidden="1">
      <c r="A747" s="1">
        <v>18948</v>
      </c>
      <c r="B747" t="s">
        <v>17</v>
      </c>
      <c r="C747" t="s">
        <v>9</v>
      </c>
      <c r="D747" t="s">
        <v>16</v>
      </c>
      <c r="E747" s="1">
        <v>3135</v>
      </c>
      <c r="F747" s="1">
        <v>2024</v>
      </c>
      <c r="G747" t="s">
        <v>11</v>
      </c>
      <c r="H747" s="2">
        <v>45630.58421296296</v>
      </c>
      <c r="I747" s="9">
        <f t="shared" si="103"/>
        <v>45631</v>
      </c>
      <c r="J747" s="2" t="str">
        <f t="shared" si="104"/>
        <v/>
      </c>
      <c r="L747" s="2" t="str">
        <f t="shared" si="105"/>
        <v/>
      </c>
      <c r="N747" s="10" t="str">
        <f t="shared" si="106"/>
        <v/>
      </c>
      <c r="O747" s="2">
        <f t="shared" si="107"/>
        <v>45631</v>
      </c>
      <c r="P747" s="2">
        <v>45632.503067129626</v>
      </c>
      <c r="Q747" s="2">
        <f t="shared" si="108"/>
        <v>45637</v>
      </c>
      <c r="R747" s="2">
        <v>45632.849236111113</v>
      </c>
      <c r="S747">
        <f t="shared" si="109"/>
        <v>0</v>
      </c>
      <c r="T747" s="2">
        <f t="shared" si="110"/>
        <v>45637</v>
      </c>
      <c r="U747" t="str">
        <f t="shared" si="111"/>
        <v>NO PRAZO</v>
      </c>
    </row>
    <row r="748" spans="1:21" hidden="1">
      <c r="A748" s="1">
        <v>18945</v>
      </c>
      <c r="B748" t="s">
        <v>20</v>
      </c>
      <c r="C748" t="s">
        <v>13</v>
      </c>
      <c r="D748" t="s">
        <v>14</v>
      </c>
      <c r="E748" s="1">
        <v>3132</v>
      </c>
      <c r="F748" s="1">
        <v>2024</v>
      </c>
      <c r="G748" t="s">
        <v>11</v>
      </c>
      <c r="H748" s="2">
        <v>45630.459236111114</v>
      </c>
      <c r="I748" s="9">
        <f t="shared" si="103"/>
        <v>45631</v>
      </c>
      <c r="J748" s="2" t="str">
        <f t="shared" si="104"/>
        <v/>
      </c>
      <c r="L748" s="2" t="str">
        <f t="shared" si="105"/>
        <v/>
      </c>
      <c r="N748" s="10" t="str">
        <f t="shared" si="106"/>
        <v/>
      </c>
      <c r="O748" s="2">
        <f t="shared" si="107"/>
        <v>45631</v>
      </c>
      <c r="P748" s="2">
        <v>45631.474016203705</v>
      </c>
      <c r="Q748" s="2">
        <f t="shared" si="108"/>
        <v>45632</v>
      </c>
      <c r="R748" s="2">
        <v>45632.609166666669</v>
      </c>
      <c r="S748">
        <f t="shared" si="109"/>
        <v>0</v>
      </c>
      <c r="T748" s="2">
        <f t="shared" si="110"/>
        <v>45632</v>
      </c>
      <c r="U748" t="str">
        <f t="shared" si="111"/>
        <v>NO PRAZO</v>
      </c>
    </row>
    <row r="749" spans="1:21" hidden="1">
      <c r="A749" s="1">
        <v>18922</v>
      </c>
      <c r="B749" t="s">
        <v>8</v>
      </c>
      <c r="C749" t="s">
        <v>13</v>
      </c>
      <c r="D749" t="s">
        <v>16</v>
      </c>
      <c r="E749" s="1">
        <v>3109</v>
      </c>
      <c r="F749" s="1">
        <v>2024</v>
      </c>
      <c r="G749" t="s">
        <v>11</v>
      </c>
      <c r="H749" s="2">
        <v>45625.503703703704</v>
      </c>
      <c r="I749" s="9">
        <f t="shared" si="103"/>
        <v>45628</v>
      </c>
      <c r="J749" s="2" t="str">
        <f t="shared" si="104"/>
        <v/>
      </c>
      <c r="L749" s="2" t="str">
        <f t="shared" si="105"/>
        <v/>
      </c>
      <c r="N749" s="10" t="str">
        <f t="shared" si="106"/>
        <v/>
      </c>
      <c r="O749" s="2">
        <f t="shared" si="107"/>
        <v>45628</v>
      </c>
      <c r="P749" s="2">
        <v>45625.505590277775</v>
      </c>
      <c r="Q749" s="2">
        <f t="shared" si="108"/>
        <v>45632</v>
      </c>
      <c r="R749" s="2">
        <v>45625.507002314815</v>
      </c>
      <c r="S749">
        <f t="shared" si="109"/>
        <v>0</v>
      </c>
      <c r="T749" s="2">
        <f t="shared" si="110"/>
        <v>45632</v>
      </c>
      <c r="U749" t="str">
        <f t="shared" si="111"/>
        <v>NO PRAZO</v>
      </c>
    </row>
    <row r="750" spans="1:21" hidden="1">
      <c r="A750" s="1">
        <v>18913</v>
      </c>
      <c r="B750" t="s">
        <v>8</v>
      </c>
      <c r="C750" t="s">
        <v>13</v>
      </c>
      <c r="D750" t="s">
        <v>18</v>
      </c>
      <c r="E750" s="1">
        <v>3100</v>
      </c>
      <c r="F750" s="1">
        <v>2024</v>
      </c>
      <c r="G750" t="s">
        <v>11</v>
      </c>
      <c r="H750" s="2">
        <v>45624.58357638889</v>
      </c>
      <c r="I750" s="9">
        <f t="shared" si="103"/>
        <v>45629</v>
      </c>
      <c r="J750" s="2" t="str">
        <f t="shared" si="104"/>
        <v/>
      </c>
      <c r="L750" s="2" t="str">
        <f t="shared" si="105"/>
        <v/>
      </c>
      <c r="N750" s="10" t="str">
        <f t="shared" si="106"/>
        <v/>
      </c>
      <c r="O750" s="2">
        <f t="shared" si="107"/>
        <v>45629</v>
      </c>
      <c r="P750" s="2">
        <v>45629.438703703701</v>
      </c>
      <c r="Q750" s="2">
        <f t="shared" si="108"/>
        <v>45635</v>
      </c>
      <c r="R750" s="2">
        <v>45630.438993055555</v>
      </c>
      <c r="S750">
        <f t="shared" si="109"/>
        <v>0</v>
      </c>
      <c r="T750" s="2">
        <f t="shared" si="110"/>
        <v>45635</v>
      </c>
      <c r="U750" t="str">
        <f t="shared" si="111"/>
        <v>NO PRAZO</v>
      </c>
    </row>
    <row r="751" spans="1:21" hidden="1">
      <c r="A751" s="1">
        <v>18907</v>
      </c>
      <c r="B751" t="s">
        <v>19</v>
      </c>
      <c r="C751" t="s">
        <v>13</v>
      </c>
      <c r="D751" t="s">
        <v>18</v>
      </c>
      <c r="E751" s="1">
        <v>3094</v>
      </c>
      <c r="F751" s="1">
        <v>2024</v>
      </c>
      <c r="G751" t="s">
        <v>11</v>
      </c>
      <c r="H751" s="2">
        <v>45623.625219907408</v>
      </c>
      <c r="I751" s="9">
        <f t="shared" si="103"/>
        <v>45628</v>
      </c>
      <c r="J751" s="2" t="str">
        <f t="shared" si="104"/>
        <v/>
      </c>
      <c r="L751" s="2" t="str">
        <f t="shared" si="105"/>
        <v/>
      </c>
      <c r="N751" s="10" t="str">
        <f t="shared" si="106"/>
        <v/>
      </c>
      <c r="O751" s="2">
        <f t="shared" si="107"/>
        <v>45628</v>
      </c>
      <c r="P751" s="2">
        <v>45624.690532407411</v>
      </c>
      <c r="Q751" s="2">
        <f t="shared" si="108"/>
        <v>45632</v>
      </c>
      <c r="R751" s="2">
        <v>45625.439733796295</v>
      </c>
      <c r="S751">
        <f t="shared" si="109"/>
        <v>0</v>
      </c>
      <c r="T751" s="2">
        <f t="shared" si="110"/>
        <v>45632</v>
      </c>
      <c r="U751" t="str">
        <f t="shared" si="111"/>
        <v>NO PRAZO</v>
      </c>
    </row>
    <row r="752" spans="1:21" hidden="1">
      <c r="A752" s="1">
        <v>18899</v>
      </c>
      <c r="B752" t="s">
        <v>19</v>
      </c>
      <c r="C752" t="s">
        <v>13</v>
      </c>
      <c r="D752" t="s">
        <v>18</v>
      </c>
      <c r="E752" s="1">
        <v>3086</v>
      </c>
      <c r="F752" s="1">
        <v>2024</v>
      </c>
      <c r="G752" t="s">
        <v>11</v>
      </c>
      <c r="H752" s="2">
        <v>45622.750219907408</v>
      </c>
      <c r="I752" s="9">
        <f t="shared" si="103"/>
        <v>45625</v>
      </c>
      <c r="J752" s="2" t="str">
        <f t="shared" si="104"/>
        <v/>
      </c>
      <c r="L752" s="2" t="str">
        <f t="shared" si="105"/>
        <v/>
      </c>
      <c r="N752" s="10" t="str">
        <f t="shared" si="106"/>
        <v/>
      </c>
      <c r="O752" s="2">
        <f t="shared" si="107"/>
        <v>45625</v>
      </c>
      <c r="P752" s="2">
        <v>45623.719918981478</v>
      </c>
      <c r="Q752" s="2">
        <f t="shared" si="108"/>
        <v>45631</v>
      </c>
      <c r="R752" s="2">
        <v>45623.72016203704</v>
      </c>
      <c r="S752">
        <f t="shared" si="109"/>
        <v>0</v>
      </c>
      <c r="T752" s="2">
        <f t="shared" si="110"/>
        <v>45631</v>
      </c>
      <c r="U752" t="str">
        <f t="shared" si="111"/>
        <v>NO PRAZO</v>
      </c>
    </row>
    <row r="753" spans="1:21" hidden="1">
      <c r="A753" s="1">
        <v>18888</v>
      </c>
      <c r="B753" t="s">
        <v>20</v>
      </c>
      <c r="C753" t="s">
        <v>13</v>
      </c>
      <c r="D753" t="s">
        <v>14</v>
      </c>
      <c r="E753" s="1">
        <v>3075</v>
      </c>
      <c r="F753" s="1">
        <v>2024</v>
      </c>
      <c r="G753" t="s">
        <v>11</v>
      </c>
      <c r="H753" s="2">
        <v>45618.750925925924</v>
      </c>
      <c r="I753" s="9">
        <f t="shared" si="103"/>
        <v>45621</v>
      </c>
      <c r="J753" s="2" t="str">
        <f t="shared" si="104"/>
        <v/>
      </c>
      <c r="L753" s="2" t="str">
        <f t="shared" si="105"/>
        <v/>
      </c>
      <c r="N753" s="10" t="str">
        <f t="shared" si="106"/>
        <v/>
      </c>
      <c r="O753" s="2">
        <f t="shared" si="107"/>
        <v>45621</v>
      </c>
      <c r="P753" s="2">
        <v>45621.396435185183</v>
      </c>
      <c r="Q753" s="2">
        <f t="shared" si="108"/>
        <v>45622</v>
      </c>
      <c r="R753" s="2">
        <v>45622.655428240738</v>
      </c>
      <c r="S753">
        <f t="shared" si="109"/>
        <v>0</v>
      </c>
      <c r="T753" s="2">
        <f t="shared" si="110"/>
        <v>45622</v>
      </c>
      <c r="U753" t="str">
        <f t="shared" si="111"/>
        <v>NO PRAZO</v>
      </c>
    </row>
    <row r="754" spans="1:21">
      <c r="A754" s="1">
        <v>18861</v>
      </c>
      <c r="B754" t="s">
        <v>23</v>
      </c>
      <c r="C754" t="s">
        <v>13</v>
      </c>
      <c r="D754" t="s">
        <v>10</v>
      </c>
      <c r="E754" s="1">
        <v>3048</v>
      </c>
      <c r="F754" s="1">
        <v>2024</v>
      </c>
      <c r="G754" t="s">
        <v>11</v>
      </c>
      <c r="H754" s="2">
        <v>45609.708553240744</v>
      </c>
      <c r="I754" s="9">
        <f t="shared" si="103"/>
        <v>45610</v>
      </c>
      <c r="J754" s="2" t="str">
        <f t="shared" si="104"/>
        <v/>
      </c>
      <c r="L754" s="2" t="str">
        <f t="shared" si="105"/>
        <v/>
      </c>
      <c r="N754" s="10" t="str">
        <f t="shared" si="106"/>
        <v/>
      </c>
      <c r="O754" s="2">
        <f t="shared" si="107"/>
        <v>45610</v>
      </c>
      <c r="P754" s="2">
        <v>45617.373819444445</v>
      </c>
      <c r="Q754" s="2">
        <f t="shared" si="108"/>
        <v>45614</v>
      </c>
      <c r="R754" s="2">
        <v>45617.393865740742</v>
      </c>
      <c r="S754">
        <f t="shared" si="109"/>
        <v>3</v>
      </c>
      <c r="T754" s="2">
        <f t="shared" si="110"/>
        <v>45614</v>
      </c>
      <c r="U754" t="str">
        <f t="shared" si="111"/>
        <v>ATRASO</v>
      </c>
    </row>
    <row r="755" spans="1:21" hidden="1">
      <c r="A755" s="1">
        <v>18856</v>
      </c>
      <c r="B755" t="s">
        <v>19</v>
      </c>
      <c r="C755" t="s">
        <v>13</v>
      </c>
      <c r="D755" t="s">
        <v>18</v>
      </c>
      <c r="E755" s="1">
        <v>3043</v>
      </c>
      <c r="F755" s="1">
        <v>2024</v>
      </c>
      <c r="G755" t="s">
        <v>11</v>
      </c>
      <c r="H755" s="2">
        <v>45609.583518518521</v>
      </c>
      <c r="I755" s="9">
        <f t="shared" si="103"/>
        <v>45615</v>
      </c>
      <c r="J755" s="2" t="str">
        <f t="shared" si="104"/>
        <v/>
      </c>
      <c r="L755" s="2" t="str">
        <f t="shared" si="105"/>
        <v/>
      </c>
      <c r="N755" s="10" t="str">
        <f t="shared" si="106"/>
        <v/>
      </c>
      <c r="O755" s="2">
        <f t="shared" si="107"/>
        <v>45615</v>
      </c>
      <c r="P755" s="2">
        <v>45618.466157407405</v>
      </c>
      <c r="Q755" s="2">
        <f t="shared" si="108"/>
        <v>45622</v>
      </c>
      <c r="R755" s="2">
        <v>45622.772650462961</v>
      </c>
      <c r="S755">
        <f t="shared" si="109"/>
        <v>0</v>
      </c>
      <c r="T755" s="2">
        <f t="shared" si="110"/>
        <v>45622</v>
      </c>
      <c r="U755" t="str">
        <f t="shared" si="111"/>
        <v>NO PRAZO</v>
      </c>
    </row>
    <row r="756" spans="1:21">
      <c r="A756" s="1">
        <v>18855</v>
      </c>
      <c r="B756" t="s">
        <v>12</v>
      </c>
      <c r="C756" t="s">
        <v>13</v>
      </c>
      <c r="D756" t="s">
        <v>16</v>
      </c>
      <c r="E756" s="1">
        <v>3042</v>
      </c>
      <c r="F756" s="1">
        <v>2024</v>
      </c>
      <c r="G756" t="s">
        <v>11</v>
      </c>
      <c r="H756" s="2">
        <v>45609.583518518521</v>
      </c>
      <c r="I756" s="9">
        <f t="shared" si="103"/>
        <v>45610</v>
      </c>
      <c r="J756" s="2" t="str">
        <f t="shared" si="104"/>
        <v/>
      </c>
      <c r="L756" s="2" t="str">
        <f t="shared" si="105"/>
        <v/>
      </c>
      <c r="N756" s="10" t="str">
        <f t="shared" si="106"/>
        <v/>
      </c>
      <c r="O756" s="2">
        <f t="shared" si="107"/>
        <v>45610</v>
      </c>
      <c r="P756" s="2">
        <v>45622.644733796296</v>
      </c>
      <c r="Q756" s="2">
        <f t="shared" si="108"/>
        <v>45618</v>
      </c>
      <c r="R756" s="2">
        <v>45622.650034722225</v>
      </c>
      <c r="S756">
        <f t="shared" si="109"/>
        <v>4</v>
      </c>
      <c r="T756" s="2">
        <f t="shared" si="110"/>
        <v>45618</v>
      </c>
      <c r="U756" t="str">
        <f t="shared" si="111"/>
        <v>ATRASO</v>
      </c>
    </row>
    <row r="757" spans="1:21" hidden="1">
      <c r="A757" s="1">
        <v>18852</v>
      </c>
      <c r="B757" t="s">
        <v>17</v>
      </c>
      <c r="C757" t="s">
        <v>13</v>
      </c>
      <c r="D757" t="s">
        <v>14</v>
      </c>
      <c r="E757" s="1">
        <v>3039</v>
      </c>
      <c r="F757" s="1">
        <v>2024</v>
      </c>
      <c r="G757" t="s">
        <v>11</v>
      </c>
      <c r="H757" s="2">
        <v>45609.41684027778</v>
      </c>
      <c r="I757" s="9">
        <f t="shared" si="103"/>
        <v>45610</v>
      </c>
      <c r="J757" s="2" t="str">
        <f t="shared" si="104"/>
        <v/>
      </c>
      <c r="L757" s="2" t="str">
        <f t="shared" si="105"/>
        <v/>
      </c>
      <c r="N757" s="10" t="str">
        <f t="shared" si="106"/>
        <v/>
      </c>
      <c r="O757" s="2">
        <f t="shared" si="107"/>
        <v>45610</v>
      </c>
      <c r="P757" s="2">
        <v>45610.773506944446</v>
      </c>
      <c r="Q757" s="2">
        <f t="shared" si="108"/>
        <v>45614</v>
      </c>
      <c r="R757" s="2">
        <v>45610.77616898148</v>
      </c>
      <c r="S757">
        <f t="shared" si="109"/>
        <v>0</v>
      </c>
      <c r="T757" s="2">
        <f t="shared" si="110"/>
        <v>45614</v>
      </c>
      <c r="U757" t="str">
        <f t="shared" si="111"/>
        <v>NO PRAZO</v>
      </c>
    </row>
    <row r="758" spans="1:21" hidden="1">
      <c r="A758" s="1">
        <v>18850</v>
      </c>
      <c r="B758" t="s">
        <v>17</v>
      </c>
      <c r="C758" t="s">
        <v>13</v>
      </c>
      <c r="D758" t="s">
        <v>18</v>
      </c>
      <c r="E758" s="1">
        <v>3037</v>
      </c>
      <c r="F758" s="1">
        <v>2024</v>
      </c>
      <c r="G758" t="s">
        <v>11</v>
      </c>
      <c r="H758" s="2">
        <v>45608.83357638889</v>
      </c>
      <c r="I758" s="9">
        <f t="shared" si="103"/>
        <v>45614</v>
      </c>
      <c r="J758" s="2" t="str">
        <f t="shared" si="104"/>
        <v/>
      </c>
      <c r="L758" s="2" t="str">
        <f t="shared" si="105"/>
        <v/>
      </c>
      <c r="N758" s="10" t="str">
        <f t="shared" si="106"/>
        <v/>
      </c>
      <c r="O758" s="2">
        <f t="shared" si="107"/>
        <v>45614</v>
      </c>
      <c r="P758" s="2">
        <v>45617.655231481483</v>
      </c>
      <c r="Q758" s="2">
        <f t="shared" si="108"/>
        <v>45621</v>
      </c>
      <c r="R758" s="2">
        <v>45617.656076388892</v>
      </c>
      <c r="S758">
        <f t="shared" si="109"/>
        <v>0</v>
      </c>
      <c r="T758" s="2">
        <f t="shared" si="110"/>
        <v>45621</v>
      </c>
      <c r="U758" t="str">
        <f t="shared" si="111"/>
        <v>NO PRAZO</v>
      </c>
    </row>
    <row r="759" spans="1:21">
      <c r="A759" s="1">
        <v>18849</v>
      </c>
      <c r="B759" t="s">
        <v>17</v>
      </c>
      <c r="C759" t="s">
        <v>13</v>
      </c>
      <c r="D759" t="s">
        <v>16</v>
      </c>
      <c r="E759" s="1">
        <v>3036</v>
      </c>
      <c r="F759" s="1">
        <v>2024</v>
      </c>
      <c r="G759" t="s">
        <v>11</v>
      </c>
      <c r="H759" s="2">
        <v>45608.727534722224</v>
      </c>
      <c r="I759" s="9">
        <f t="shared" si="103"/>
        <v>45609</v>
      </c>
      <c r="J759" s="2" t="str">
        <f t="shared" si="104"/>
        <v/>
      </c>
      <c r="L759" s="2" t="str">
        <f t="shared" si="105"/>
        <v/>
      </c>
      <c r="N759" s="10" t="str">
        <f t="shared" si="106"/>
        <v/>
      </c>
      <c r="O759" s="2">
        <f t="shared" si="107"/>
        <v>45609</v>
      </c>
      <c r="P759" s="2">
        <v>45617.497465277775</v>
      </c>
      <c r="Q759" s="2">
        <f t="shared" si="108"/>
        <v>45617</v>
      </c>
      <c r="R759" s="2">
        <v>45618.434814814813</v>
      </c>
      <c r="S759">
        <f t="shared" si="109"/>
        <v>1</v>
      </c>
      <c r="T759" s="2">
        <f t="shared" si="110"/>
        <v>45617</v>
      </c>
      <c r="U759" t="str">
        <f t="shared" si="111"/>
        <v>ATRASO</v>
      </c>
    </row>
    <row r="760" spans="1:21" hidden="1">
      <c r="A760" s="1">
        <v>18848</v>
      </c>
      <c r="B760" t="s">
        <v>19</v>
      </c>
      <c r="C760" t="s">
        <v>13</v>
      </c>
      <c r="D760" t="s">
        <v>18</v>
      </c>
      <c r="E760" s="1">
        <v>3035</v>
      </c>
      <c r="F760" s="1">
        <v>2024</v>
      </c>
      <c r="G760" t="s">
        <v>11</v>
      </c>
      <c r="H760" s="2">
        <v>45608.58353009259</v>
      </c>
      <c r="I760" s="9">
        <f t="shared" si="103"/>
        <v>45614</v>
      </c>
      <c r="J760" s="2" t="str">
        <f t="shared" si="104"/>
        <v/>
      </c>
      <c r="L760" s="2" t="str">
        <f t="shared" si="105"/>
        <v/>
      </c>
      <c r="N760" s="10" t="str">
        <f t="shared" si="106"/>
        <v/>
      </c>
      <c r="O760" s="2">
        <f t="shared" si="107"/>
        <v>45614</v>
      </c>
      <c r="P760" s="2">
        <v>45609.475497685184</v>
      </c>
      <c r="Q760" s="2">
        <f t="shared" si="108"/>
        <v>45621</v>
      </c>
      <c r="R760" s="2">
        <v>45610.704675925925</v>
      </c>
      <c r="S760">
        <f t="shared" si="109"/>
        <v>0</v>
      </c>
      <c r="T760" s="2">
        <f t="shared" si="110"/>
        <v>45621</v>
      </c>
      <c r="U760" t="str">
        <f t="shared" si="111"/>
        <v>NO PRAZO</v>
      </c>
    </row>
    <row r="761" spans="1:21" hidden="1">
      <c r="A761" s="1">
        <v>18844</v>
      </c>
      <c r="B761" t="s">
        <v>17</v>
      </c>
      <c r="C761" t="s">
        <v>13</v>
      </c>
      <c r="D761" t="s">
        <v>18</v>
      </c>
      <c r="E761" s="1">
        <v>3031</v>
      </c>
      <c r="F761" s="1">
        <v>2024</v>
      </c>
      <c r="G761" t="s">
        <v>11</v>
      </c>
      <c r="H761" s="2">
        <v>45607.728159722225</v>
      </c>
      <c r="I761" s="9">
        <f t="shared" si="103"/>
        <v>45610</v>
      </c>
      <c r="J761" s="2" t="str">
        <f t="shared" si="104"/>
        <v/>
      </c>
      <c r="L761" s="2" t="str">
        <f t="shared" si="105"/>
        <v/>
      </c>
      <c r="N761" s="10" t="str">
        <f t="shared" si="106"/>
        <v/>
      </c>
      <c r="O761" s="2">
        <f t="shared" si="107"/>
        <v>45610</v>
      </c>
      <c r="P761" s="2">
        <v>45618.436157407406</v>
      </c>
      <c r="Q761" s="2">
        <f t="shared" si="108"/>
        <v>45618</v>
      </c>
      <c r="R761" s="2">
        <v>45618.438275462962</v>
      </c>
      <c r="S761">
        <f t="shared" si="109"/>
        <v>0</v>
      </c>
      <c r="T761" s="2">
        <f t="shared" si="110"/>
        <v>45618</v>
      </c>
      <c r="U761" t="str">
        <f t="shared" si="111"/>
        <v>NO PRAZO</v>
      </c>
    </row>
    <row r="762" spans="1:21" hidden="1">
      <c r="A762" s="1">
        <v>18843</v>
      </c>
      <c r="B762" t="s">
        <v>17</v>
      </c>
      <c r="C762" t="s">
        <v>9</v>
      </c>
      <c r="D762" t="s">
        <v>10</v>
      </c>
      <c r="E762" s="1">
        <v>3030</v>
      </c>
      <c r="F762" s="1">
        <v>2024</v>
      </c>
      <c r="G762" t="s">
        <v>11</v>
      </c>
      <c r="H762" s="2">
        <v>45607.667025462964</v>
      </c>
      <c r="I762" s="9">
        <f t="shared" si="103"/>
        <v>45608</v>
      </c>
      <c r="J762" s="2" t="str">
        <f t="shared" si="104"/>
        <v/>
      </c>
      <c r="L762" s="2" t="str">
        <f t="shared" si="105"/>
        <v/>
      </c>
      <c r="N762" s="10" t="str">
        <f t="shared" si="106"/>
        <v/>
      </c>
      <c r="O762" s="2">
        <f t="shared" si="107"/>
        <v>45608</v>
      </c>
      <c r="P762" s="2">
        <v>45608.369803240741</v>
      </c>
      <c r="Q762" s="2">
        <f t="shared" si="108"/>
        <v>45609</v>
      </c>
      <c r="R762" s="2">
        <v>45608.479108796295</v>
      </c>
      <c r="S762">
        <f t="shared" si="109"/>
        <v>0</v>
      </c>
      <c r="T762" s="2">
        <f t="shared" si="110"/>
        <v>45609</v>
      </c>
      <c r="U762" t="str">
        <f t="shared" si="111"/>
        <v>NO PRAZO</v>
      </c>
    </row>
    <row r="763" spans="1:21" hidden="1">
      <c r="A763" s="1">
        <v>18840</v>
      </c>
      <c r="B763" t="s">
        <v>17</v>
      </c>
      <c r="C763" t="s">
        <v>13</v>
      </c>
      <c r="D763" t="s">
        <v>18</v>
      </c>
      <c r="E763" s="1">
        <v>3027</v>
      </c>
      <c r="F763" s="1">
        <v>2024</v>
      </c>
      <c r="G763" t="s">
        <v>11</v>
      </c>
      <c r="H763" s="2">
        <v>45607.625347222223</v>
      </c>
      <c r="I763" s="9">
        <f t="shared" si="103"/>
        <v>45610</v>
      </c>
      <c r="J763" s="2" t="str">
        <f t="shared" si="104"/>
        <v/>
      </c>
      <c r="L763" s="2" t="str">
        <f t="shared" si="105"/>
        <v/>
      </c>
      <c r="N763" s="10" t="str">
        <f t="shared" si="106"/>
        <v/>
      </c>
      <c r="O763" s="2">
        <f t="shared" si="107"/>
        <v>45610</v>
      </c>
      <c r="P763" s="2">
        <v>45609.468819444446</v>
      </c>
      <c r="Q763" s="2">
        <f t="shared" si="108"/>
        <v>45618</v>
      </c>
      <c r="R763" s="2">
        <v>45609.468958333331</v>
      </c>
      <c r="S763">
        <f t="shared" si="109"/>
        <v>0</v>
      </c>
      <c r="T763" s="2">
        <f t="shared" si="110"/>
        <v>45618</v>
      </c>
      <c r="U763" t="str">
        <f t="shared" si="111"/>
        <v>NO PRAZO</v>
      </c>
    </row>
    <row r="764" spans="1:21" hidden="1">
      <c r="A764" s="1">
        <v>18838</v>
      </c>
      <c r="B764" t="s">
        <v>17</v>
      </c>
      <c r="C764" t="s">
        <v>9</v>
      </c>
      <c r="D764" t="s">
        <v>10</v>
      </c>
      <c r="E764" s="1">
        <v>3025</v>
      </c>
      <c r="F764" s="1">
        <v>2024</v>
      </c>
      <c r="G764" t="s">
        <v>11</v>
      </c>
      <c r="H764" s="2">
        <v>45607.625347222223</v>
      </c>
      <c r="I764" s="9">
        <f t="shared" si="103"/>
        <v>45608</v>
      </c>
      <c r="J764" s="2" t="str">
        <f t="shared" si="104"/>
        <v/>
      </c>
      <c r="L764" s="2" t="str">
        <f t="shared" si="105"/>
        <v/>
      </c>
      <c r="N764" s="10" t="str">
        <f t="shared" si="106"/>
        <v/>
      </c>
      <c r="O764" s="2">
        <f t="shared" si="107"/>
        <v>45608</v>
      </c>
      <c r="P764" s="2">
        <v>45607.717222222222</v>
      </c>
      <c r="Q764" s="2">
        <f t="shared" si="108"/>
        <v>45609</v>
      </c>
      <c r="R764" s="2">
        <v>45607.735474537039</v>
      </c>
      <c r="S764">
        <f t="shared" si="109"/>
        <v>0</v>
      </c>
      <c r="T764" s="2">
        <f t="shared" si="110"/>
        <v>45609</v>
      </c>
      <c r="U764" t="str">
        <f t="shared" si="111"/>
        <v>NO PRAZO</v>
      </c>
    </row>
    <row r="765" spans="1:21" hidden="1">
      <c r="A765" s="1">
        <v>18837</v>
      </c>
      <c r="B765" t="s">
        <v>17</v>
      </c>
      <c r="C765" t="s">
        <v>13</v>
      </c>
      <c r="D765" t="s">
        <v>18</v>
      </c>
      <c r="E765" s="1">
        <v>3024</v>
      </c>
      <c r="F765" s="1">
        <v>2024</v>
      </c>
      <c r="G765" t="s">
        <v>11</v>
      </c>
      <c r="H765" s="2">
        <v>45607.583680555559</v>
      </c>
      <c r="I765" s="9">
        <f t="shared" si="103"/>
        <v>45610</v>
      </c>
      <c r="J765" s="2" t="str">
        <f t="shared" si="104"/>
        <v/>
      </c>
      <c r="L765" s="2" t="str">
        <f t="shared" si="105"/>
        <v/>
      </c>
      <c r="N765" s="10" t="str">
        <f t="shared" si="106"/>
        <v/>
      </c>
      <c r="O765" s="2">
        <f t="shared" si="107"/>
        <v>45610</v>
      </c>
      <c r="P765" s="2">
        <v>45609.469236111108</v>
      </c>
      <c r="Q765" s="2">
        <f t="shared" si="108"/>
        <v>45618</v>
      </c>
      <c r="R765" s="2">
        <v>45609.47</v>
      </c>
      <c r="S765">
        <f t="shared" si="109"/>
        <v>0</v>
      </c>
      <c r="T765" s="2">
        <f t="shared" si="110"/>
        <v>45618</v>
      </c>
      <c r="U765" t="str">
        <f t="shared" si="111"/>
        <v>NO PRAZO</v>
      </c>
    </row>
    <row r="766" spans="1:21">
      <c r="A766" s="1">
        <v>18836</v>
      </c>
      <c r="B766" t="s">
        <v>20</v>
      </c>
      <c r="C766" t="s">
        <v>13</v>
      </c>
      <c r="D766" t="s">
        <v>18</v>
      </c>
      <c r="E766" s="1">
        <v>3023</v>
      </c>
      <c r="F766" s="1">
        <v>2024</v>
      </c>
      <c r="G766" t="s">
        <v>11</v>
      </c>
      <c r="H766" s="2">
        <v>45607.417002314818</v>
      </c>
      <c r="I766" s="9">
        <f t="shared" si="103"/>
        <v>45610</v>
      </c>
      <c r="J766" s="2" t="str">
        <f t="shared" si="104"/>
        <v/>
      </c>
      <c r="L766" s="2" t="str">
        <f t="shared" si="105"/>
        <v/>
      </c>
      <c r="N766" s="10" t="str">
        <f t="shared" si="106"/>
        <v/>
      </c>
      <c r="O766" s="2">
        <f t="shared" si="107"/>
        <v>45610</v>
      </c>
      <c r="P766" s="2">
        <v>45618.624039351853</v>
      </c>
      <c r="Q766" s="2">
        <f t="shared" si="108"/>
        <v>45618</v>
      </c>
      <c r="R766" s="2">
        <v>45639.695879629631</v>
      </c>
      <c r="S766">
        <f t="shared" si="109"/>
        <v>21</v>
      </c>
      <c r="T766" s="2">
        <f t="shared" si="110"/>
        <v>45618</v>
      </c>
      <c r="U766" t="str">
        <f t="shared" si="111"/>
        <v>ATRASO</v>
      </c>
    </row>
    <row r="767" spans="1:21" hidden="1">
      <c r="A767" s="1">
        <v>18835</v>
      </c>
      <c r="B767" t="s">
        <v>20</v>
      </c>
      <c r="C767" t="s">
        <v>13</v>
      </c>
      <c r="D767" t="s">
        <v>18</v>
      </c>
      <c r="E767" s="1">
        <v>3022</v>
      </c>
      <c r="F767" s="1">
        <v>2024</v>
      </c>
      <c r="G767" t="s">
        <v>11</v>
      </c>
      <c r="H767" s="2">
        <v>45607.417002314818</v>
      </c>
      <c r="I767" s="9">
        <f t="shared" si="103"/>
        <v>45610</v>
      </c>
      <c r="J767" s="2" t="str">
        <f t="shared" si="104"/>
        <v/>
      </c>
      <c r="L767" s="2" t="str">
        <f t="shared" si="105"/>
        <v/>
      </c>
      <c r="N767" s="10" t="str">
        <f t="shared" si="106"/>
        <v/>
      </c>
      <c r="O767" s="2">
        <f t="shared" si="107"/>
        <v>45610</v>
      </c>
      <c r="P767" s="2">
        <v>45610.652094907404</v>
      </c>
      <c r="Q767" s="2">
        <f t="shared" si="108"/>
        <v>45618</v>
      </c>
      <c r="R767" s="2">
        <v>45618.499456018515</v>
      </c>
      <c r="S767">
        <f t="shared" si="109"/>
        <v>0</v>
      </c>
      <c r="T767" s="2">
        <f t="shared" si="110"/>
        <v>45618</v>
      </c>
      <c r="U767" t="str">
        <f t="shared" si="111"/>
        <v>NO PRAZO</v>
      </c>
    </row>
    <row r="768" spans="1:21" hidden="1">
      <c r="A768" s="1">
        <v>18788</v>
      </c>
      <c r="B768" t="s">
        <v>23</v>
      </c>
      <c r="C768" t="s">
        <v>13</v>
      </c>
      <c r="D768" t="s">
        <v>10</v>
      </c>
      <c r="E768" s="1">
        <v>2975</v>
      </c>
      <c r="F768" s="1">
        <v>2024</v>
      </c>
      <c r="G768" t="s">
        <v>11</v>
      </c>
      <c r="H768" s="2">
        <v>45597.583541666667</v>
      </c>
      <c r="I768" s="9">
        <f t="shared" ref="I768:I831" si="112">IF(OR(D768="ORIENTAÇÃO",D768="BUG IMPEDITIVO",D768="BUG NÃO IMPEDITIVO"),WORKDAY(H768,1,Z$2:Z$500),IF(OR(D768="MELHORIA PEQUENA",D768="MELHORIA MÉDIA"),WORKDAY(H768,3,Z$2:Z$500),""))</f>
        <v>45600</v>
      </c>
      <c r="J768" s="2" t="str">
        <f t="shared" si="104"/>
        <v/>
      </c>
      <c r="L768" s="2" t="str">
        <f t="shared" si="105"/>
        <v/>
      </c>
      <c r="N768" s="10" t="str">
        <f t="shared" si="106"/>
        <v/>
      </c>
      <c r="O768" s="2">
        <f t="shared" si="107"/>
        <v>45600</v>
      </c>
      <c r="P768" s="2">
        <v>45600.387638888889</v>
      </c>
      <c r="Q768" s="2">
        <f t="shared" si="108"/>
        <v>45601</v>
      </c>
      <c r="R768" s="2">
        <v>45600.483622685184</v>
      </c>
      <c r="S768">
        <f t="shared" si="109"/>
        <v>0</v>
      </c>
      <c r="T768" s="2">
        <f t="shared" si="110"/>
        <v>45601</v>
      </c>
      <c r="U768" t="str">
        <f t="shared" si="111"/>
        <v>NO PRAZO</v>
      </c>
    </row>
    <row r="769" spans="1:21" hidden="1">
      <c r="A769" s="1">
        <v>18787</v>
      </c>
      <c r="B769" t="s">
        <v>19</v>
      </c>
      <c r="C769" t="s">
        <v>13</v>
      </c>
      <c r="D769" t="s">
        <v>16</v>
      </c>
      <c r="E769" s="1">
        <v>2974</v>
      </c>
      <c r="F769" s="1">
        <v>2024</v>
      </c>
      <c r="G769" t="s">
        <v>11</v>
      </c>
      <c r="H769" s="2">
        <v>45597.416863425926</v>
      </c>
      <c r="I769" s="9">
        <f t="shared" si="112"/>
        <v>45600</v>
      </c>
      <c r="J769" s="2" t="str">
        <f t="shared" si="104"/>
        <v/>
      </c>
      <c r="L769" s="2" t="str">
        <f t="shared" si="105"/>
        <v/>
      </c>
      <c r="N769" s="10" t="str">
        <f t="shared" si="106"/>
        <v/>
      </c>
      <c r="O769" s="2">
        <f t="shared" si="107"/>
        <v>45600</v>
      </c>
      <c r="P769" s="2">
        <v>45603.529502314814</v>
      </c>
      <c r="Q769" s="2">
        <f t="shared" si="108"/>
        <v>45604</v>
      </c>
      <c r="R769" s="2">
        <v>45603.552245370367</v>
      </c>
      <c r="S769">
        <f t="shared" si="109"/>
        <v>0</v>
      </c>
      <c r="T769" s="2">
        <f t="shared" si="110"/>
        <v>45604</v>
      </c>
      <c r="U769" t="str">
        <f t="shared" si="111"/>
        <v>NO PRAZO</v>
      </c>
    </row>
    <row r="770" spans="1:21" hidden="1">
      <c r="A770" s="1">
        <v>18786</v>
      </c>
      <c r="B770" t="s">
        <v>23</v>
      </c>
      <c r="C770" t="s">
        <v>13</v>
      </c>
      <c r="D770" t="s">
        <v>10</v>
      </c>
      <c r="E770" s="1">
        <v>2973</v>
      </c>
      <c r="F770" s="1">
        <v>2024</v>
      </c>
      <c r="G770" t="s">
        <v>11</v>
      </c>
      <c r="H770" s="2">
        <v>45597.416863425926</v>
      </c>
      <c r="I770" s="9">
        <f t="shared" si="112"/>
        <v>45600</v>
      </c>
      <c r="J770" s="2" t="str">
        <f t="shared" si="104"/>
        <v/>
      </c>
      <c r="L770" s="2" t="str">
        <f t="shared" si="105"/>
        <v/>
      </c>
      <c r="N770" s="10" t="str">
        <f t="shared" si="106"/>
        <v/>
      </c>
      <c r="O770" s="2">
        <f t="shared" si="107"/>
        <v>45600</v>
      </c>
      <c r="P770" s="2">
        <v>45600.403611111113</v>
      </c>
      <c r="Q770" s="2">
        <f t="shared" si="108"/>
        <v>45601</v>
      </c>
      <c r="R770" s="2">
        <v>45600.483587962961</v>
      </c>
      <c r="S770">
        <f t="shared" si="109"/>
        <v>0</v>
      </c>
      <c r="T770" s="2">
        <f t="shared" si="110"/>
        <v>45601</v>
      </c>
      <c r="U770" t="str">
        <f t="shared" si="111"/>
        <v>NO PRAZO</v>
      </c>
    </row>
    <row r="771" spans="1:21" hidden="1">
      <c r="A771" s="1">
        <v>18784</v>
      </c>
      <c r="B771" t="s">
        <v>17</v>
      </c>
      <c r="C771" t="s">
        <v>13</v>
      </c>
      <c r="D771" t="s">
        <v>18</v>
      </c>
      <c r="E771" s="1">
        <v>2971</v>
      </c>
      <c r="F771" s="1">
        <v>2024</v>
      </c>
      <c r="G771" t="s">
        <v>11</v>
      </c>
      <c r="H771" s="2">
        <v>45596.875231481485</v>
      </c>
      <c r="I771" s="9">
        <f t="shared" si="112"/>
        <v>45601</v>
      </c>
      <c r="J771" s="2" t="str">
        <f t="shared" ref="J771:J834" si="113">IF(K771&lt;&gt;"",I771,"")</f>
        <v/>
      </c>
      <c r="L771" s="2" t="str">
        <f t="shared" ref="L771:L834" si="114">IF(J771="","",WORKDAY(J771,14,Z$2:Z$500))</f>
        <v/>
      </c>
      <c r="N771" s="10" t="str">
        <f t="shared" ref="N771:N834" si="115">IF(M771="","",MAX(0,INT(M771)-INT(L771)))</f>
        <v/>
      </c>
      <c r="O771" s="2">
        <f t="shared" ref="O771:O834" si="116">IF(L771="",I771,WORKDAY(L771,1,Z$2:Z$500))</f>
        <v>45601</v>
      </c>
      <c r="P771" s="2">
        <v>45601.473333333335</v>
      </c>
      <c r="Q771" s="2">
        <f t="shared" ref="Q771:Q834" si="117">IF(OR(D771="ORIENTAÇÃO",D771="BUG IMPEDITIVO"),WORKDAY(O771,1,Z$2:Z$500),IF(OR(D771="MELHORIA PEQUENA",D771="BUG NÃO IMPEDITIVO"),WORKDAY(O771,4,Z$2:Z$500),IF(D771="MELHORIA MÉDIA",WORKDAY(O771,19,Z$2:Z$500),"")))</f>
        <v>45607</v>
      </c>
      <c r="R771" s="2">
        <v>45601.47420138889</v>
      </c>
      <c r="S771">
        <f t="shared" ref="S771:S834" si="118">MAX(0,INT(R771)-INT(Q771))</f>
        <v>0</v>
      </c>
      <c r="T771" s="2">
        <f t="shared" ref="T771:T834" si="119">IF(D771="MELHORIA MÉDIA",IF(K771&lt;&gt;"",WORKDAY(I771,34,$Z$2:$Z$1000),WORKDAY(I771,19,$Z$2:$Z$1000)),IF(OR(D771="MELHORIA PEQUENA",D771="BUG NÃO IMPEDITIVO"),WORKDAY(I771,4,$Z$2:$Z$1000),IF(OR(D771="ORIENTAÇÃO",D771="BUG IMPEDITIVO"),WORKDAY(I771,1,$Z$2:$Z$1000),"")))</f>
        <v>45607</v>
      </c>
      <c r="U771" t="str">
        <f t="shared" ref="U771:U834" si="120">IF(INT(R771)&lt;=INT(T771),"NO PRAZO","ATRASO")</f>
        <v>NO PRAZO</v>
      </c>
    </row>
    <row r="772" spans="1:21" hidden="1">
      <c r="A772" s="1">
        <v>18783</v>
      </c>
      <c r="B772" t="s">
        <v>8</v>
      </c>
      <c r="C772" t="s">
        <v>13</v>
      </c>
      <c r="D772" t="s">
        <v>18</v>
      </c>
      <c r="E772" s="1">
        <v>2970</v>
      </c>
      <c r="F772" s="1">
        <v>2024</v>
      </c>
      <c r="G772" t="s">
        <v>11</v>
      </c>
      <c r="H772" s="2">
        <v>45596.791909722226</v>
      </c>
      <c r="I772" s="9">
        <f t="shared" si="112"/>
        <v>45601</v>
      </c>
      <c r="J772" s="2" t="str">
        <f t="shared" si="113"/>
        <v/>
      </c>
      <c r="L772" s="2" t="str">
        <f t="shared" si="114"/>
        <v/>
      </c>
      <c r="N772" s="10" t="str">
        <f t="shared" si="115"/>
        <v/>
      </c>
      <c r="O772" s="2">
        <f t="shared" si="116"/>
        <v>45601</v>
      </c>
      <c r="P772" s="2">
        <v>45603.652418981481</v>
      </c>
      <c r="Q772" s="2">
        <f t="shared" si="117"/>
        <v>45607</v>
      </c>
      <c r="R772" s="2">
        <v>45603.652743055558</v>
      </c>
      <c r="S772">
        <f t="shared" si="118"/>
        <v>0</v>
      </c>
      <c r="T772" s="2">
        <f t="shared" si="119"/>
        <v>45607</v>
      </c>
      <c r="U772" t="str">
        <f t="shared" si="120"/>
        <v>NO PRAZO</v>
      </c>
    </row>
    <row r="773" spans="1:21">
      <c r="A773" s="1">
        <v>18771</v>
      </c>
      <c r="B773" t="s">
        <v>19</v>
      </c>
      <c r="C773" t="s">
        <v>13</v>
      </c>
      <c r="D773" t="s">
        <v>18</v>
      </c>
      <c r="E773" s="1">
        <v>2958</v>
      </c>
      <c r="F773" s="1">
        <v>2024</v>
      </c>
      <c r="G773" t="s">
        <v>11</v>
      </c>
      <c r="H773" s="2">
        <v>45590.500428240739</v>
      </c>
      <c r="I773" s="9">
        <f t="shared" si="112"/>
        <v>45595</v>
      </c>
      <c r="J773" s="2" t="str">
        <f t="shared" si="113"/>
        <v/>
      </c>
      <c r="L773" s="2" t="str">
        <f t="shared" si="114"/>
        <v/>
      </c>
      <c r="N773" s="10" t="str">
        <f t="shared" si="115"/>
        <v/>
      </c>
      <c r="O773" s="2">
        <f t="shared" si="116"/>
        <v>45595</v>
      </c>
      <c r="P773" s="2">
        <v>45594.462881944448</v>
      </c>
      <c r="Q773" s="2">
        <f t="shared" si="117"/>
        <v>45601</v>
      </c>
      <c r="R773" s="2">
        <v>45637.375810185185</v>
      </c>
      <c r="S773">
        <f t="shared" si="118"/>
        <v>36</v>
      </c>
      <c r="T773" s="2">
        <f t="shared" si="119"/>
        <v>45601</v>
      </c>
      <c r="U773" t="str">
        <f t="shared" si="120"/>
        <v>ATRASO</v>
      </c>
    </row>
    <row r="774" spans="1:21" hidden="1">
      <c r="A774" s="1">
        <v>18767</v>
      </c>
      <c r="B774" t="s">
        <v>19</v>
      </c>
      <c r="C774" t="s">
        <v>13</v>
      </c>
      <c r="D774" t="s">
        <v>18</v>
      </c>
      <c r="E774" s="1">
        <v>2954</v>
      </c>
      <c r="F774" s="1">
        <v>2024</v>
      </c>
      <c r="G774" t="s">
        <v>11</v>
      </c>
      <c r="H774" s="2">
        <v>45589.666863425926</v>
      </c>
      <c r="I774" s="9">
        <f t="shared" si="112"/>
        <v>45594</v>
      </c>
      <c r="J774" s="2" t="str">
        <f t="shared" si="113"/>
        <v/>
      </c>
      <c r="L774" s="2" t="str">
        <f t="shared" si="114"/>
        <v/>
      </c>
      <c r="N774" s="10" t="str">
        <f t="shared" si="115"/>
        <v/>
      </c>
      <c r="O774" s="2">
        <f t="shared" si="116"/>
        <v>45594</v>
      </c>
      <c r="P774" s="2">
        <v>45594.462037037039</v>
      </c>
      <c r="Q774" s="2">
        <f t="shared" si="117"/>
        <v>45600</v>
      </c>
      <c r="R774" s="2">
        <v>45595.445451388892</v>
      </c>
      <c r="S774">
        <f t="shared" si="118"/>
        <v>0</v>
      </c>
      <c r="T774" s="2">
        <f t="shared" si="119"/>
        <v>45600</v>
      </c>
      <c r="U774" t="str">
        <f t="shared" si="120"/>
        <v>NO PRAZO</v>
      </c>
    </row>
    <row r="775" spans="1:21" hidden="1">
      <c r="A775" s="1">
        <v>18766</v>
      </c>
      <c r="B775" t="s">
        <v>17</v>
      </c>
      <c r="C775" t="s">
        <v>13</v>
      </c>
      <c r="D775" t="s">
        <v>18</v>
      </c>
      <c r="E775" s="1">
        <v>2953</v>
      </c>
      <c r="F775" s="1">
        <v>2024</v>
      </c>
      <c r="G775" t="s">
        <v>11</v>
      </c>
      <c r="H775" s="2">
        <v>45589.666863425926</v>
      </c>
      <c r="I775" s="9">
        <f t="shared" si="112"/>
        <v>45594</v>
      </c>
      <c r="J775" s="2" t="str">
        <f t="shared" si="113"/>
        <v/>
      </c>
      <c r="L775" s="2" t="str">
        <f t="shared" si="114"/>
        <v/>
      </c>
      <c r="N775" s="10" t="str">
        <f t="shared" si="115"/>
        <v/>
      </c>
      <c r="O775" s="2">
        <f t="shared" si="116"/>
        <v>45594</v>
      </c>
      <c r="P775" s="2">
        <v>45594.384571759256</v>
      </c>
      <c r="Q775" s="2">
        <f t="shared" si="117"/>
        <v>45600</v>
      </c>
      <c r="R775" s="2">
        <v>45594.386956018519</v>
      </c>
      <c r="S775">
        <f t="shared" si="118"/>
        <v>0</v>
      </c>
      <c r="T775" s="2">
        <f t="shared" si="119"/>
        <v>45600</v>
      </c>
      <c r="U775" t="str">
        <f t="shared" si="120"/>
        <v>NO PRAZO</v>
      </c>
    </row>
    <row r="776" spans="1:21" hidden="1">
      <c r="A776" s="1">
        <v>18753</v>
      </c>
      <c r="B776" t="s">
        <v>17</v>
      </c>
      <c r="C776" t="s">
        <v>13</v>
      </c>
      <c r="D776" t="s">
        <v>18</v>
      </c>
      <c r="E776" s="1">
        <v>2940</v>
      </c>
      <c r="F776" s="1">
        <v>2024</v>
      </c>
      <c r="G776" t="s">
        <v>11</v>
      </c>
      <c r="H776" s="2">
        <v>45587.708564814813</v>
      </c>
      <c r="I776" s="9">
        <f t="shared" si="112"/>
        <v>45590</v>
      </c>
      <c r="J776" s="2" t="str">
        <f t="shared" si="113"/>
        <v/>
      </c>
      <c r="L776" s="2" t="str">
        <f t="shared" si="114"/>
        <v/>
      </c>
      <c r="N776" s="10" t="str">
        <f t="shared" si="115"/>
        <v/>
      </c>
      <c r="O776" s="2">
        <f t="shared" si="116"/>
        <v>45590</v>
      </c>
      <c r="P776" s="2">
        <v>45590.66196759259</v>
      </c>
      <c r="Q776" s="2">
        <f t="shared" si="117"/>
        <v>45596</v>
      </c>
      <c r="R776" s="2">
        <v>45590.66300925926</v>
      </c>
      <c r="S776">
        <f t="shared" si="118"/>
        <v>0</v>
      </c>
      <c r="T776" s="2">
        <f t="shared" si="119"/>
        <v>45596</v>
      </c>
      <c r="U776" t="str">
        <f t="shared" si="120"/>
        <v>NO PRAZO</v>
      </c>
    </row>
    <row r="777" spans="1:21" hidden="1">
      <c r="A777" s="1">
        <v>18752</v>
      </c>
      <c r="B777" t="s">
        <v>17</v>
      </c>
      <c r="C777" t="s">
        <v>13</v>
      </c>
      <c r="D777" t="s">
        <v>18</v>
      </c>
      <c r="E777" s="1">
        <v>2939</v>
      </c>
      <c r="F777" s="1">
        <v>2024</v>
      </c>
      <c r="G777" t="s">
        <v>11</v>
      </c>
      <c r="H777" s="2">
        <v>45587.708564814813</v>
      </c>
      <c r="I777" s="9">
        <f t="shared" si="112"/>
        <v>45590</v>
      </c>
      <c r="J777" s="2" t="str">
        <f t="shared" si="113"/>
        <v/>
      </c>
      <c r="L777" s="2" t="str">
        <f t="shared" si="114"/>
        <v/>
      </c>
      <c r="N777" s="10" t="str">
        <f t="shared" si="115"/>
        <v/>
      </c>
      <c r="O777" s="2">
        <f t="shared" si="116"/>
        <v>45590</v>
      </c>
      <c r="P777" s="2">
        <v>45589.450046296297</v>
      </c>
      <c r="Q777" s="2">
        <f t="shared" si="117"/>
        <v>45596</v>
      </c>
      <c r="R777" s="2">
        <v>45589.461550925924</v>
      </c>
      <c r="S777">
        <f t="shared" si="118"/>
        <v>0</v>
      </c>
      <c r="T777" s="2">
        <f t="shared" si="119"/>
        <v>45596</v>
      </c>
      <c r="U777" t="str">
        <f t="shared" si="120"/>
        <v>NO PRAZO</v>
      </c>
    </row>
    <row r="778" spans="1:21" hidden="1">
      <c r="A778" s="1">
        <v>18751</v>
      </c>
      <c r="B778" t="s">
        <v>17</v>
      </c>
      <c r="C778" t="s">
        <v>13</v>
      </c>
      <c r="D778" t="s">
        <v>18</v>
      </c>
      <c r="E778" s="1">
        <v>2938</v>
      </c>
      <c r="F778" s="1">
        <v>2024</v>
      </c>
      <c r="G778" t="s">
        <v>11</v>
      </c>
      <c r="H778" s="2">
        <v>45587.708564814813</v>
      </c>
      <c r="I778" s="9">
        <f t="shared" si="112"/>
        <v>45590</v>
      </c>
      <c r="J778" s="2" t="str">
        <f t="shared" si="113"/>
        <v/>
      </c>
      <c r="L778" s="2" t="str">
        <f t="shared" si="114"/>
        <v/>
      </c>
      <c r="N778" s="10" t="str">
        <f t="shared" si="115"/>
        <v/>
      </c>
      <c r="O778" s="2">
        <f t="shared" si="116"/>
        <v>45590</v>
      </c>
      <c r="P778" s="2">
        <v>45594.66474537037</v>
      </c>
      <c r="Q778" s="2">
        <f t="shared" si="117"/>
        <v>45596</v>
      </c>
      <c r="R778" s="2">
        <v>45594.665821759256</v>
      </c>
      <c r="S778">
        <f t="shared" si="118"/>
        <v>0</v>
      </c>
      <c r="T778" s="2">
        <f t="shared" si="119"/>
        <v>45596</v>
      </c>
      <c r="U778" t="str">
        <f t="shared" si="120"/>
        <v>NO PRAZO</v>
      </c>
    </row>
    <row r="779" spans="1:21">
      <c r="A779" s="1">
        <v>18749</v>
      </c>
      <c r="B779" t="s">
        <v>23</v>
      </c>
      <c r="C779" t="s">
        <v>13</v>
      </c>
      <c r="D779" t="s">
        <v>10</v>
      </c>
      <c r="E779" s="1">
        <v>2936</v>
      </c>
      <c r="F779" s="1">
        <v>2024</v>
      </c>
      <c r="G779" t="s">
        <v>11</v>
      </c>
      <c r="H779" s="2">
        <v>45587.625196759262</v>
      </c>
      <c r="I779" s="9">
        <f t="shared" si="112"/>
        <v>45588</v>
      </c>
      <c r="J779" s="2" t="str">
        <f t="shared" si="113"/>
        <v/>
      </c>
      <c r="L779" s="2" t="str">
        <f t="shared" si="114"/>
        <v/>
      </c>
      <c r="N779" s="10" t="str">
        <f t="shared" si="115"/>
        <v/>
      </c>
      <c r="O779" s="2">
        <f t="shared" si="116"/>
        <v>45588</v>
      </c>
      <c r="P779" s="2">
        <v>45590.604490740741</v>
      </c>
      <c r="Q779" s="2">
        <f t="shared" si="117"/>
        <v>45589</v>
      </c>
      <c r="R779" s="2">
        <v>45590.619652777779</v>
      </c>
      <c r="S779">
        <f t="shared" si="118"/>
        <v>1</v>
      </c>
      <c r="T779" s="2">
        <f t="shared" si="119"/>
        <v>45589</v>
      </c>
      <c r="U779" t="str">
        <f t="shared" si="120"/>
        <v>ATRASO</v>
      </c>
    </row>
    <row r="780" spans="1:21" hidden="1">
      <c r="A780" s="1">
        <v>18744</v>
      </c>
      <c r="B780" t="s">
        <v>19</v>
      </c>
      <c r="C780" t="s">
        <v>13</v>
      </c>
      <c r="D780" t="s">
        <v>18</v>
      </c>
      <c r="E780" s="1">
        <v>2931</v>
      </c>
      <c r="F780" s="1">
        <v>2024</v>
      </c>
      <c r="G780" t="s">
        <v>11</v>
      </c>
      <c r="H780" s="2">
        <v>45586.667037037034</v>
      </c>
      <c r="I780" s="9">
        <f t="shared" si="112"/>
        <v>45589</v>
      </c>
      <c r="J780" s="2" t="str">
        <f t="shared" si="113"/>
        <v/>
      </c>
      <c r="L780" s="2" t="str">
        <f t="shared" si="114"/>
        <v/>
      </c>
      <c r="N780" s="10" t="str">
        <f t="shared" si="115"/>
        <v/>
      </c>
      <c r="O780" s="2">
        <f t="shared" si="116"/>
        <v>45589</v>
      </c>
      <c r="P780" s="2">
        <v>45588.631203703706</v>
      </c>
      <c r="Q780" s="2">
        <f t="shared" si="117"/>
        <v>45595</v>
      </c>
      <c r="R780" s="2">
        <v>45588.632094907407</v>
      </c>
      <c r="S780">
        <f t="shared" si="118"/>
        <v>0</v>
      </c>
      <c r="T780" s="2">
        <f t="shared" si="119"/>
        <v>45595</v>
      </c>
      <c r="U780" t="str">
        <f t="shared" si="120"/>
        <v>NO PRAZO</v>
      </c>
    </row>
    <row r="781" spans="1:21" hidden="1">
      <c r="A781" s="1">
        <v>18739</v>
      </c>
      <c r="B781" t="s">
        <v>8</v>
      </c>
      <c r="C781" t="s">
        <v>9</v>
      </c>
      <c r="D781" t="s">
        <v>18</v>
      </c>
      <c r="E781" s="1">
        <v>2926</v>
      </c>
      <c r="F781" s="1">
        <v>2024</v>
      </c>
      <c r="G781" t="s">
        <v>11</v>
      </c>
      <c r="H781" s="2">
        <v>45586.416944444441</v>
      </c>
      <c r="I781" s="9">
        <f t="shared" si="112"/>
        <v>45589</v>
      </c>
      <c r="J781" s="2">
        <f t="shared" si="113"/>
        <v>45589</v>
      </c>
      <c r="K781" s="2">
        <v>45588.717037037037</v>
      </c>
      <c r="L781" s="2">
        <f t="shared" si="114"/>
        <v>45609</v>
      </c>
      <c r="M781" s="2">
        <v>45594.418865740743</v>
      </c>
      <c r="N781" s="10">
        <f t="shared" si="115"/>
        <v>0</v>
      </c>
      <c r="O781" s="2">
        <f t="shared" si="116"/>
        <v>45610</v>
      </c>
      <c r="P781" s="2">
        <v>45587.499803240738</v>
      </c>
      <c r="Q781" s="2">
        <f t="shared" si="117"/>
        <v>45618</v>
      </c>
      <c r="R781" s="2">
        <v>45594.419270833336</v>
      </c>
      <c r="S781">
        <f t="shared" si="118"/>
        <v>0</v>
      </c>
      <c r="T781" s="2">
        <f t="shared" si="119"/>
        <v>45595</v>
      </c>
      <c r="U781" t="str">
        <f t="shared" si="120"/>
        <v>NO PRAZO</v>
      </c>
    </row>
    <row r="782" spans="1:21" hidden="1">
      <c r="A782" s="1">
        <v>18735</v>
      </c>
      <c r="B782" t="s">
        <v>20</v>
      </c>
      <c r="C782" t="s">
        <v>13</v>
      </c>
      <c r="D782" t="s">
        <v>18</v>
      </c>
      <c r="E782" s="1">
        <v>2922</v>
      </c>
      <c r="F782" s="1">
        <v>2024</v>
      </c>
      <c r="G782" t="s">
        <v>11</v>
      </c>
      <c r="H782" s="2">
        <v>45583.791898148149</v>
      </c>
      <c r="I782" s="9">
        <f t="shared" si="112"/>
        <v>45588</v>
      </c>
      <c r="J782" s="2">
        <f t="shared" si="113"/>
        <v>45588</v>
      </c>
      <c r="K782" s="2">
        <v>45588.715578703705</v>
      </c>
      <c r="L782" s="2">
        <f t="shared" si="114"/>
        <v>45608</v>
      </c>
      <c r="M782" s="2">
        <v>45594.418402777781</v>
      </c>
      <c r="N782" s="10">
        <f t="shared" si="115"/>
        <v>0</v>
      </c>
      <c r="O782" s="2">
        <f t="shared" si="116"/>
        <v>45609</v>
      </c>
      <c r="P782" s="2">
        <v>45586.457662037035</v>
      </c>
      <c r="Q782" s="2">
        <f t="shared" si="117"/>
        <v>45617</v>
      </c>
      <c r="R782" s="2">
        <v>45594.418553240743</v>
      </c>
      <c r="S782">
        <f t="shared" si="118"/>
        <v>0</v>
      </c>
      <c r="T782" s="2">
        <f t="shared" si="119"/>
        <v>45594</v>
      </c>
      <c r="U782" t="str">
        <f t="shared" si="120"/>
        <v>NO PRAZO</v>
      </c>
    </row>
    <row r="783" spans="1:21" hidden="1">
      <c r="A783" s="1">
        <v>18717</v>
      </c>
      <c r="B783" t="s">
        <v>24</v>
      </c>
      <c r="C783" t="s">
        <v>13</v>
      </c>
      <c r="D783" t="s">
        <v>21</v>
      </c>
      <c r="E783" s="1">
        <v>2904</v>
      </c>
      <c r="F783" s="1">
        <v>2024</v>
      </c>
      <c r="G783" t="s">
        <v>11</v>
      </c>
      <c r="H783" s="2">
        <v>45581.494745370372</v>
      </c>
      <c r="I783" s="9">
        <f t="shared" si="112"/>
        <v>45586</v>
      </c>
      <c r="J783" s="2">
        <f t="shared" si="113"/>
        <v>45586</v>
      </c>
      <c r="K783" s="2">
        <v>45581.689062500001</v>
      </c>
      <c r="L783" s="2">
        <f t="shared" si="114"/>
        <v>45604</v>
      </c>
      <c r="M783" s="2">
        <v>45603.708553240744</v>
      </c>
      <c r="N783" s="10">
        <f t="shared" si="115"/>
        <v>0</v>
      </c>
      <c r="O783" s="2">
        <f t="shared" si="116"/>
        <v>45607</v>
      </c>
      <c r="P783" s="2">
        <v>45583.58017361111</v>
      </c>
      <c r="Q783" s="2">
        <f t="shared" si="117"/>
        <v>45636</v>
      </c>
      <c r="R783" s="2">
        <v>45609.577604166669</v>
      </c>
      <c r="S783">
        <f t="shared" si="118"/>
        <v>0</v>
      </c>
      <c r="T783" s="2">
        <f t="shared" si="119"/>
        <v>45636</v>
      </c>
      <c r="U783" t="str">
        <f t="shared" si="120"/>
        <v>NO PRAZO</v>
      </c>
    </row>
    <row r="784" spans="1:21" hidden="1">
      <c r="A784" s="1">
        <v>18692</v>
      </c>
      <c r="B784" t="s">
        <v>19</v>
      </c>
      <c r="C784" t="s">
        <v>13</v>
      </c>
      <c r="D784" t="s">
        <v>18</v>
      </c>
      <c r="E784" s="1">
        <v>2879</v>
      </c>
      <c r="F784" s="1">
        <v>2024</v>
      </c>
      <c r="G784" t="s">
        <v>11</v>
      </c>
      <c r="H784" s="2">
        <v>45575.709201388891</v>
      </c>
      <c r="I784" s="9">
        <f t="shared" si="112"/>
        <v>45580</v>
      </c>
      <c r="J784" s="2" t="str">
        <f t="shared" si="113"/>
        <v/>
      </c>
      <c r="L784" s="2" t="str">
        <f t="shared" si="114"/>
        <v/>
      </c>
      <c r="N784" s="10" t="str">
        <f t="shared" si="115"/>
        <v/>
      </c>
      <c r="O784" s="2">
        <f t="shared" si="116"/>
        <v>45580</v>
      </c>
      <c r="P784" s="2">
        <v>45576.492627314816</v>
      </c>
      <c r="Q784" s="2">
        <f t="shared" si="117"/>
        <v>45586</v>
      </c>
      <c r="R784" s="2">
        <v>45580.619525462964</v>
      </c>
      <c r="S784">
        <f t="shared" si="118"/>
        <v>0</v>
      </c>
      <c r="T784" s="2">
        <f t="shared" si="119"/>
        <v>45586</v>
      </c>
      <c r="U784" t="str">
        <f t="shared" si="120"/>
        <v>NO PRAZO</v>
      </c>
    </row>
    <row r="785" spans="1:21" hidden="1">
      <c r="A785" s="1">
        <v>18687</v>
      </c>
      <c r="B785" t="s">
        <v>12</v>
      </c>
      <c r="C785" t="s">
        <v>13</v>
      </c>
      <c r="D785" t="s">
        <v>18</v>
      </c>
      <c r="E785" s="1">
        <v>2874</v>
      </c>
      <c r="F785" s="1">
        <v>2024</v>
      </c>
      <c r="G785" t="s">
        <v>11</v>
      </c>
      <c r="H785" s="2">
        <v>45575.463159722225</v>
      </c>
      <c r="I785" s="9">
        <f t="shared" si="112"/>
        <v>45580</v>
      </c>
      <c r="J785" s="2" t="str">
        <f t="shared" si="113"/>
        <v/>
      </c>
      <c r="L785" s="2" t="str">
        <f t="shared" si="114"/>
        <v/>
      </c>
      <c r="N785" s="10" t="str">
        <f t="shared" si="115"/>
        <v/>
      </c>
      <c r="O785" s="2">
        <f t="shared" si="116"/>
        <v>45580</v>
      </c>
      <c r="P785" s="2">
        <v>45575.63013888889</v>
      </c>
      <c r="Q785" s="2">
        <f t="shared" si="117"/>
        <v>45586</v>
      </c>
      <c r="R785" s="2">
        <v>45576.411377314813</v>
      </c>
      <c r="S785">
        <f t="shared" si="118"/>
        <v>0</v>
      </c>
      <c r="T785" s="2">
        <f t="shared" si="119"/>
        <v>45586</v>
      </c>
      <c r="U785" t="str">
        <f t="shared" si="120"/>
        <v>NO PRAZO</v>
      </c>
    </row>
    <row r="786" spans="1:21" hidden="1">
      <c r="A786" s="1">
        <v>18682</v>
      </c>
      <c r="B786" t="s">
        <v>19</v>
      </c>
      <c r="C786" t="s">
        <v>13</v>
      </c>
      <c r="D786" t="s">
        <v>18</v>
      </c>
      <c r="E786" s="1">
        <v>2869</v>
      </c>
      <c r="F786" s="1">
        <v>2024</v>
      </c>
      <c r="G786" t="s">
        <v>11</v>
      </c>
      <c r="H786" s="2">
        <v>45574.709189814814</v>
      </c>
      <c r="I786" s="9">
        <f t="shared" si="112"/>
        <v>45579</v>
      </c>
      <c r="J786" s="2" t="str">
        <f t="shared" si="113"/>
        <v/>
      </c>
      <c r="L786" s="2" t="str">
        <f t="shared" si="114"/>
        <v/>
      </c>
      <c r="N786" s="10" t="str">
        <f t="shared" si="115"/>
        <v/>
      </c>
      <c r="O786" s="2">
        <f t="shared" si="116"/>
        <v>45579</v>
      </c>
      <c r="P786" s="2">
        <v>45576.65053240741</v>
      </c>
      <c r="Q786" s="2">
        <f t="shared" si="117"/>
        <v>45583</v>
      </c>
      <c r="R786" s="2">
        <v>45579.604074074072</v>
      </c>
      <c r="S786">
        <f t="shared" si="118"/>
        <v>0</v>
      </c>
      <c r="T786" s="2">
        <f t="shared" si="119"/>
        <v>45583</v>
      </c>
      <c r="U786" t="str">
        <f t="shared" si="120"/>
        <v>NO PRAZO</v>
      </c>
    </row>
    <row r="787" spans="1:21" hidden="1">
      <c r="A787" s="1">
        <v>18644</v>
      </c>
      <c r="B787" t="s">
        <v>20</v>
      </c>
      <c r="C787" t="s">
        <v>13</v>
      </c>
      <c r="D787" t="s">
        <v>21</v>
      </c>
      <c r="E787" s="1">
        <v>2831</v>
      </c>
      <c r="F787" s="1">
        <v>2024</v>
      </c>
      <c r="G787" t="s">
        <v>11</v>
      </c>
      <c r="H787" s="2">
        <v>45572.459074074075</v>
      </c>
      <c r="I787" s="9">
        <f t="shared" si="112"/>
        <v>45575</v>
      </c>
      <c r="J787" s="2" t="str">
        <f t="shared" si="113"/>
        <v/>
      </c>
      <c r="L787" s="2" t="str">
        <f t="shared" si="114"/>
        <v/>
      </c>
      <c r="N787" s="10" t="str">
        <f t="shared" si="115"/>
        <v/>
      </c>
      <c r="O787" s="2">
        <f t="shared" si="116"/>
        <v>45575</v>
      </c>
      <c r="P787" s="2">
        <v>45581.595138888886</v>
      </c>
      <c r="Q787" s="2">
        <f t="shared" si="117"/>
        <v>45602</v>
      </c>
      <c r="R787" s="2">
        <v>45581.635092592594</v>
      </c>
      <c r="S787">
        <f t="shared" si="118"/>
        <v>0</v>
      </c>
      <c r="T787" s="2">
        <f t="shared" si="119"/>
        <v>45602</v>
      </c>
      <c r="U787" t="str">
        <f t="shared" si="120"/>
        <v>NO PRAZO</v>
      </c>
    </row>
    <row r="788" spans="1:21" hidden="1">
      <c r="A788" s="1">
        <v>18627</v>
      </c>
      <c r="B788" t="s">
        <v>20</v>
      </c>
      <c r="C788" t="s">
        <v>13</v>
      </c>
      <c r="D788" t="s">
        <v>18</v>
      </c>
      <c r="E788" s="1">
        <v>2814</v>
      </c>
      <c r="F788" s="1">
        <v>2024</v>
      </c>
      <c r="G788" t="s">
        <v>11</v>
      </c>
      <c r="H788" s="2">
        <v>45568.708923611113</v>
      </c>
      <c r="I788" s="9">
        <f t="shared" si="112"/>
        <v>45573</v>
      </c>
      <c r="J788" s="2" t="str">
        <f t="shared" si="113"/>
        <v/>
      </c>
      <c r="L788" s="2" t="str">
        <f t="shared" si="114"/>
        <v/>
      </c>
      <c r="N788" s="10" t="str">
        <f t="shared" si="115"/>
        <v/>
      </c>
      <c r="O788" s="2">
        <f t="shared" si="116"/>
        <v>45573</v>
      </c>
      <c r="P788" s="2">
        <v>45569.427997685183</v>
      </c>
      <c r="Q788" s="2">
        <f t="shared" si="117"/>
        <v>45579</v>
      </c>
      <c r="R788" s="2">
        <v>45569.434560185182</v>
      </c>
      <c r="S788">
        <f t="shared" si="118"/>
        <v>0</v>
      </c>
      <c r="T788" s="2">
        <f t="shared" si="119"/>
        <v>45579</v>
      </c>
      <c r="U788" t="str">
        <f t="shared" si="120"/>
        <v>NO PRAZO</v>
      </c>
    </row>
    <row r="789" spans="1:21" hidden="1">
      <c r="A789" s="1">
        <v>18623</v>
      </c>
      <c r="B789" t="s">
        <v>12</v>
      </c>
      <c r="C789" t="s">
        <v>13</v>
      </c>
      <c r="D789" t="s">
        <v>18</v>
      </c>
      <c r="E789" s="1">
        <v>2810</v>
      </c>
      <c r="F789" s="1">
        <v>2024</v>
      </c>
      <c r="G789" t="s">
        <v>11</v>
      </c>
      <c r="H789" s="2">
        <v>45568.583923611113</v>
      </c>
      <c r="I789" s="9">
        <f t="shared" si="112"/>
        <v>45573</v>
      </c>
      <c r="J789" s="2" t="str">
        <f t="shared" si="113"/>
        <v/>
      </c>
      <c r="L789" s="2" t="str">
        <f t="shared" si="114"/>
        <v/>
      </c>
      <c r="N789" s="10" t="str">
        <f t="shared" si="115"/>
        <v/>
      </c>
      <c r="O789" s="2">
        <f t="shared" si="116"/>
        <v>45573</v>
      </c>
      <c r="P789" s="2">
        <v>45569.671990740739</v>
      </c>
      <c r="Q789" s="2">
        <f t="shared" si="117"/>
        <v>45579</v>
      </c>
      <c r="R789" s="2">
        <v>45574.522604166668</v>
      </c>
      <c r="S789">
        <f t="shared" si="118"/>
        <v>0</v>
      </c>
      <c r="T789" s="2">
        <f t="shared" si="119"/>
        <v>45579</v>
      </c>
      <c r="U789" t="str">
        <f t="shared" si="120"/>
        <v>NO PRAZO</v>
      </c>
    </row>
    <row r="790" spans="1:21" hidden="1">
      <c r="A790" s="1">
        <v>18619</v>
      </c>
      <c r="B790" t="s">
        <v>17</v>
      </c>
      <c r="C790" t="s">
        <v>13</v>
      </c>
      <c r="D790" t="s">
        <v>18</v>
      </c>
      <c r="E790" s="1">
        <v>2806</v>
      </c>
      <c r="F790" s="1">
        <v>2024</v>
      </c>
      <c r="G790" t="s">
        <v>11</v>
      </c>
      <c r="H790" s="2">
        <v>45567.792280092595</v>
      </c>
      <c r="I790" s="9">
        <f t="shared" si="112"/>
        <v>45572</v>
      </c>
      <c r="J790" s="2" t="str">
        <f t="shared" si="113"/>
        <v/>
      </c>
      <c r="L790" s="2" t="str">
        <f t="shared" si="114"/>
        <v/>
      </c>
      <c r="N790" s="10" t="str">
        <f t="shared" si="115"/>
        <v/>
      </c>
      <c r="O790" s="2">
        <f t="shared" si="116"/>
        <v>45572</v>
      </c>
      <c r="P790" s="2">
        <v>45572.609768518516</v>
      </c>
      <c r="Q790" s="2">
        <f t="shared" si="117"/>
        <v>45576</v>
      </c>
      <c r="R790" s="2">
        <v>45572.611261574071</v>
      </c>
      <c r="S790">
        <f t="shared" si="118"/>
        <v>0</v>
      </c>
      <c r="T790" s="2">
        <f t="shared" si="119"/>
        <v>45576</v>
      </c>
      <c r="U790" t="str">
        <f t="shared" si="120"/>
        <v>NO PRAZO</v>
      </c>
    </row>
    <row r="791" spans="1:21" hidden="1">
      <c r="A791" s="1">
        <v>18618</v>
      </c>
      <c r="B791" t="s">
        <v>17</v>
      </c>
      <c r="C791" t="s">
        <v>13</v>
      </c>
      <c r="D791" t="s">
        <v>18</v>
      </c>
      <c r="E791" s="1">
        <v>2805</v>
      </c>
      <c r="F791" s="1">
        <v>2024</v>
      </c>
      <c r="G791" t="s">
        <v>11</v>
      </c>
      <c r="H791" s="2">
        <v>45567.792280092595</v>
      </c>
      <c r="I791" s="9">
        <f t="shared" si="112"/>
        <v>45572</v>
      </c>
      <c r="J791" s="2" t="str">
        <f t="shared" si="113"/>
        <v/>
      </c>
      <c r="L791" s="2" t="str">
        <f t="shared" si="114"/>
        <v/>
      </c>
      <c r="N791" s="10" t="str">
        <f t="shared" si="115"/>
        <v/>
      </c>
      <c r="O791" s="2">
        <f t="shared" si="116"/>
        <v>45572</v>
      </c>
      <c r="P791" s="2">
        <v>45573.457812499997</v>
      </c>
      <c r="Q791" s="2">
        <f t="shared" si="117"/>
        <v>45576</v>
      </c>
      <c r="R791" s="2">
        <v>45573.459120370368</v>
      </c>
      <c r="S791">
        <f t="shared" si="118"/>
        <v>0</v>
      </c>
      <c r="T791" s="2">
        <f t="shared" si="119"/>
        <v>45576</v>
      </c>
      <c r="U791" t="str">
        <f t="shared" si="120"/>
        <v>NO PRAZO</v>
      </c>
    </row>
    <row r="792" spans="1:21" hidden="1">
      <c r="A792" s="1">
        <v>18617</v>
      </c>
      <c r="B792" t="s">
        <v>17</v>
      </c>
      <c r="C792" t="s">
        <v>13</v>
      </c>
      <c r="D792" t="s">
        <v>18</v>
      </c>
      <c r="E792" s="1">
        <v>2804</v>
      </c>
      <c r="F792" s="1">
        <v>2024</v>
      </c>
      <c r="G792" t="s">
        <v>11</v>
      </c>
      <c r="H792" s="2">
        <v>45567.792280092595</v>
      </c>
      <c r="I792" s="9">
        <f t="shared" si="112"/>
        <v>45572</v>
      </c>
      <c r="J792" s="2" t="str">
        <f t="shared" si="113"/>
        <v/>
      </c>
      <c r="L792" s="2" t="str">
        <f t="shared" si="114"/>
        <v/>
      </c>
      <c r="N792" s="10" t="str">
        <f t="shared" si="115"/>
        <v/>
      </c>
      <c r="O792" s="2">
        <f t="shared" si="116"/>
        <v>45572</v>
      </c>
      <c r="P792" s="2">
        <v>45573.679143518515</v>
      </c>
      <c r="Q792" s="2">
        <f t="shared" si="117"/>
        <v>45576</v>
      </c>
      <c r="R792" s="2">
        <v>45574.494537037041</v>
      </c>
      <c r="S792">
        <f t="shared" si="118"/>
        <v>0</v>
      </c>
      <c r="T792" s="2">
        <f t="shared" si="119"/>
        <v>45576</v>
      </c>
      <c r="U792" t="str">
        <f t="shared" si="120"/>
        <v>NO PRAZO</v>
      </c>
    </row>
    <row r="793" spans="1:21" hidden="1">
      <c r="A793" s="1">
        <v>18606</v>
      </c>
      <c r="B793" t="s">
        <v>24</v>
      </c>
      <c r="C793" t="s">
        <v>13</v>
      </c>
      <c r="D793" t="s">
        <v>14</v>
      </c>
      <c r="E793" s="1">
        <v>2793</v>
      </c>
      <c r="F793" s="1">
        <v>2024</v>
      </c>
      <c r="G793" t="s">
        <v>11</v>
      </c>
      <c r="H793" s="2">
        <v>45566.727141203701</v>
      </c>
      <c r="I793" s="9">
        <f t="shared" si="112"/>
        <v>45567</v>
      </c>
      <c r="J793" s="2" t="str">
        <f t="shared" si="113"/>
        <v/>
      </c>
      <c r="L793" s="2" t="str">
        <f t="shared" si="114"/>
        <v/>
      </c>
      <c r="N793" s="10" t="str">
        <f t="shared" si="115"/>
        <v/>
      </c>
      <c r="O793" s="2">
        <f t="shared" si="116"/>
        <v>45567</v>
      </c>
      <c r="P793" s="2">
        <v>45567.427731481483</v>
      </c>
      <c r="Q793" s="2">
        <f t="shared" si="117"/>
        <v>45568</v>
      </c>
      <c r="R793" s="2">
        <v>45568.528900462959</v>
      </c>
      <c r="S793">
        <f t="shared" si="118"/>
        <v>0</v>
      </c>
      <c r="T793" s="2">
        <f t="shared" si="119"/>
        <v>45568</v>
      </c>
      <c r="U793" t="str">
        <f t="shared" si="120"/>
        <v>NO PRAZO</v>
      </c>
    </row>
    <row r="794" spans="1:21" hidden="1">
      <c r="A794" s="1">
        <v>18604</v>
      </c>
      <c r="B794" t="s">
        <v>22</v>
      </c>
      <c r="C794" t="s">
        <v>13</v>
      </c>
      <c r="D794" t="s">
        <v>16</v>
      </c>
      <c r="E794" s="1">
        <v>2791</v>
      </c>
      <c r="F794" s="1">
        <v>2024</v>
      </c>
      <c r="G794" t="s">
        <v>11</v>
      </c>
      <c r="H794" s="2">
        <v>45566.708854166667</v>
      </c>
      <c r="I794" s="9">
        <f t="shared" si="112"/>
        <v>45567</v>
      </c>
      <c r="J794" s="2" t="str">
        <f t="shared" si="113"/>
        <v/>
      </c>
      <c r="L794" s="2" t="str">
        <f t="shared" si="114"/>
        <v/>
      </c>
      <c r="N794" s="10" t="str">
        <f t="shared" si="115"/>
        <v/>
      </c>
      <c r="O794" s="2">
        <f t="shared" si="116"/>
        <v>45567</v>
      </c>
      <c r="P794" s="2">
        <v>45569.476967592593</v>
      </c>
      <c r="Q794" s="2">
        <f t="shared" si="117"/>
        <v>45573</v>
      </c>
      <c r="R794" s="2">
        <v>45569.748726851853</v>
      </c>
      <c r="S794">
        <f t="shared" si="118"/>
        <v>0</v>
      </c>
      <c r="T794" s="2">
        <f t="shared" si="119"/>
        <v>45573</v>
      </c>
      <c r="U794" t="str">
        <f t="shared" si="120"/>
        <v>NO PRAZO</v>
      </c>
    </row>
    <row r="795" spans="1:21" hidden="1">
      <c r="A795" s="1">
        <v>18583</v>
      </c>
      <c r="B795" t="s">
        <v>17</v>
      </c>
      <c r="C795" t="s">
        <v>9</v>
      </c>
      <c r="D795" t="s">
        <v>18</v>
      </c>
      <c r="E795" s="1">
        <v>2770</v>
      </c>
      <c r="F795" s="1">
        <v>2024</v>
      </c>
      <c r="G795" t="s">
        <v>11</v>
      </c>
      <c r="H795" s="2">
        <v>45565.583807870367</v>
      </c>
      <c r="I795" s="9">
        <f t="shared" si="112"/>
        <v>45568</v>
      </c>
      <c r="J795" s="2" t="str">
        <f t="shared" si="113"/>
        <v/>
      </c>
      <c r="L795" s="2" t="str">
        <f t="shared" si="114"/>
        <v/>
      </c>
      <c r="N795" s="10" t="str">
        <f t="shared" si="115"/>
        <v/>
      </c>
      <c r="O795" s="2">
        <f t="shared" si="116"/>
        <v>45568</v>
      </c>
      <c r="P795" s="2">
        <v>45566.438310185185</v>
      </c>
      <c r="Q795" s="2">
        <f t="shared" si="117"/>
        <v>45574</v>
      </c>
      <c r="R795" s="2">
        <v>45566.451932870368</v>
      </c>
      <c r="S795">
        <f t="shared" si="118"/>
        <v>0</v>
      </c>
      <c r="T795" s="2">
        <f t="shared" si="119"/>
        <v>45574</v>
      </c>
      <c r="U795" t="str">
        <f t="shared" si="120"/>
        <v>NO PRAZO</v>
      </c>
    </row>
    <row r="796" spans="1:21" hidden="1">
      <c r="A796" s="1">
        <v>18578</v>
      </c>
      <c r="B796" t="s">
        <v>17</v>
      </c>
      <c r="C796" t="s">
        <v>13</v>
      </c>
      <c r="D796" t="s">
        <v>10</v>
      </c>
      <c r="E796" s="1">
        <v>2765</v>
      </c>
      <c r="F796" s="1">
        <v>2024</v>
      </c>
      <c r="G796" t="s">
        <v>11</v>
      </c>
      <c r="H796" s="2">
        <v>45562.792048611111</v>
      </c>
      <c r="I796" s="9">
        <f t="shared" si="112"/>
        <v>45565</v>
      </c>
      <c r="J796" s="2" t="str">
        <f t="shared" si="113"/>
        <v/>
      </c>
      <c r="L796" s="2" t="str">
        <f t="shared" si="114"/>
        <v/>
      </c>
      <c r="N796" s="10" t="str">
        <f t="shared" si="115"/>
        <v/>
      </c>
      <c r="O796" s="2">
        <f t="shared" si="116"/>
        <v>45565</v>
      </c>
      <c r="P796" s="2">
        <v>45566.403194444443</v>
      </c>
      <c r="Q796" s="2">
        <f t="shared" si="117"/>
        <v>45566</v>
      </c>
      <c r="R796" s="2">
        <v>45566.409872685188</v>
      </c>
      <c r="S796">
        <f t="shared" si="118"/>
        <v>0</v>
      </c>
      <c r="T796" s="2">
        <f t="shared" si="119"/>
        <v>45566</v>
      </c>
      <c r="U796" t="str">
        <f t="shared" si="120"/>
        <v>NO PRAZO</v>
      </c>
    </row>
    <row r="797" spans="1:21" hidden="1">
      <c r="A797" s="1">
        <v>18576</v>
      </c>
      <c r="B797" t="s">
        <v>19</v>
      </c>
      <c r="C797" t="s">
        <v>13</v>
      </c>
      <c r="D797" t="s">
        <v>16</v>
      </c>
      <c r="E797" s="1">
        <v>2763</v>
      </c>
      <c r="F797" s="1">
        <v>2024</v>
      </c>
      <c r="G797" t="s">
        <v>11</v>
      </c>
      <c r="H797" s="2">
        <v>45562.708715277775</v>
      </c>
      <c r="I797" s="9">
        <f t="shared" si="112"/>
        <v>45565</v>
      </c>
      <c r="J797" s="2" t="str">
        <f t="shared" si="113"/>
        <v/>
      </c>
      <c r="L797" s="2" t="str">
        <f t="shared" si="114"/>
        <v/>
      </c>
      <c r="N797" s="10" t="str">
        <f t="shared" si="115"/>
        <v/>
      </c>
      <c r="O797" s="2">
        <f t="shared" si="116"/>
        <v>45565</v>
      </c>
      <c r="P797" s="2">
        <v>45565.735833333332</v>
      </c>
      <c r="Q797" s="2">
        <f t="shared" si="117"/>
        <v>45569</v>
      </c>
      <c r="R797" s="2">
        <v>45569.579351851855</v>
      </c>
      <c r="S797">
        <f t="shared" si="118"/>
        <v>0</v>
      </c>
      <c r="T797" s="2">
        <f t="shared" si="119"/>
        <v>45569</v>
      </c>
      <c r="U797" t="str">
        <f t="shared" si="120"/>
        <v>NO PRAZO</v>
      </c>
    </row>
    <row r="798" spans="1:21">
      <c r="A798" s="1">
        <v>18568</v>
      </c>
      <c r="B798" t="s">
        <v>20</v>
      </c>
      <c r="C798" t="s">
        <v>13</v>
      </c>
      <c r="D798" t="s">
        <v>16</v>
      </c>
      <c r="E798" s="1">
        <v>2755</v>
      </c>
      <c r="F798" s="1">
        <v>2024</v>
      </c>
      <c r="G798" t="s">
        <v>11</v>
      </c>
      <c r="H798" s="2">
        <v>45561.375335648147</v>
      </c>
      <c r="I798" s="9">
        <f t="shared" si="112"/>
        <v>45562</v>
      </c>
      <c r="J798" s="2" t="str">
        <f t="shared" si="113"/>
        <v/>
      </c>
      <c r="L798" s="2" t="str">
        <f t="shared" si="114"/>
        <v/>
      </c>
      <c r="N798" s="10" t="str">
        <f t="shared" si="115"/>
        <v/>
      </c>
      <c r="O798" s="2">
        <f t="shared" si="116"/>
        <v>45562</v>
      </c>
      <c r="P798" s="2">
        <v>45573.315115740741</v>
      </c>
      <c r="Q798" s="2">
        <f t="shared" si="117"/>
        <v>45568</v>
      </c>
      <c r="R798" s="2">
        <v>45573.315358796295</v>
      </c>
      <c r="S798">
        <f t="shared" si="118"/>
        <v>5</v>
      </c>
      <c r="T798" s="2">
        <f t="shared" si="119"/>
        <v>45568</v>
      </c>
      <c r="U798" t="str">
        <f t="shared" si="120"/>
        <v>ATRASO</v>
      </c>
    </row>
    <row r="799" spans="1:21" hidden="1">
      <c r="A799" s="1">
        <v>18564</v>
      </c>
      <c r="B799" t="s">
        <v>17</v>
      </c>
      <c r="C799" t="s">
        <v>13</v>
      </c>
      <c r="D799" t="s">
        <v>18</v>
      </c>
      <c r="E799" s="1">
        <v>2751</v>
      </c>
      <c r="F799" s="1">
        <v>2024</v>
      </c>
      <c r="G799" t="s">
        <v>11</v>
      </c>
      <c r="H799" s="2">
        <v>45560.625277777777</v>
      </c>
      <c r="I799" s="9">
        <f t="shared" si="112"/>
        <v>45565</v>
      </c>
      <c r="J799" s="2" t="str">
        <f t="shared" si="113"/>
        <v/>
      </c>
      <c r="L799" s="2" t="str">
        <f t="shared" si="114"/>
        <v/>
      </c>
      <c r="N799" s="10" t="str">
        <f t="shared" si="115"/>
        <v/>
      </c>
      <c r="O799" s="2">
        <f t="shared" si="116"/>
        <v>45565</v>
      </c>
      <c r="P799" s="2">
        <v>45566.438136574077</v>
      </c>
      <c r="Q799" s="2">
        <f t="shared" si="117"/>
        <v>45569</v>
      </c>
      <c r="R799" s="2">
        <v>45566.438807870371</v>
      </c>
      <c r="S799">
        <f t="shared" si="118"/>
        <v>0</v>
      </c>
      <c r="T799" s="2">
        <f t="shared" si="119"/>
        <v>45569</v>
      </c>
      <c r="U799" t="str">
        <f t="shared" si="120"/>
        <v>NO PRAZO</v>
      </c>
    </row>
    <row r="800" spans="1:21" hidden="1">
      <c r="A800" s="1">
        <v>18559</v>
      </c>
      <c r="B800" t="s">
        <v>24</v>
      </c>
      <c r="C800" t="s">
        <v>13</v>
      </c>
      <c r="D800" t="s">
        <v>18</v>
      </c>
      <c r="E800" s="1">
        <v>2746</v>
      </c>
      <c r="F800" s="1">
        <v>2024</v>
      </c>
      <c r="G800" t="s">
        <v>11</v>
      </c>
      <c r="H800" s="2">
        <v>45559.750254629631</v>
      </c>
      <c r="I800" s="9">
        <f t="shared" si="112"/>
        <v>45562</v>
      </c>
      <c r="J800" s="2" t="str">
        <f t="shared" si="113"/>
        <v/>
      </c>
      <c r="L800" s="2" t="str">
        <f t="shared" si="114"/>
        <v/>
      </c>
      <c r="N800" s="10" t="str">
        <f t="shared" si="115"/>
        <v/>
      </c>
      <c r="O800" s="2">
        <f t="shared" si="116"/>
        <v>45562</v>
      </c>
      <c r="P800" s="2">
        <v>45566.686192129629</v>
      </c>
      <c r="Q800" s="2">
        <f t="shared" si="117"/>
        <v>45568</v>
      </c>
      <c r="R800" s="2">
        <v>45566.717002314814</v>
      </c>
      <c r="S800">
        <f t="shared" si="118"/>
        <v>0</v>
      </c>
      <c r="T800" s="2">
        <f t="shared" si="119"/>
        <v>45568</v>
      </c>
      <c r="U800" t="str">
        <f t="shared" si="120"/>
        <v>NO PRAZO</v>
      </c>
    </row>
    <row r="801" spans="1:21" hidden="1">
      <c r="A801" s="1">
        <v>18548</v>
      </c>
      <c r="B801" t="s">
        <v>20</v>
      </c>
      <c r="C801" t="s">
        <v>13</v>
      </c>
      <c r="D801" t="s">
        <v>21</v>
      </c>
      <c r="E801" s="1">
        <v>2735</v>
      </c>
      <c r="F801" s="1">
        <v>2024</v>
      </c>
      <c r="G801" t="s">
        <v>11</v>
      </c>
      <c r="H801" s="2">
        <v>45558.500694444447</v>
      </c>
      <c r="I801" s="9">
        <f t="shared" si="112"/>
        <v>45561</v>
      </c>
      <c r="J801" s="2" t="str">
        <f t="shared" si="113"/>
        <v/>
      </c>
      <c r="L801" s="2" t="str">
        <f t="shared" si="114"/>
        <v/>
      </c>
      <c r="N801" s="10" t="str">
        <f t="shared" si="115"/>
        <v/>
      </c>
      <c r="O801" s="2">
        <f t="shared" si="116"/>
        <v>45561</v>
      </c>
      <c r="P801" s="2">
        <v>45565.589525462965</v>
      </c>
      <c r="Q801" s="2">
        <f t="shared" si="117"/>
        <v>45588</v>
      </c>
      <c r="R801" s="2">
        <v>45567.742731481485</v>
      </c>
      <c r="S801">
        <f t="shared" si="118"/>
        <v>0</v>
      </c>
      <c r="T801" s="2">
        <f t="shared" si="119"/>
        <v>45588</v>
      </c>
      <c r="U801" t="str">
        <f t="shared" si="120"/>
        <v>NO PRAZO</v>
      </c>
    </row>
    <row r="802" spans="1:21" hidden="1">
      <c r="A802" s="1">
        <v>18547</v>
      </c>
      <c r="B802" t="s">
        <v>17</v>
      </c>
      <c r="C802" t="s">
        <v>13</v>
      </c>
      <c r="D802" t="s">
        <v>18</v>
      </c>
      <c r="E802" s="1">
        <v>2734</v>
      </c>
      <c r="F802" s="1">
        <v>2024</v>
      </c>
      <c r="G802" t="s">
        <v>11</v>
      </c>
      <c r="H802" s="2">
        <v>45558.417395833334</v>
      </c>
      <c r="I802" s="9">
        <f t="shared" si="112"/>
        <v>45561</v>
      </c>
      <c r="J802" s="2" t="str">
        <f t="shared" si="113"/>
        <v/>
      </c>
      <c r="L802" s="2" t="str">
        <f t="shared" si="114"/>
        <v/>
      </c>
      <c r="N802" s="10" t="str">
        <f t="shared" si="115"/>
        <v/>
      </c>
      <c r="O802" s="2">
        <f t="shared" si="116"/>
        <v>45561</v>
      </c>
      <c r="P802" s="2">
        <v>45560.374571759261</v>
      </c>
      <c r="Q802" s="2">
        <f t="shared" si="117"/>
        <v>45567</v>
      </c>
      <c r="R802" s="2">
        <v>45560.375208333331</v>
      </c>
      <c r="S802">
        <f t="shared" si="118"/>
        <v>0</v>
      </c>
      <c r="T802" s="2">
        <f t="shared" si="119"/>
        <v>45567</v>
      </c>
      <c r="U802" t="str">
        <f t="shared" si="120"/>
        <v>NO PRAZO</v>
      </c>
    </row>
    <row r="803" spans="1:21" hidden="1">
      <c r="A803" s="1">
        <v>18544</v>
      </c>
      <c r="B803" t="s">
        <v>19</v>
      </c>
      <c r="C803" t="s">
        <v>13</v>
      </c>
      <c r="D803" t="s">
        <v>18</v>
      </c>
      <c r="E803" s="1">
        <v>2731</v>
      </c>
      <c r="F803" s="1">
        <v>2024</v>
      </c>
      <c r="G803" t="s">
        <v>11</v>
      </c>
      <c r="H803" s="2">
        <v>45555.792256944442</v>
      </c>
      <c r="I803" s="9">
        <f t="shared" si="112"/>
        <v>45560</v>
      </c>
      <c r="J803" s="2" t="str">
        <f t="shared" si="113"/>
        <v/>
      </c>
      <c r="L803" s="2" t="str">
        <f t="shared" si="114"/>
        <v/>
      </c>
      <c r="N803" s="10" t="str">
        <f t="shared" si="115"/>
        <v/>
      </c>
      <c r="O803" s="2">
        <f t="shared" si="116"/>
        <v>45560</v>
      </c>
      <c r="P803" s="2">
        <v>45560.48133101852</v>
      </c>
      <c r="Q803" s="2">
        <f t="shared" si="117"/>
        <v>45566</v>
      </c>
      <c r="R803" s="2">
        <v>45560.481550925928</v>
      </c>
      <c r="S803">
        <f t="shared" si="118"/>
        <v>0</v>
      </c>
      <c r="T803" s="2">
        <f t="shared" si="119"/>
        <v>45566</v>
      </c>
      <c r="U803" t="str">
        <f t="shared" si="120"/>
        <v>NO PRAZO</v>
      </c>
    </row>
    <row r="804" spans="1:21">
      <c r="A804" s="1">
        <v>18524</v>
      </c>
      <c r="B804" t="s">
        <v>24</v>
      </c>
      <c r="C804" t="s">
        <v>13</v>
      </c>
      <c r="D804" t="s">
        <v>16</v>
      </c>
      <c r="E804" s="1">
        <v>2711</v>
      </c>
      <c r="F804" s="1">
        <v>2024</v>
      </c>
      <c r="G804" t="s">
        <v>11</v>
      </c>
      <c r="H804" s="2">
        <v>45553.70884259259</v>
      </c>
      <c r="I804" s="9">
        <f t="shared" si="112"/>
        <v>45554</v>
      </c>
      <c r="J804" s="2" t="str">
        <f t="shared" si="113"/>
        <v/>
      </c>
      <c r="L804" s="2" t="str">
        <f t="shared" si="114"/>
        <v/>
      </c>
      <c r="N804" s="10" t="str">
        <f t="shared" si="115"/>
        <v/>
      </c>
      <c r="O804" s="2">
        <f t="shared" si="116"/>
        <v>45554</v>
      </c>
      <c r="P804" s="2">
        <v>45555.585509259261</v>
      </c>
      <c r="Q804" s="2">
        <f t="shared" si="117"/>
        <v>45560</v>
      </c>
      <c r="R804" s="2">
        <v>45574.507002314815</v>
      </c>
      <c r="S804">
        <f t="shared" si="118"/>
        <v>14</v>
      </c>
      <c r="T804" s="2">
        <f t="shared" si="119"/>
        <v>45560</v>
      </c>
      <c r="U804" t="str">
        <f t="shared" si="120"/>
        <v>ATRASO</v>
      </c>
    </row>
    <row r="805" spans="1:21" hidden="1">
      <c r="A805" s="1">
        <v>18517</v>
      </c>
      <c r="B805" t="s">
        <v>17</v>
      </c>
      <c r="C805" t="s">
        <v>9</v>
      </c>
      <c r="D805" t="s">
        <v>14</v>
      </c>
      <c r="E805" s="1">
        <v>2704</v>
      </c>
      <c r="F805" s="1">
        <v>2024</v>
      </c>
      <c r="G805" t="s">
        <v>11</v>
      </c>
      <c r="H805" s="2">
        <v>45552.708831018521</v>
      </c>
      <c r="I805" s="9">
        <f t="shared" si="112"/>
        <v>45553</v>
      </c>
      <c r="J805" s="2" t="str">
        <f t="shared" si="113"/>
        <v/>
      </c>
      <c r="L805" s="2" t="str">
        <f t="shared" si="114"/>
        <v/>
      </c>
      <c r="N805" s="10" t="str">
        <f t="shared" si="115"/>
        <v/>
      </c>
      <c r="O805" s="2">
        <f t="shared" si="116"/>
        <v>45553</v>
      </c>
      <c r="P805" s="2">
        <v>45552.71298611111</v>
      </c>
      <c r="Q805" s="2">
        <f t="shared" si="117"/>
        <v>45554</v>
      </c>
      <c r="R805" s="2">
        <v>45553.412546296298</v>
      </c>
      <c r="S805">
        <f t="shared" si="118"/>
        <v>0</v>
      </c>
      <c r="T805" s="2">
        <f t="shared" si="119"/>
        <v>45554</v>
      </c>
      <c r="U805" t="str">
        <f t="shared" si="120"/>
        <v>NO PRAZO</v>
      </c>
    </row>
    <row r="806" spans="1:21" hidden="1">
      <c r="A806" s="1">
        <v>18516</v>
      </c>
      <c r="B806" t="s">
        <v>17</v>
      </c>
      <c r="C806" t="s">
        <v>13</v>
      </c>
      <c r="D806" t="s">
        <v>14</v>
      </c>
      <c r="E806" s="1">
        <v>2703</v>
      </c>
      <c r="F806" s="1">
        <v>2024</v>
      </c>
      <c r="G806" t="s">
        <v>11</v>
      </c>
      <c r="H806" s="2">
        <v>45552.583796296298</v>
      </c>
      <c r="I806" s="9">
        <f t="shared" si="112"/>
        <v>45553</v>
      </c>
      <c r="J806" s="2" t="str">
        <f t="shared" si="113"/>
        <v/>
      </c>
      <c r="L806" s="2" t="str">
        <f t="shared" si="114"/>
        <v/>
      </c>
      <c r="N806" s="10" t="str">
        <f t="shared" si="115"/>
        <v/>
      </c>
      <c r="O806" s="2">
        <f t="shared" si="116"/>
        <v>45553</v>
      </c>
      <c r="P806" s="2">
        <v>45552.682546296295</v>
      </c>
      <c r="Q806" s="2">
        <f t="shared" si="117"/>
        <v>45554</v>
      </c>
      <c r="R806" s="2">
        <v>45553.413912037038</v>
      </c>
      <c r="S806">
        <f t="shared" si="118"/>
        <v>0</v>
      </c>
      <c r="T806" s="2">
        <f t="shared" si="119"/>
        <v>45554</v>
      </c>
      <c r="U806" t="str">
        <f t="shared" si="120"/>
        <v>NO PRAZO</v>
      </c>
    </row>
    <row r="807" spans="1:21" hidden="1">
      <c r="A807" s="1">
        <v>18514</v>
      </c>
      <c r="B807" t="s">
        <v>17</v>
      </c>
      <c r="C807" t="s">
        <v>9</v>
      </c>
      <c r="D807" t="s">
        <v>14</v>
      </c>
      <c r="E807" s="1">
        <v>2701</v>
      </c>
      <c r="F807" s="1">
        <v>2024</v>
      </c>
      <c r="G807" t="s">
        <v>11</v>
      </c>
      <c r="H807" s="2">
        <v>45552.583796296298</v>
      </c>
      <c r="I807" s="9">
        <f t="shared" si="112"/>
        <v>45553</v>
      </c>
      <c r="J807" s="2" t="str">
        <f t="shared" si="113"/>
        <v/>
      </c>
      <c r="L807" s="2" t="str">
        <f t="shared" si="114"/>
        <v/>
      </c>
      <c r="N807" s="10" t="str">
        <f t="shared" si="115"/>
        <v/>
      </c>
      <c r="O807" s="2">
        <f t="shared" si="116"/>
        <v>45553</v>
      </c>
      <c r="P807" s="2">
        <v>45552.681875000002</v>
      </c>
      <c r="Q807" s="2">
        <f t="shared" si="117"/>
        <v>45554</v>
      </c>
      <c r="R807" s="2">
        <v>45553.413854166669</v>
      </c>
      <c r="S807">
        <f t="shared" si="118"/>
        <v>0</v>
      </c>
      <c r="T807" s="2">
        <f t="shared" si="119"/>
        <v>45554</v>
      </c>
      <c r="U807" t="str">
        <f t="shared" si="120"/>
        <v>NO PRAZO</v>
      </c>
    </row>
    <row r="808" spans="1:21" hidden="1">
      <c r="A808" s="1">
        <v>18512</v>
      </c>
      <c r="B808" t="s">
        <v>19</v>
      </c>
      <c r="C808" t="s">
        <v>13</v>
      </c>
      <c r="D808" t="s">
        <v>18</v>
      </c>
      <c r="E808" s="1">
        <v>2699</v>
      </c>
      <c r="F808" s="1">
        <v>2024</v>
      </c>
      <c r="G808" t="s">
        <v>11</v>
      </c>
      <c r="H808" s="2">
        <v>45552.500474537039</v>
      </c>
      <c r="I808" s="9">
        <f t="shared" si="112"/>
        <v>45555</v>
      </c>
      <c r="J808" s="2" t="str">
        <f t="shared" si="113"/>
        <v/>
      </c>
      <c r="L808" s="2" t="str">
        <f t="shared" si="114"/>
        <v/>
      </c>
      <c r="N808" s="10" t="str">
        <f t="shared" si="115"/>
        <v/>
      </c>
      <c r="O808" s="2">
        <f t="shared" si="116"/>
        <v>45555</v>
      </c>
      <c r="P808" s="2">
        <v>45553.396597222221</v>
      </c>
      <c r="Q808" s="2">
        <f t="shared" si="117"/>
        <v>45561</v>
      </c>
      <c r="R808" s="2">
        <v>45555.582199074073</v>
      </c>
      <c r="S808">
        <f t="shared" si="118"/>
        <v>0</v>
      </c>
      <c r="T808" s="2">
        <f t="shared" si="119"/>
        <v>45561</v>
      </c>
      <c r="U808" t="str">
        <f t="shared" si="120"/>
        <v>NO PRAZO</v>
      </c>
    </row>
    <row r="809" spans="1:21" hidden="1">
      <c r="A809" s="1">
        <v>18506</v>
      </c>
      <c r="B809" t="s">
        <v>17</v>
      </c>
      <c r="C809" t="s">
        <v>13</v>
      </c>
      <c r="D809" t="s">
        <v>18</v>
      </c>
      <c r="E809" s="1">
        <v>2693</v>
      </c>
      <c r="F809" s="1">
        <v>2024</v>
      </c>
      <c r="G809" t="s">
        <v>11</v>
      </c>
      <c r="H809" s="2">
        <v>45551.583773148152</v>
      </c>
      <c r="I809" s="9">
        <f t="shared" si="112"/>
        <v>45554</v>
      </c>
      <c r="J809" s="2" t="str">
        <f t="shared" si="113"/>
        <v/>
      </c>
      <c r="L809" s="2" t="str">
        <f t="shared" si="114"/>
        <v/>
      </c>
      <c r="N809" s="10" t="str">
        <f t="shared" si="115"/>
        <v/>
      </c>
      <c r="O809" s="2">
        <f t="shared" si="116"/>
        <v>45554</v>
      </c>
      <c r="P809" s="2">
        <v>45553.461724537039</v>
      </c>
      <c r="Q809" s="2">
        <f t="shared" si="117"/>
        <v>45560</v>
      </c>
      <c r="R809" s="2">
        <v>45553.462430555555</v>
      </c>
      <c r="S809">
        <f t="shared" si="118"/>
        <v>0</v>
      </c>
      <c r="T809" s="2">
        <f t="shared" si="119"/>
        <v>45560</v>
      </c>
      <c r="U809" t="str">
        <f t="shared" si="120"/>
        <v>NO PRAZO</v>
      </c>
    </row>
    <row r="810" spans="1:21" hidden="1">
      <c r="A810" s="1">
        <v>18503</v>
      </c>
      <c r="B810" t="s">
        <v>19</v>
      </c>
      <c r="C810" t="s">
        <v>13</v>
      </c>
      <c r="D810" t="s">
        <v>18</v>
      </c>
      <c r="E810" s="1">
        <v>2690</v>
      </c>
      <c r="F810" s="1">
        <v>2024</v>
      </c>
      <c r="G810" t="s">
        <v>11</v>
      </c>
      <c r="H810" s="2">
        <v>45551.500451388885</v>
      </c>
      <c r="I810" s="9">
        <f t="shared" si="112"/>
        <v>45554</v>
      </c>
      <c r="J810" s="2" t="str">
        <f t="shared" si="113"/>
        <v/>
      </c>
      <c r="L810" s="2" t="str">
        <f t="shared" si="114"/>
        <v/>
      </c>
      <c r="N810" s="10" t="str">
        <f t="shared" si="115"/>
        <v/>
      </c>
      <c r="O810" s="2">
        <f t="shared" si="116"/>
        <v>45554</v>
      </c>
      <c r="P810" s="2">
        <v>45553.68849537037</v>
      </c>
      <c r="Q810" s="2">
        <f t="shared" si="117"/>
        <v>45560</v>
      </c>
      <c r="R810" s="2">
        <v>45553.688796296294</v>
      </c>
      <c r="S810">
        <f t="shared" si="118"/>
        <v>0</v>
      </c>
      <c r="T810" s="2">
        <f t="shared" si="119"/>
        <v>45560</v>
      </c>
      <c r="U810" t="str">
        <f t="shared" si="120"/>
        <v>NO PRAZO</v>
      </c>
    </row>
    <row r="811" spans="1:21" hidden="1">
      <c r="A811" s="1">
        <v>18490</v>
      </c>
      <c r="B811" t="s">
        <v>17</v>
      </c>
      <c r="C811" t="s">
        <v>9</v>
      </c>
      <c r="D811" t="s">
        <v>16</v>
      </c>
      <c r="E811" s="1">
        <v>2677</v>
      </c>
      <c r="F811" s="1">
        <v>2024</v>
      </c>
      <c r="G811" t="s">
        <v>11</v>
      </c>
      <c r="H811" s="2">
        <v>45548.375173611108</v>
      </c>
      <c r="I811" s="9">
        <f t="shared" si="112"/>
        <v>45551</v>
      </c>
      <c r="J811" s="2" t="str">
        <f t="shared" si="113"/>
        <v/>
      </c>
      <c r="L811" s="2" t="str">
        <f t="shared" si="114"/>
        <v/>
      </c>
      <c r="N811" s="10" t="str">
        <f t="shared" si="115"/>
        <v/>
      </c>
      <c r="O811" s="2">
        <f t="shared" si="116"/>
        <v>45551</v>
      </c>
      <c r="P811" s="2">
        <v>45552.67701388889</v>
      </c>
      <c r="Q811" s="2">
        <f t="shared" si="117"/>
        <v>45555</v>
      </c>
      <c r="R811" s="2">
        <v>45553.413726851853</v>
      </c>
      <c r="S811">
        <f t="shared" si="118"/>
        <v>0</v>
      </c>
      <c r="T811" s="2">
        <f t="shared" si="119"/>
        <v>45555</v>
      </c>
      <c r="U811" t="str">
        <f t="shared" si="120"/>
        <v>NO PRAZO</v>
      </c>
    </row>
    <row r="812" spans="1:21">
      <c r="A812" s="1">
        <v>18481</v>
      </c>
      <c r="B812" t="s">
        <v>24</v>
      </c>
      <c r="C812" t="s">
        <v>13</v>
      </c>
      <c r="D812" t="s">
        <v>16</v>
      </c>
      <c r="E812" s="1">
        <v>2668</v>
      </c>
      <c r="F812" s="1">
        <v>2024</v>
      </c>
      <c r="G812" t="s">
        <v>11</v>
      </c>
      <c r="H812" s="2">
        <v>45547.625173611108</v>
      </c>
      <c r="I812" s="9">
        <f t="shared" si="112"/>
        <v>45548</v>
      </c>
      <c r="J812" s="2" t="str">
        <f t="shared" si="113"/>
        <v/>
      </c>
      <c r="L812" s="2" t="str">
        <f t="shared" si="114"/>
        <v/>
      </c>
      <c r="N812" s="10" t="str">
        <f t="shared" si="115"/>
        <v/>
      </c>
      <c r="O812" s="2">
        <f t="shared" si="116"/>
        <v>45548</v>
      </c>
      <c r="P812" s="2">
        <v>45572.491087962961</v>
      </c>
      <c r="Q812" s="2">
        <f t="shared" si="117"/>
        <v>45554</v>
      </c>
      <c r="R812" s="2">
        <v>45572.491747685184</v>
      </c>
      <c r="S812">
        <f t="shared" si="118"/>
        <v>18</v>
      </c>
      <c r="T812" s="2">
        <f t="shared" si="119"/>
        <v>45554</v>
      </c>
      <c r="U812" t="str">
        <f t="shared" si="120"/>
        <v>ATRASO</v>
      </c>
    </row>
    <row r="813" spans="1:21" hidden="1">
      <c r="A813" s="1">
        <v>18480</v>
      </c>
      <c r="B813" t="s">
        <v>8</v>
      </c>
      <c r="C813" t="s">
        <v>9</v>
      </c>
      <c r="D813" t="s">
        <v>18</v>
      </c>
      <c r="E813" s="1">
        <v>2667</v>
      </c>
      <c r="F813" s="1">
        <v>2024</v>
      </c>
      <c r="G813" t="s">
        <v>11</v>
      </c>
      <c r="H813" s="2">
        <v>45547.623680555553</v>
      </c>
      <c r="I813" s="9">
        <f t="shared" si="112"/>
        <v>45552</v>
      </c>
      <c r="J813" s="2" t="str">
        <f t="shared" si="113"/>
        <v/>
      </c>
      <c r="L813" s="2" t="str">
        <f t="shared" si="114"/>
        <v/>
      </c>
      <c r="N813" s="10" t="str">
        <f t="shared" si="115"/>
        <v/>
      </c>
      <c r="O813" s="2">
        <f t="shared" si="116"/>
        <v>45552</v>
      </c>
      <c r="P813" s="2">
        <v>45548.614803240744</v>
      </c>
      <c r="Q813" s="2">
        <f t="shared" si="117"/>
        <v>45558</v>
      </c>
      <c r="R813" s="2">
        <v>45548.713553240741</v>
      </c>
      <c r="S813">
        <f t="shared" si="118"/>
        <v>0</v>
      </c>
      <c r="T813" s="2">
        <f t="shared" si="119"/>
        <v>45558</v>
      </c>
      <c r="U813" t="str">
        <f t="shared" si="120"/>
        <v>NO PRAZO</v>
      </c>
    </row>
    <row r="814" spans="1:21" hidden="1">
      <c r="A814" s="1">
        <v>18479</v>
      </c>
      <c r="B814" t="s">
        <v>24</v>
      </c>
      <c r="C814" t="s">
        <v>13</v>
      </c>
      <c r="D814" t="s">
        <v>16</v>
      </c>
      <c r="E814" s="1">
        <v>2666</v>
      </c>
      <c r="F814" s="1">
        <v>2024</v>
      </c>
      <c r="G814" t="s">
        <v>11</v>
      </c>
      <c r="H814" s="2">
        <v>45547.583541666667</v>
      </c>
      <c r="I814" s="9">
        <f t="shared" si="112"/>
        <v>45548</v>
      </c>
      <c r="J814" s="2" t="str">
        <f t="shared" si="113"/>
        <v/>
      </c>
      <c r="L814" s="2" t="str">
        <f t="shared" si="114"/>
        <v/>
      </c>
      <c r="N814" s="10" t="str">
        <f t="shared" si="115"/>
        <v/>
      </c>
      <c r="O814" s="2">
        <f t="shared" si="116"/>
        <v>45548</v>
      </c>
      <c r="P814" s="2">
        <v>45551.404039351852</v>
      </c>
      <c r="Q814" s="2">
        <f t="shared" si="117"/>
        <v>45554</v>
      </c>
      <c r="R814" s="2">
        <v>45553.400937500002</v>
      </c>
      <c r="S814">
        <f t="shared" si="118"/>
        <v>0</v>
      </c>
      <c r="T814" s="2">
        <f t="shared" si="119"/>
        <v>45554</v>
      </c>
      <c r="U814" t="str">
        <f t="shared" si="120"/>
        <v>NO PRAZO</v>
      </c>
    </row>
    <row r="815" spans="1:21">
      <c r="A815" s="1">
        <v>18468</v>
      </c>
      <c r="B815" t="s">
        <v>20</v>
      </c>
      <c r="C815" t="s">
        <v>13</v>
      </c>
      <c r="D815" t="s">
        <v>16</v>
      </c>
      <c r="E815" s="1">
        <v>2655</v>
      </c>
      <c r="F815" s="1">
        <v>2024</v>
      </c>
      <c r="G815" t="s">
        <v>11</v>
      </c>
      <c r="H815" s="2">
        <v>45546.375740740739</v>
      </c>
      <c r="I815" s="9">
        <f t="shared" si="112"/>
        <v>45547</v>
      </c>
      <c r="J815" s="2" t="str">
        <f t="shared" si="113"/>
        <v/>
      </c>
      <c r="L815" s="2" t="str">
        <f t="shared" si="114"/>
        <v/>
      </c>
      <c r="N815" s="10" t="str">
        <f t="shared" si="115"/>
        <v/>
      </c>
      <c r="O815" s="2">
        <f t="shared" si="116"/>
        <v>45547</v>
      </c>
      <c r="P815" s="2">
        <v>45554.353125000001</v>
      </c>
      <c r="Q815" s="2">
        <f t="shared" si="117"/>
        <v>45553</v>
      </c>
      <c r="R815" s="2">
        <v>45554.353391203702</v>
      </c>
      <c r="S815">
        <f t="shared" si="118"/>
        <v>1</v>
      </c>
      <c r="T815" s="2">
        <f t="shared" si="119"/>
        <v>45553</v>
      </c>
      <c r="U815" t="str">
        <f t="shared" si="120"/>
        <v>ATRASO</v>
      </c>
    </row>
    <row r="816" spans="1:21">
      <c r="A816" s="1">
        <v>18461</v>
      </c>
      <c r="B816" t="s">
        <v>20</v>
      </c>
      <c r="C816" t="s">
        <v>13</v>
      </c>
      <c r="D816" t="s">
        <v>16</v>
      </c>
      <c r="E816" s="1">
        <v>2648</v>
      </c>
      <c r="F816" s="1">
        <v>2024</v>
      </c>
      <c r="G816" t="s">
        <v>11</v>
      </c>
      <c r="H816" s="2">
        <v>45545.625706018516</v>
      </c>
      <c r="I816" s="9">
        <f t="shared" si="112"/>
        <v>45546</v>
      </c>
      <c r="J816" s="2" t="str">
        <f t="shared" si="113"/>
        <v/>
      </c>
      <c r="L816" s="2" t="str">
        <f t="shared" si="114"/>
        <v/>
      </c>
      <c r="N816" s="10" t="str">
        <f t="shared" si="115"/>
        <v/>
      </c>
      <c r="O816" s="2">
        <f t="shared" si="116"/>
        <v>45546</v>
      </c>
      <c r="P816" s="2">
        <v>45552.341053240743</v>
      </c>
      <c r="Q816" s="2">
        <f t="shared" si="117"/>
        <v>45552</v>
      </c>
      <c r="R816" s="2">
        <v>45555.586550925924</v>
      </c>
      <c r="S816">
        <f t="shared" si="118"/>
        <v>3</v>
      </c>
      <c r="T816" s="2">
        <f t="shared" si="119"/>
        <v>45552</v>
      </c>
      <c r="U816" t="str">
        <f t="shared" si="120"/>
        <v>ATRASO</v>
      </c>
    </row>
    <row r="817" spans="1:21" hidden="1">
      <c r="A817" s="1">
        <v>18459</v>
      </c>
      <c r="B817" t="s">
        <v>17</v>
      </c>
      <c r="C817" t="s">
        <v>13</v>
      </c>
      <c r="D817" t="s">
        <v>18</v>
      </c>
      <c r="E817" s="1">
        <v>2646</v>
      </c>
      <c r="F817" s="1">
        <v>2024</v>
      </c>
      <c r="G817" t="s">
        <v>11</v>
      </c>
      <c r="H817" s="2">
        <v>45545.500717592593</v>
      </c>
      <c r="I817" s="9">
        <f t="shared" si="112"/>
        <v>45548</v>
      </c>
      <c r="J817" s="2" t="str">
        <f t="shared" si="113"/>
        <v/>
      </c>
      <c r="L817" s="2" t="str">
        <f t="shared" si="114"/>
        <v/>
      </c>
      <c r="N817" s="10" t="str">
        <f t="shared" si="115"/>
        <v/>
      </c>
      <c r="O817" s="2">
        <f t="shared" si="116"/>
        <v>45548</v>
      </c>
      <c r="P817" s="2">
        <v>45551.455300925925</v>
      </c>
      <c r="Q817" s="2">
        <f t="shared" si="117"/>
        <v>45554</v>
      </c>
      <c r="R817" s="2">
        <v>45551.455914351849</v>
      </c>
      <c r="S817">
        <f t="shared" si="118"/>
        <v>0</v>
      </c>
      <c r="T817" s="2">
        <f t="shared" si="119"/>
        <v>45554</v>
      </c>
      <c r="U817" t="str">
        <f t="shared" si="120"/>
        <v>NO PRAZO</v>
      </c>
    </row>
    <row r="818" spans="1:21" hidden="1">
      <c r="A818" s="1">
        <v>18458</v>
      </c>
      <c r="B818" t="s">
        <v>17</v>
      </c>
      <c r="C818" t="s">
        <v>13</v>
      </c>
      <c r="D818" t="s">
        <v>18</v>
      </c>
      <c r="E818" s="1">
        <v>2645</v>
      </c>
      <c r="F818" s="1">
        <v>2024</v>
      </c>
      <c r="G818" t="s">
        <v>11</v>
      </c>
      <c r="H818" s="2">
        <v>45544.709629629629</v>
      </c>
      <c r="I818" s="9">
        <f t="shared" si="112"/>
        <v>45547</v>
      </c>
      <c r="J818" s="2" t="str">
        <f t="shared" si="113"/>
        <v/>
      </c>
      <c r="L818" s="2" t="str">
        <f t="shared" si="114"/>
        <v/>
      </c>
      <c r="N818" s="10" t="str">
        <f t="shared" si="115"/>
        <v/>
      </c>
      <c r="O818" s="2">
        <f t="shared" si="116"/>
        <v>45547</v>
      </c>
      <c r="P818" s="2">
        <v>45551.453587962962</v>
      </c>
      <c r="Q818" s="2">
        <f t="shared" si="117"/>
        <v>45553</v>
      </c>
      <c r="R818" s="2">
        <v>45551.454953703702</v>
      </c>
      <c r="S818">
        <f t="shared" si="118"/>
        <v>0</v>
      </c>
      <c r="T818" s="2">
        <f t="shared" si="119"/>
        <v>45553</v>
      </c>
      <c r="U818" t="str">
        <f t="shared" si="120"/>
        <v>NO PRAZO</v>
      </c>
    </row>
    <row r="819" spans="1:21">
      <c r="A819" s="1">
        <v>18453</v>
      </c>
      <c r="B819" t="s">
        <v>20</v>
      </c>
      <c r="C819" t="s">
        <v>13</v>
      </c>
      <c r="D819" t="s">
        <v>16</v>
      </c>
      <c r="E819" s="1">
        <v>2640</v>
      </c>
      <c r="F819" s="1">
        <v>2024</v>
      </c>
      <c r="G819" t="s">
        <v>11</v>
      </c>
      <c r="H819" s="2">
        <v>45544.584120370368</v>
      </c>
      <c r="I819" s="9">
        <f t="shared" si="112"/>
        <v>45545</v>
      </c>
      <c r="J819" s="2" t="str">
        <f t="shared" si="113"/>
        <v/>
      </c>
      <c r="L819" s="2" t="str">
        <f t="shared" si="114"/>
        <v/>
      </c>
      <c r="N819" s="10" t="str">
        <f t="shared" si="115"/>
        <v/>
      </c>
      <c r="O819" s="2">
        <f t="shared" si="116"/>
        <v>45545</v>
      </c>
      <c r="P819" s="2">
        <v>45553.601446759261</v>
      </c>
      <c r="Q819" s="2">
        <f t="shared" si="117"/>
        <v>45551</v>
      </c>
      <c r="R819" s="2">
        <v>45558.387314814812</v>
      </c>
      <c r="S819">
        <f t="shared" si="118"/>
        <v>7</v>
      </c>
      <c r="T819" s="2">
        <f t="shared" si="119"/>
        <v>45551</v>
      </c>
      <c r="U819" t="str">
        <f t="shared" si="120"/>
        <v>ATRASO</v>
      </c>
    </row>
    <row r="820" spans="1:21" hidden="1">
      <c r="A820" s="1">
        <v>18436</v>
      </c>
      <c r="B820" t="s">
        <v>22</v>
      </c>
      <c r="C820" t="s">
        <v>13</v>
      </c>
      <c r="D820" t="s">
        <v>18</v>
      </c>
      <c r="E820" s="1">
        <v>2623</v>
      </c>
      <c r="F820" s="1">
        <v>2024</v>
      </c>
      <c r="G820" t="s">
        <v>11</v>
      </c>
      <c r="H820" s="2">
        <v>45540.583506944444</v>
      </c>
      <c r="I820" s="9">
        <f t="shared" si="112"/>
        <v>45545</v>
      </c>
      <c r="J820" s="2" t="str">
        <f t="shared" si="113"/>
        <v/>
      </c>
      <c r="L820" s="2" t="str">
        <f t="shared" si="114"/>
        <v/>
      </c>
      <c r="N820" s="10" t="str">
        <f t="shared" si="115"/>
        <v/>
      </c>
      <c r="O820" s="2">
        <f t="shared" si="116"/>
        <v>45545</v>
      </c>
      <c r="P820" s="2">
        <v>45544.745856481481</v>
      </c>
      <c r="Q820" s="2">
        <f t="shared" si="117"/>
        <v>45551</v>
      </c>
      <c r="R820" s="2">
        <v>45545.476481481484</v>
      </c>
      <c r="S820">
        <f t="shared" si="118"/>
        <v>0</v>
      </c>
      <c r="T820" s="2">
        <f t="shared" si="119"/>
        <v>45551</v>
      </c>
      <c r="U820" t="str">
        <f t="shared" si="120"/>
        <v>NO PRAZO</v>
      </c>
    </row>
    <row r="821" spans="1:21" hidden="1">
      <c r="A821" s="1">
        <v>18420</v>
      </c>
      <c r="B821" t="s">
        <v>17</v>
      </c>
      <c r="C821" t="s">
        <v>13</v>
      </c>
      <c r="D821" t="s">
        <v>18</v>
      </c>
      <c r="E821" s="1">
        <v>2607</v>
      </c>
      <c r="F821" s="1">
        <v>2024</v>
      </c>
      <c r="G821" t="s">
        <v>11</v>
      </c>
      <c r="H821" s="2">
        <v>45539.625486111108</v>
      </c>
      <c r="I821" s="9">
        <f t="shared" si="112"/>
        <v>45544</v>
      </c>
      <c r="J821" s="2" t="str">
        <f t="shared" si="113"/>
        <v/>
      </c>
      <c r="L821" s="2" t="str">
        <f t="shared" si="114"/>
        <v/>
      </c>
      <c r="N821" s="10" t="str">
        <f t="shared" si="115"/>
        <v/>
      </c>
      <c r="O821" s="2">
        <f t="shared" si="116"/>
        <v>45544</v>
      </c>
      <c r="P821" s="2">
        <v>45544.40289351852</v>
      </c>
      <c r="Q821" s="2">
        <f t="shared" si="117"/>
        <v>45548</v>
      </c>
      <c r="R821" s="2">
        <v>45544.404618055552</v>
      </c>
      <c r="S821">
        <f t="shared" si="118"/>
        <v>0</v>
      </c>
      <c r="T821" s="2">
        <f t="shared" si="119"/>
        <v>45548</v>
      </c>
      <c r="U821" t="str">
        <f t="shared" si="120"/>
        <v>NO PRAZO</v>
      </c>
    </row>
    <row r="822" spans="1:21" hidden="1">
      <c r="A822" s="1">
        <v>18416</v>
      </c>
      <c r="B822" t="s">
        <v>17</v>
      </c>
      <c r="C822" t="s">
        <v>13</v>
      </c>
      <c r="D822" t="s">
        <v>18</v>
      </c>
      <c r="E822" s="1">
        <v>2603</v>
      </c>
      <c r="F822" s="1">
        <v>2024</v>
      </c>
      <c r="G822" t="s">
        <v>11</v>
      </c>
      <c r="H822" s="2">
        <v>45539.625486111108</v>
      </c>
      <c r="I822" s="9">
        <f t="shared" si="112"/>
        <v>45544</v>
      </c>
      <c r="J822" s="2" t="str">
        <f t="shared" si="113"/>
        <v/>
      </c>
      <c r="L822" s="2" t="str">
        <f t="shared" si="114"/>
        <v/>
      </c>
      <c r="N822" s="10" t="str">
        <f t="shared" si="115"/>
        <v/>
      </c>
      <c r="O822" s="2">
        <f t="shared" si="116"/>
        <v>45544</v>
      </c>
      <c r="P822" s="2">
        <v>45544.397280092591</v>
      </c>
      <c r="Q822" s="2">
        <f t="shared" si="117"/>
        <v>45548</v>
      </c>
      <c r="R822" s="2">
        <v>45544.419699074075</v>
      </c>
      <c r="S822">
        <f t="shared" si="118"/>
        <v>0</v>
      </c>
      <c r="T822" s="2">
        <f t="shared" si="119"/>
        <v>45548</v>
      </c>
      <c r="U822" t="str">
        <f t="shared" si="120"/>
        <v>NO PRAZO</v>
      </c>
    </row>
    <row r="823" spans="1:21" hidden="1">
      <c r="A823" s="1">
        <v>18414</v>
      </c>
      <c r="B823" t="s">
        <v>24</v>
      </c>
      <c r="C823" t="s">
        <v>13</v>
      </c>
      <c r="D823" t="s">
        <v>14</v>
      </c>
      <c r="E823" s="1">
        <v>2601</v>
      </c>
      <c r="F823" s="1">
        <v>2024</v>
      </c>
      <c r="G823" t="s">
        <v>11</v>
      </c>
      <c r="H823" s="2">
        <v>45539.500081018516</v>
      </c>
      <c r="I823" s="9">
        <f t="shared" si="112"/>
        <v>45540</v>
      </c>
      <c r="J823" s="2" t="str">
        <f t="shared" si="113"/>
        <v/>
      </c>
      <c r="L823" s="2" t="str">
        <f t="shared" si="114"/>
        <v/>
      </c>
      <c r="N823" s="10" t="str">
        <f t="shared" si="115"/>
        <v/>
      </c>
      <c r="O823" s="2">
        <f t="shared" si="116"/>
        <v>45540</v>
      </c>
      <c r="P823" s="2">
        <v>45540.397638888891</v>
      </c>
      <c r="Q823" s="2">
        <f t="shared" si="117"/>
        <v>45541</v>
      </c>
      <c r="R823" s="2">
        <v>45540.607881944445</v>
      </c>
      <c r="S823">
        <f t="shared" si="118"/>
        <v>0</v>
      </c>
      <c r="T823" s="2">
        <f t="shared" si="119"/>
        <v>45541</v>
      </c>
      <c r="U823" t="str">
        <f t="shared" si="120"/>
        <v>NO PRAZO</v>
      </c>
    </row>
    <row r="824" spans="1:21" hidden="1">
      <c r="A824" s="1">
        <v>18369</v>
      </c>
      <c r="B824" t="s">
        <v>12</v>
      </c>
      <c r="C824" t="s">
        <v>13</v>
      </c>
      <c r="D824" t="s">
        <v>18</v>
      </c>
      <c r="E824" s="1">
        <v>2556</v>
      </c>
      <c r="F824" s="1">
        <v>2024</v>
      </c>
      <c r="G824" t="s">
        <v>11</v>
      </c>
      <c r="H824" s="2">
        <v>45532.666759259257</v>
      </c>
      <c r="I824" s="9">
        <f t="shared" si="112"/>
        <v>45537</v>
      </c>
      <c r="J824" s="2" t="str">
        <f t="shared" si="113"/>
        <v/>
      </c>
      <c r="L824" s="2" t="str">
        <f t="shared" si="114"/>
        <v/>
      </c>
      <c r="N824" s="10" t="str">
        <f t="shared" si="115"/>
        <v/>
      </c>
      <c r="O824" s="2">
        <f t="shared" si="116"/>
        <v>45537</v>
      </c>
      <c r="P824" s="2">
        <v>45533.71603009259</v>
      </c>
      <c r="Q824" s="2">
        <f t="shared" si="117"/>
        <v>45541</v>
      </c>
      <c r="R824" s="2">
        <v>45538.445277777777</v>
      </c>
      <c r="S824">
        <f t="shared" si="118"/>
        <v>0</v>
      </c>
      <c r="T824" s="2">
        <f t="shared" si="119"/>
        <v>45541</v>
      </c>
      <c r="U824" t="str">
        <f t="shared" si="120"/>
        <v>NO PRAZO</v>
      </c>
    </row>
    <row r="825" spans="1:21" hidden="1">
      <c r="A825" s="1">
        <v>18368</v>
      </c>
      <c r="B825" t="s">
        <v>19</v>
      </c>
      <c r="C825" t="s">
        <v>13</v>
      </c>
      <c r="D825" t="s">
        <v>16</v>
      </c>
      <c r="E825" s="1">
        <v>2555</v>
      </c>
      <c r="F825" s="1">
        <v>2024</v>
      </c>
      <c r="G825" t="s">
        <v>11</v>
      </c>
      <c r="H825" s="2">
        <v>45532.666759259257</v>
      </c>
      <c r="I825" s="9">
        <f t="shared" si="112"/>
        <v>45533</v>
      </c>
      <c r="J825" s="2" t="str">
        <f t="shared" si="113"/>
        <v/>
      </c>
      <c r="L825" s="2" t="str">
        <f t="shared" si="114"/>
        <v/>
      </c>
      <c r="N825" s="10" t="str">
        <f t="shared" si="115"/>
        <v/>
      </c>
      <c r="O825" s="2">
        <f t="shared" si="116"/>
        <v>45533</v>
      </c>
      <c r="P825" s="2">
        <v>45534.382384259261</v>
      </c>
      <c r="Q825" s="2">
        <f t="shared" si="117"/>
        <v>45539</v>
      </c>
      <c r="R825" s="2">
        <v>45537.688090277778</v>
      </c>
      <c r="S825">
        <f t="shared" si="118"/>
        <v>0</v>
      </c>
      <c r="T825" s="2">
        <f t="shared" si="119"/>
        <v>45539</v>
      </c>
      <c r="U825" t="str">
        <f t="shared" si="120"/>
        <v>NO PRAZO</v>
      </c>
    </row>
    <row r="826" spans="1:21" hidden="1">
      <c r="A826" s="1">
        <v>18355</v>
      </c>
      <c r="B826" t="s">
        <v>17</v>
      </c>
      <c r="C826" t="s">
        <v>13</v>
      </c>
      <c r="D826" t="s">
        <v>18</v>
      </c>
      <c r="E826" s="1">
        <v>2542</v>
      </c>
      <c r="F826" s="1">
        <v>2024</v>
      </c>
      <c r="G826" t="s">
        <v>11</v>
      </c>
      <c r="H826" s="2">
        <v>45530.791759259257</v>
      </c>
      <c r="I826" s="9">
        <f t="shared" si="112"/>
        <v>45533</v>
      </c>
      <c r="J826" s="2" t="str">
        <f t="shared" si="113"/>
        <v/>
      </c>
      <c r="L826" s="2" t="str">
        <f t="shared" si="114"/>
        <v/>
      </c>
      <c r="N826" s="10" t="str">
        <f t="shared" si="115"/>
        <v/>
      </c>
      <c r="O826" s="2">
        <f t="shared" si="116"/>
        <v>45533</v>
      </c>
      <c r="P826" s="2">
        <v>45533.464861111112</v>
      </c>
      <c r="Q826" s="2">
        <f t="shared" si="117"/>
        <v>45539</v>
      </c>
      <c r="R826" s="2">
        <v>45533.49523148148</v>
      </c>
      <c r="S826">
        <f t="shared" si="118"/>
        <v>0</v>
      </c>
      <c r="T826" s="2">
        <f t="shared" si="119"/>
        <v>45539</v>
      </c>
      <c r="U826" t="str">
        <f t="shared" si="120"/>
        <v>NO PRAZO</v>
      </c>
    </row>
    <row r="827" spans="1:21" hidden="1">
      <c r="A827" s="1">
        <v>18354</v>
      </c>
      <c r="B827" t="s">
        <v>19</v>
      </c>
      <c r="C827" t="s">
        <v>13</v>
      </c>
      <c r="D827" t="s">
        <v>16</v>
      </c>
      <c r="E827" s="1">
        <v>2541</v>
      </c>
      <c r="F827" s="1">
        <v>2024</v>
      </c>
      <c r="G827" t="s">
        <v>11</v>
      </c>
      <c r="H827" s="2">
        <v>45530.791759259257</v>
      </c>
      <c r="I827" s="9">
        <f t="shared" si="112"/>
        <v>45531</v>
      </c>
      <c r="J827" s="2" t="str">
        <f t="shared" si="113"/>
        <v/>
      </c>
      <c r="L827" s="2" t="str">
        <f t="shared" si="114"/>
        <v/>
      </c>
      <c r="N827" s="10" t="str">
        <f t="shared" si="115"/>
        <v/>
      </c>
      <c r="O827" s="2">
        <f t="shared" si="116"/>
        <v>45531</v>
      </c>
      <c r="P827" s="2">
        <v>45533.661886574075</v>
      </c>
      <c r="Q827" s="2">
        <f t="shared" si="117"/>
        <v>45537</v>
      </c>
      <c r="R827" s="2">
        <v>45537.708645833336</v>
      </c>
      <c r="S827">
        <f t="shared" si="118"/>
        <v>0</v>
      </c>
      <c r="T827" s="2">
        <f t="shared" si="119"/>
        <v>45537</v>
      </c>
      <c r="U827" t="str">
        <f t="shared" si="120"/>
        <v>NO PRAZO</v>
      </c>
    </row>
    <row r="828" spans="1:21">
      <c r="A828" s="1">
        <v>18351</v>
      </c>
      <c r="B828" t="s">
        <v>20</v>
      </c>
      <c r="C828" t="s">
        <v>13</v>
      </c>
      <c r="D828" t="s">
        <v>18</v>
      </c>
      <c r="E828" s="1">
        <v>2538</v>
      </c>
      <c r="F828" s="1">
        <v>2024</v>
      </c>
      <c r="G828" t="s">
        <v>11</v>
      </c>
      <c r="H828" s="2">
        <v>45530.666759259257</v>
      </c>
      <c r="I828" s="9">
        <f t="shared" si="112"/>
        <v>45533</v>
      </c>
      <c r="J828" s="2" t="str">
        <f t="shared" si="113"/>
        <v/>
      </c>
      <c r="L828" s="2" t="str">
        <f t="shared" si="114"/>
        <v/>
      </c>
      <c r="N828" s="10" t="str">
        <f t="shared" si="115"/>
        <v/>
      </c>
      <c r="O828" s="2">
        <f t="shared" si="116"/>
        <v>45533</v>
      </c>
      <c r="P828" s="2">
        <v>45534.645335648151</v>
      </c>
      <c r="Q828" s="2">
        <f t="shared" si="117"/>
        <v>45539</v>
      </c>
      <c r="R828" s="2">
        <v>45576.787511574075</v>
      </c>
      <c r="S828">
        <f t="shared" si="118"/>
        <v>37</v>
      </c>
      <c r="T828" s="2">
        <f t="shared" si="119"/>
        <v>45539</v>
      </c>
      <c r="U828" t="str">
        <f t="shared" si="120"/>
        <v>ATRASO</v>
      </c>
    </row>
    <row r="829" spans="1:21" hidden="1">
      <c r="A829" s="1">
        <v>18322</v>
      </c>
      <c r="B829" t="s">
        <v>12</v>
      </c>
      <c r="C829" t="s">
        <v>13</v>
      </c>
      <c r="D829" t="s">
        <v>10</v>
      </c>
      <c r="E829" s="1">
        <v>2509</v>
      </c>
      <c r="F829" s="1">
        <v>2024</v>
      </c>
      <c r="G829" t="s">
        <v>11</v>
      </c>
      <c r="H829" s="2">
        <v>45525.666828703703</v>
      </c>
      <c r="I829" s="9">
        <f t="shared" si="112"/>
        <v>45526</v>
      </c>
      <c r="J829" s="2" t="str">
        <f t="shared" si="113"/>
        <v/>
      </c>
      <c r="L829" s="2" t="str">
        <f t="shared" si="114"/>
        <v/>
      </c>
      <c r="N829" s="10" t="str">
        <f t="shared" si="115"/>
        <v/>
      </c>
      <c r="O829" s="2">
        <f t="shared" si="116"/>
        <v>45526</v>
      </c>
      <c r="P829" s="2">
        <v>45527.592800925922</v>
      </c>
      <c r="Q829" s="2">
        <f t="shared" si="117"/>
        <v>45527</v>
      </c>
      <c r="R829" s="2">
        <v>45527.768587962964</v>
      </c>
      <c r="S829">
        <f t="shared" si="118"/>
        <v>0</v>
      </c>
      <c r="T829" s="2">
        <f t="shared" si="119"/>
        <v>45527</v>
      </c>
      <c r="U829" t="str">
        <f t="shared" si="120"/>
        <v>NO PRAZO</v>
      </c>
    </row>
    <row r="830" spans="1:21" hidden="1">
      <c r="A830" s="1">
        <v>18319</v>
      </c>
      <c r="B830" t="s">
        <v>19</v>
      </c>
      <c r="C830" t="s">
        <v>13</v>
      </c>
      <c r="D830" t="s">
        <v>21</v>
      </c>
      <c r="E830" s="1">
        <v>2506</v>
      </c>
      <c r="F830" s="1">
        <v>2024</v>
      </c>
      <c r="G830" t="s">
        <v>11</v>
      </c>
      <c r="H830" s="2">
        <v>45525.500162037039</v>
      </c>
      <c r="I830" s="9">
        <f t="shared" si="112"/>
        <v>45530</v>
      </c>
      <c r="J830" s="2" t="str">
        <f t="shared" si="113"/>
        <v/>
      </c>
      <c r="L830" s="2" t="str">
        <f t="shared" si="114"/>
        <v/>
      </c>
      <c r="N830" s="10" t="str">
        <f t="shared" si="115"/>
        <v/>
      </c>
      <c r="O830" s="2">
        <f t="shared" si="116"/>
        <v>45530</v>
      </c>
      <c r="P830" s="2">
        <v>45530.672384259262</v>
      </c>
      <c r="Q830" s="2">
        <f t="shared" si="117"/>
        <v>45555</v>
      </c>
      <c r="R830" s="2">
        <v>45538.665648148148</v>
      </c>
      <c r="S830">
        <f t="shared" si="118"/>
        <v>0</v>
      </c>
      <c r="T830" s="2">
        <f t="shared" si="119"/>
        <v>45555</v>
      </c>
      <c r="U830" t="str">
        <f t="shared" si="120"/>
        <v>NO PRAZO</v>
      </c>
    </row>
    <row r="831" spans="1:21" hidden="1">
      <c r="A831" s="1">
        <v>18317</v>
      </c>
      <c r="B831" t="s">
        <v>8</v>
      </c>
      <c r="C831" t="s">
        <v>9</v>
      </c>
      <c r="D831" t="s">
        <v>10</v>
      </c>
      <c r="E831" s="1">
        <v>2504</v>
      </c>
      <c r="F831" s="1">
        <v>2024</v>
      </c>
      <c r="G831" t="s">
        <v>11</v>
      </c>
      <c r="H831" s="2">
        <v>45525.458437499998</v>
      </c>
      <c r="I831" s="9">
        <f t="shared" si="112"/>
        <v>45526</v>
      </c>
      <c r="J831" s="2" t="str">
        <f t="shared" si="113"/>
        <v/>
      </c>
      <c r="L831" s="2" t="str">
        <f t="shared" si="114"/>
        <v/>
      </c>
      <c r="N831" s="10" t="str">
        <f t="shared" si="115"/>
        <v/>
      </c>
      <c r="O831" s="2">
        <f t="shared" si="116"/>
        <v>45526</v>
      </c>
      <c r="P831" s="2">
        <v>45525.696736111109</v>
      </c>
      <c r="Q831" s="2">
        <f t="shared" si="117"/>
        <v>45527</v>
      </c>
      <c r="R831" s="2">
        <v>45525.703506944446</v>
      </c>
      <c r="S831">
        <f t="shared" si="118"/>
        <v>0</v>
      </c>
      <c r="T831" s="2">
        <f t="shared" si="119"/>
        <v>45527</v>
      </c>
      <c r="U831" t="str">
        <f t="shared" si="120"/>
        <v>NO PRAZO</v>
      </c>
    </row>
    <row r="832" spans="1:21" hidden="1">
      <c r="A832" s="1">
        <v>18316</v>
      </c>
      <c r="B832" t="s">
        <v>24</v>
      </c>
      <c r="C832" t="s">
        <v>13</v>
      </c>
      <c r="D832" t="s">
        <v>10</v>
      </c>
      <c r="E832" s="1">
        <v>2503</v>
      </c>
      <c r="F832" s="1">
        <v>2024</v>
      </c>
      <c r="G832" t="s">
        <v>11</v>
      </c>
      <c r="H832" s="2">
        <v>45525.458437499998</v>
      </c>
      <c r="I832" s="9">
        <f t="shared" ref="I832:I895" si="121">IF(OR(D832="ORIENTAÇÃO",D832="BUG IMPEDITIVO",D832="BUG NÃO IMPEDITIVO"),WORKDAY(H832,1,Z$2:Z$500),IF(OR(D832="MELHORIA PEQUENA",D832="MELHORIA MÉDIA"),WORKDAY(H832,3,Z$2:Z$500),""))</f>
        <v>45526</v>
      </c>
      <c r="J832" s="2" t="str">
        <f t="shared" si="113"/>
        <v/>
      </c>
      <c r="L832" s="2" t="str">
        <f t="shared" si="114"/>
        <v/>
      </c>
      <c r="N832" s="10" t="str">
        <f t="shared" si="115"/>
        <v/>
      </c>
      <c r="O832" s="2">
        <f t="shared" si="116"/>
        <v>45526</v>
      </c>
      <c r="P832" s="2">
        <v>45526.655011574076</v>
      </c>
      <c r="Q832" s="2">
        <f t="shared" si="117"/>
        <v>45527</v>
      </c>
      <c r="R832" s="2">
        <v>45527.768923611111</v>
      </c>
      <c r="S832">
        <f t="shared" si="118"/>
        <v>0</v>
      </c>
      <c r="T832" s="2">
        <f t="shared" si="119"/>
        <v>45527</v>
      </c>
      <c r="U832" t="str">
        <f t="shared" si="120"/>
        <v>NO PRAZO</v>
      </c>
    </row>
    <row r="833" spans="1:21" hidden="1">
      <c r="A833" s="1">
        <v>18313</v>
      </c>
      <c r="B833" t="s">
        <v>24</v>
      </c>
      <c r="C833" t="s">
        <v>13</v>
      </c>
      <c r="D833" t="s">
        <v>10</v>
      </c>
      <c r="E833" s="1">
        <v>2500</v>
      </c>
      <c r="F833" s="1">
        <v>2024</v>
      </c>
      <c r="G833" t="s">
        <v>11</v>
      </c>
      <c r="H833" s="2">
        <v>45525.416770833333</v>
      </c>
      <c r="I833" s="9">
        <f t="shared" si="121"/>
        <v>45526</v>
      </c>
      <c r="J833" s="2" t="str">
        <f t="shared" si="113"/>
        <v/>
      </c>
      <c r="L833" s="2" t="str">
        <f t="shared" si="114"/>
        <v/>
      </c>
      <c r="N833" s="10" t="str">
        <f t="shared" si="115"/>
        <v/>
      </c>
      <c r="O833" s="2">
        <f t="shared" si="116"/>
        <v>45526</v>
      </c>
      <c r="P833" s="2">
        <v>45526.647499999999</v>
      </c>
      <c r="Q833" s="2">
        <f t="shared" si="117"/>
        <v>45527</v>
      </c>
      <c r="R833" s="2">
        <v>45527.769247685188</v>
      </c>
      <c r="S833">
        <f t="shared" si="118"/>
        <v>0</v>
      </c>
      <c r="T833" s="2">
        <f t="shared" si="119"/>
        <v>45527</v>
      </c>
      <c r="U833" t="str">
        <f t="shared" si="120"/>
        <v>NO PRAZO</v>
      </c>
    </row>
    <row r="834" spans="1:21" hidden="1">
      <c r="A834" s="1">
        <v>18312</v>
      </c>
      <c r="B834" t="s">
        <v>24</v>
      </c>
      <c r="C834" t="s">
        <v>13</v>
      </c>
      <c r="D834" t="s">
        <v>10</v>
      </c>
      <c r="E834" s="1">
        <v>2499</v>
      </c>
      <c r="F834" s="1">
        <v>2024</v>
      </c>
      <c r="G834" t="s">
        <v>11</v>
      </c>
      <c r="H834" s="2">
        <v>45525.416770833333</v>
      </c>
      <c r="I834" s="9">
        <f t="shared" si="121"/>
        <v>45526</v>
      </c>
      <c r="J834" s="2" t="str">
        <f t="shared" si="113"/>
        <v/>
      </c>
      <c r="L834" s="2" t="str">
        <f t="shared" si="114"/>
        <v/>
      </c>
      <c r="N834" s="10" t="str">
        <f t="shared" si="115"/>
        <v/>
      </c>
      <c r="O834" s="2">
        <f t="shared" si="116"/>
        <v>45526</v>
      </c>
      <c r="P834" s="2">
        <v>45526.629502314812</v>
      </c>
      <c r="Q834" s="2">
        <f t="shared" si="117"/>
        <v>45527</v>
      </c>
      <c r="R834" s="2">
        <v>45527.769606481481</v>
      </c>
      <c r="S834">
        <f t="shared" si="118"/>
        <v>0</v>
      </c>
      <c r="T834" s="2">
        <f t="shared" si="119"/>
        <v>45527</v>
      </c>
      <c r="U834" t="str">
        <f t="shared" si="120"/>
        <v>NO PRAZO</v>
      </c>
    </row>
    <row r="835" spans="1:21" hidden="1">
      <c r="A835" s="1">
        <v>18304</v>
      </c>
      <c r="B835" t="s">
        <v>20</v>
      </c>
      <c r="C835" t="s">
        <v>13</v>
      </c>
      <c r="D835" t="s">
        <v>21</v>
      </c>
      <c r="E835" s="1">
        <v>2491</v>
      </c>
      <c r="F835" s="1">
        <v>2024</v>
      </c>
      <c r="G835" t="s">
        <v>11</v>
      </c>
      <c r="H835" s="2">
        <v>45524.583437499998</v>
      </c>
      <c r="I835" s="9">
        <f t="shared" si="121"/>
        <v>45527</v>
      </c>
      <c r="J835" s="2" t="str">
        <f t="shared" ref="J835:J898" si="122">IF(K835&lt;&gt;"",I835,"")</f>
        <v/>
      </c>
      <c r="L835" s="2" t="str">
        <f t="shared" ref="L835:L898" si="123">IF(J835="","",WORKDAY(J835,14,Z$2:Z$500))</f>
        <v/>
      </c>
      <c r="N835" s="10" t="str">
        <f t="shared" ref="N835:N898" si="124">IF(M835="","",MAX(0,INT(M835)-INT(L835)))</f>
        <v/>
      </c>
      <c r="O835" s="2">
        <f t="shared" ref="O835:O898" si="125">IF(L835="",I835,WORKDAY(L835,1,Z$2:Z$500))</f>
        <v>45527</v>
      </c>
      <c r="P835" s="2">
        <v>45554.354270833333</v>
      </c>
      <c r="Q835" s="2">
        <f t="shared" ref="Q835:Q898" si="126">IF(OR(D835="ORIENTAÇÃO",D835="BUG IMPEDITIVO"),WORKDAY(O835,1,Z$2:Z$500),IF(OR(D835="MELHORIA PEQUENA",D835="BUG NÃO IMPEDITIVO"),WORKDAY(O835,4,Z$2:Z$500),IF(D835="MELHORIA MÉDIA",WORKDAY(O835,19,Z$2:Z$500),"")))</f>
        <v>45554</v>
      </c>
      <c r="R835" s="2">
        <v>45554.354629629626</v>
      </c>
      <c r="S835">
        <f t="shared" ref="S835:S898" si="127">MAX(0,INT(R835)-INT(Q835))</f>
        <v>0</v>
      </c>
      <c r="T835" s="2">
        <f t="shared" ref="T835:T898" si="128">IF(D835="MELHORIA MÉDIA",IF(K835&lt;&gt;"",WORKDAY(I835,34,$Z$2:$Z$1000),WORKDAY(I835,19,$Z$2:$Z$1000)),IF(OR(D835="MELHORIA PEQUENA",D835="BUG NÃO IMPEDITIVO"),WORKDAY(I835,4,$Z$2:$Z$1000),IF(OR(D835="ORIENTAÇÃO",D835="BUG IMPEDITIVO"),WORKDAY(I835,1,$Z$2:$Z$1000),"")))</f>
        <v>45554</v>
      </c>
      <c r="U835" t="str">
        <f t="shared" ref="U835:U898" si="129">IF(INT(R835)&lt;=INT(T835),"NO PRAZO","ATRASO")</f>
        <v>NO PRAZO</v>
      </c>
    </row>
    <row r="836" spans="1:21" hidden="1">
      <c r="A836" s="1">
        <v>18301</v>
      </c>
      <c r="B836" t="s">
        <v>24</v>
      </c>
      <c r="C836" t="s">
        <v>13</v>
      </c>
      <c r="D836" t="s">
        <v>10</v>
      </c>
      <c r="E836" s="1">
        <v>2488</v>
      </c>
      <c r="F836" s="1">
        <v>2024</v>
      </c>
      <c r="G836" t="s">
        <v>11</v>
      </c>
      <c r="H836" s="2">
        <v>45524.416817129626</v>
      </c>
      <c r="I836" s="9">
        <f t="shared" si="121"/>
        <v>45525</v>
      </c>
      <c r="J836" s="2" t="str">
        <f t="shared" si="122"/>
        <v/>
      </c>
      <c r="L836" s="2" t="str">
        <f t="shared" si="123"/>
        <v/>
      </c>
      <c r="N836" s="10" t="str">
        <f t="shared" si="124"/>
        <v/>
      </c>
      <c r="O836" s="2">
        <f t="shared" si="125"/>
        <v>45525</v>
      </c>
      <c r="P836" s="2">
        <v>45524.738437499997</v>
      </c>
      <c r="Q836" s="2">
        <f t="shared" si="126"/>
        <v>45526</v>
      </c>
      <c r="R836" s="2">
        <v>45524.741064814814</v>
      </c>
      <c r="S836">
        <f t="shared" si="127"/>
        <v>0</v>
      </c>
      <c r="T836" s="2">
        <f t="shared" si="128"/>
        <v>45526</v>
      </c>
      <c r="U836" t="str">
        <f t="shared" si="129"/>
        <v>NO PRAZO</v>
      </c>
    </row>
    <row r="837" spans="1:21" hidden="1">
      <c r="A837" s="1">
        <v>18300</v>
      </c>
      <c r="B837" t="s">
        <v>24</v>
      </c>
      <c r="C837" t="s">
        <v>13</v>
      </c>
      <c r="D837" t="s">
        <v>18</v>
      </c>
      <c r="E837" s="1">
        <v>2487</v>
      </c>
      <c r="F837" s="1">
        <v>2024</v>
      </c>
      <c r="G837" t="s">
        <v>11</v>
      </c>
      <c r="H837" s="2">
        <v>45524.416817129626</v>
      </c>
      <c r="I837" s="9">
        <f t="shared" si="121"/>
        <v>45527</v>
      </c>
      <c r="J837" s="2" t="str">
        <f t="shared" si="122"/>
        <v/>
      </c>
      <c r="L837" s="2" t="str">
        <f t="shared" si="123"/>
        <v/>
      </c>
      <c r="N837" s="10" t="str">
        <f t="shared" si="124"/>
        <v/>
      </c>
      <c r="O837" s="2">
        <f t="shared" si="125"/>
        <v>45527</v>
      </c>
      <c r="P837" s="2">
        <v>45524.729675925926</v>
      </c>
      <c r="Q837" s="2">
        <f t="shared" si="126"/>
        <v>45533</v>
      </c>
      <c r="R837" s="2">
        <v>45524.738194444442</v>
      </c>
      <c r="S837">
        <f t="shared" si="127"/>
        <v>0</v>
      </c>
      <c r="T837" s="2">
        <f t="shared" si="128"/>
        <v>45533</v>
      </c>
      <c r="U837" t="str">
        <f t="shared" si="129"/>
        <v>NO PRAZO</v>
      </c>
    </row>
    <row r="838" spans="1:21" hidden="1">
      <c r="A838" s="1">
        <v>18287</v>
      </c>
      <c r="B838" t="s">
        <v>24</v>
      </c>
      <c r="C838" t="s">
        <v>13</v>
      </c>
      <c r="D838" t="s">
        <v>10</v>
      </c>
      <c r="E838" s="1">
        <v>2474</v>
      </c>
      <c r="F838" s="1">
        <v>2024</v>
      </c>
      <c r="G838" t="s">
        <v>11</v>
      </c>
      <c r="H838" s="2">
        <v>45523.583541666667</v>
      </c>
      <c r="I838" s="9">
        <f t="shared" si="121"/>
        <v>45524</v>
      </c>
      <c r="J838" s="2" t="str">
        <f t="shared" si="122"/>
        <v/>
      </c>
      <c r="L838" s="2" t="str">
        <f t="shared" si="123"/>
        <v/>
      </c>
      <c r="N838" s="10" t="str">
        <f t="shared" si="124"/>
        <v/>
      </c>
      <c r="O838" s="2">
        <f t="shared" si="125"/>
        <v>45524</v>
      </c>
      <c r="P838" s="2">
        <v>45524.676423611112</v>
      </c>
      <c r="Q838" s="2">
        <f t="shared" si="126"/>
        <v>45525</v>
      </c>
      <c r="R838" s="2">
        <v>45524.722453703704</v>
      </c>
      <c r="S838">
        <f t="shared" si="127"/>
        <v>0</v>
      </c>
      <c r="T838" s="2">
        <f t="shared" si="128"/>
        <v>45525</v>
      </c>
      <c r="U838" t="str">
        <f t="shared" si="129"/>
        <v>NO PRAZO</v>
      </c>
    </row>
    <row r="839" spans="1:21" hidden="1">
      <c r="A839" s="1">
        <v>18286</v>
      </c>
      <c r="B839" t="s">
        <v>24</v>
      </c>
      <c r="C839" t="s">
        <v>13</v>
      </c>
      <c r="D839" t="s">
        <v>10</v>
      </c>
      <c r="E839" s="1">
        <v>2473</v>
      </c>
      <c r="F839" s="1">
        <v>2024</v>
      </c>
      <c r="G839" t="s">
        <v>11</v>
      </c>
      <c r="H839" s="2">
        <v>45523.583541666667</v>
      </c>
      <c r="I839" s="9">
        <f t="shared" si="121"/>
        <v>45524</v>
      </c>
      <c r="J839" s="2" t="str">
        <f t="shared" si="122"/>
        <v/>
      </c>
      <c r="L839" s="2" t="str">
        <f t="shared" si="123"/>
        <v/>
      </c>
      <c r="N839" s="10" t="str">
        <f t="shared" si="124"/>
        <v/>
      </c>
      <c r="O839" s="2">
        <f t="shared" si="125"/>
        <v>45524</v>
      </c>
      <c r="P839" s="2">
        <v>45524.718263888892</v>
      </c>
      <c r="Q839" s="2">
        <f t="shared" si="126"/>
        <v>45525</v>
      </c>
      <c r="R839" s="2">
        <v>45524.722407407404</v>
      </c>
      <c r="S839">
        <f t="shared" si="127"/>
        <v>0</v>
      </c>
      <c r="T839" s="2">
        <f t="shared" si="128"/>
        <v>45525</v>
      </c>
      <c r="U839" t="str">
        <f t="shared" si="129"/>
        <v>NO PRAZO</v>
      </c>
    </row>
    <row r="840" spans="1:21" hidden="1">
      <c r="A840" s="1">
        <v>18285</v>
      </c>
      <c r="B840" t="s">
        <v>24</v>
      </c>
      <c r="C840" t="s">
        <v>13</v>
      </c>
      <c r="D840" t="s">
        <v>10</v>
      </c>
      <c r="E840" s="1">
        <v>2472</v>
      </c>
      <c r="F840" s="1">
        <v>2024</v>
      </c>
      <c r="G840" t="s">
        <v>11</v>
      </c>
      <c r="H840" s="2">
        <v>45523.583541666667</v>
      </c>
      <c r="I840" s="9">
        <f t="shared" si="121"/>
        <v>45524</v>
      </c>
      <c r="J840" s="2" t="str">
        <f t="shared" si="122"/>
        <v/>
      </c>
      <c r="L840" s="2" t="str">
        <f t="shared" si="123"/>
        <v/>
      </c>
      <c r="N840" s="10" t="str">
        <f t="shared" si="124"/>
        <v/>
      </c>
      <c r="O840" s="2">
        <f t="shared" si="125"/>
        <v>45524</v>
      </c>
      <c r="P840" s="2">
        <v>45524.6481712963</v>
      </c>
      <c r="Q840" s="2">
        <f t="shared" si="126"/>
        <v>45525</v>
      </c>
      <c r="R840" s="2">
        <v>45524.722384259258</v>
      </c>
      <c r="S840">
        <f t="shared" si="127"/>
        <v>0</v>
      </c>
      <c r="T840" s="2">
        <f t="shared" si="128"/>
        <v>45525</v>
      </c>
      <c r="U840" t="str">
        <f t="shared" si="129"/>
        <v>NO PRAZO</v>
      </c>
    </row>
    <row r="841" spans="1:21" hidden="1">
      <c r="A841" s="1">
        <v>18276</v>
      </c>
      <c r="B841" t="s">
        <v>12</v>
      </c>
      <c r="C841" t="s">
        <v>9</v>
      </c>
      <c r="D841" t="s">
        <v>18</v>
      </c>
      <c r="E841" s="1">
        <v>2463</v>
      </c>
      <c r="F841" s="1">
        <v>2024</v>
      </c>
      <c r="G841" t="s">
        <v>11</v>
      </c>
      <c r="H841" s="2">
        <v>45520.583472222221</v>
      </c>
      <c r="I841" s="9">
        <f t="shared" si="121"/>
        <v>45525</v>
      </c>
      <c r="J841" s="2" t="str">
        <f t="shared" si="122"/>
        <v/>
      </c>
      <c r="L841" s="2" t="str">
        <f t="shared" si="123"/>
        <v/>
      </c>
      <c r="N841" s="10" t="str">
        <f t="shared" si="124"/>
        <v/>
      </c>
      <c r="O841" s="2">
        <f t="shared" si="125"/>
        <v>45525</v>
      </c>
      <c r="P841" s="2">
        <v>45524.391782407409</v>
      </c>
      <c r="Q841" s="2">
        <f t="shared" si="126"/>
        <v>45531</v>
      </c>
      <c r="R841" s="2">
        <v>45524.393842592595</v>
      </c>
      <c r="S841">
        <f t="shared" si="127"/>
        <v>0</v>
      </c>
      <c r="T841" s="2">
        <f t="shared" si="128"/>
        <v>45531</v>
      </c>
      <c r="U841" t="str">
        <f t="shared" si="129"/>
        <v>NO PRAZO</v>
      </c>
    </row>
    <row r="842" spans="1:21" hidden="1">
      <c r="A842" s="1">
        <v>18263</v>
      </c>
      <c r="B842" t="s">
        <v>24</v>
      </c>
      <c r="C842" t="s">
        <v>13</v>
      </c>
      <c r="D842" t="s">
        <v>14</v>
      </c>
      <c r="E842" s="1">
        <v>2450</v>
      </c>
      <c r="F842" s="1">
        <v>2024</v>
      </c>
      <c r="G842" t="s">
        <v>11</v>
      </c>
      <c r="H842" s="2">
        <v>45519.416828703703</v>
      </c>
      <c r="I842" s="9">
        <f t="shared" si="121"/>
        <v>45520</v>
      </c>
      <c r="J842" s="2" t="str">
        <f t="shared" si="122"/>
        <v/>
      </c>
      <c r="L842" s="2" t="str">
        <f t="shared" si="123"/>
        <v/>
      </c>
      <c r="N842" s="10" t="str">
        <f t="shared" si="124"/>
        <v/>
      </c>
      <c r="O842" s="2">
        <f t="shared" si="125"/>
        <v>45520</v>
      </c>
      <c r="P842" s="2">
        <v>45520.709756944445</v>
      </c>
      <c r="Q842" s="2">
        <f t="shared" si="126"/>
        <v>45523</v>
      </c>
      <c r="R842" s="2">
        <v>45520.710613425923</v>
      </c>
      <c r="S842">
        <f t="shared" si="127"/>
        <v>0</v>
      </c>
      <c r="T842" s="2">
        <f t="shared" si="128"/>
        <v>45523</v>
      </c>
      <c r="U842" t="str">
        <f t="shared" si="129"/>
        <v>NO PRAZO</v>
      </c>
    </row>
    <row r="843" spans="1:21" hidden="1">
      <c r="A843" s="1">
        <v>18254</v>
      </c>
      <c r="B843" t="s">
        <v>12</v>
      </c>
      <c r="C843" t="s">
        <v>13</v>
      </c>
      <c r="D843" t="s">
        <v>18</v>
      </c>
      <c r="E843" s="1">
        <v>2441</v>
      </c>
      <c r="F843" s="1">
        <v>2024</v>
      </c>
      <c r="G843" t="s">
        <v>11</v>
      </c>
      <c r="H843" s="2">
        <v>45518.666817129626</v>
      </c>
      <c r="I843" s="9">
        <f t="shared" si="121"/>
        <v>45523</v>
      </c>
      <c r="J843" s="2" t="str">
        <f t="shared" si="122"/>
        <v/>
      </c>
      <c r="L843" s="2" t="str">
        <f t="shared" si="123"/>
        <v/>
      </c>
      <c r="N843" s="10" t="str">
        <f t="shared" si="124"/>
        <v/>
      </c>
      <c r="O843" s="2">
        <f t="shared" si="125"/>
        <v>45523</v>
      </c>
      <c r="P843" s="2">
        <v>45523.486354166664</v>
      </c>
      <c r="Q843" s="2">
        <f t="shared" si="126"/>
        <v>45527</v>
      </c>
      <c r="R843" s="2">
        <v>45524.62427083333</v>
      </c>
      <c r="S843">
        <f t="shared" si="127"/>
        <v>0</v>
      </c>
      <c r="T843" s="2">
        <f t="shared" si="128"/>
        <v>45527</v>
      </c>
      <c r="U843" t="str">
        <f t="shared" si="129"/>
        <v>NO PRAZO</v>
      </c>
    </row>
    <row r="844" spans="1:21" hidden="1">
      <c r="A844" s="1">
        <v>18228</v>
      </c>
      <c r="B844" t="s">
        <v>17</v>
      </c>
      <c r="C844" t="s">
        <v>13</v>
      </c>
      <c r="D844" t="s">
        <v>18</v>
      </c>
      <c r="E844" s="1">
        <v>2415</v>
      </c>
      <c r="F844" s="1">
        <v>2024</v>
      </c>
      <c r="G844" t="s">
        <v>11</v>
      </c>
      <c r="H844" s="2">
        <v>45517.416805555556</v>
      </c>
      <c r="I844" s="9">
        <f t="shared" si="121"/>
        <v>45520</v>
      </c>
      <c r="J844" s="2" t="str">
        <f t="shared" si="122"/>
        <v/>
      </c>
      <c r="L844" s="2" t="str">
        <f t="shared" si="123"/>
        <v/>
      </c>
      <c r="N844" s="10" t="str">
        <f t="shared" si="124"/>
        <v/>
      </c>
      <c r="O844" s="2">
        <f t="shared" si="125"/>
        <v>45520</v>
      </c>
      <c r="P844" s="2">
        <v>45520.414664351854</v>
      </c>
      <c r="Q844" s="2">
        <f t="shared" si="126"/>
        <v>45526</v>
      </c>
      <c r="R844" s="2">
        <v>45520.415694444448</v>
      </c>
      <c r="S844">
        <f t="shared" si="127"/>
        <v>0</v>
      </c>
      <c r="T844" s="2">
        <f t="shared" si="128"/>
        <v>45526</v>
      </c>
      <c r="U844" t="str">
        <f t="shared" si="129"/>
        <v>NO PRAZO</v>
      </c>
    </row>
    <row r="845" spans="1:21" hidden="1">
      <c r="A845" s="1">
        <v>18227</v>
      </c>
      <c r="B845" t="s">
        <v>17</v>
      </c>
      <c r="C845" t="s">
        <v>9</v>
      </c>
      <c r="D845" t="s">
        <v>10</v>
      </c>
      <c r="E845" s="1">
        <v>2414</v>
      </c>
      <c r="F845" s="1">
        <v>2024</v>
      </c>
      <c r="G845" t="s">
        <v>11</v>
      </c>
      <c r="H845" s="2">
        <v>45517.375150462962</v>
      </c>
      <c r="I845" s="9">
        <f t="shared" si="121"/>
        <v>45518</v>
      </c>
      <c r="J845" s="2" t="str">
        <f t="shared" si="122"/>
        <v/>
      </c>
      <c r="L845" s="2" t="str">
        <f t="shared" si="123"/>
        <v/>
      </c>
      <c r="N845" s="10" t="str">
        <f t="shared" si="124"/>
        <v/>
      </c>
      <c r="O845" s="2">
        <f t="shared" si="125"/>
        <v>45518</v>
      </c>
      <c r="P845" s="2">
        <v>45518.501932870371</v>
      </c>
      <c r="Q845" s="2">
        <f t="shared" si="126"/>
        <v>45519</v>
      </c>
      <c r="R845" s="2">
        <v>45518.505358796298</v>
      </c>
      <c r="S845">
        <f t="shared" si="127"/>
        <v>0</v>
      </c>
      <c r="T845" s="2">
        <f t="shared" si="128"/>
        <v>45519</v>
      </c>
      <c r="U845" t="str">
        <f t="shared" si="129"/>
        <v>NO PRAZO</v>
      </c>
    </row>
    <row r="846" spans="1:21" hidden="1">
      <c r="A846" s="1">
        <v>18226</v>
      </c>
      <c r="B846" t="s">
        <v>23</v>
      </c>
      <c r="C846" t="s">
        <v>13</v>
      </c>
      <c r="D846" t="s">
        <v>10</v>
      </c>
      <c r="E846" s="1">
        <v>2413</v>
      </c>
      <c r="F846" s="1">
        <v>2024</v>
      </c>
      <c r="G846" t="s">
        <v>11</v>
      </c>
      <c r="H846" s="2">
        <v>45516.833611111113</v>
      </c>
      <c r="I846" s="9">
        <f t="shared" si="121"/>
        <v>45517</v>
      </c>
      <c r="J846" s="2" t="str">
        <f t="shared" si="122"/>
        <v/>
      </c>
      <c r="L846" s="2" t="str">
        <f t="shared" si="123"/>
        <v/>
      </c>
      <c r="N846" s="10" t="str">
        <f t="shared" si="124"/>
        <v/>
      </c>
      <c r="O846" s="2">
        <f t="shared" si="125"/>
        <v>45517</v>
      </c>
      <c r="P846" s="2">
        <v>45517.959050925929</v>
      </c>
      <c r="Q846" s="2">
        <f t="shared" si="126"/>
        <v>45518</v>
      </c>
      <c r="R846" s="2">
        <v>45518.443020833336</v>
      </c>
      <c r="S846">
        <f t="shared" si="127"/>
        <v>0</v>
      </c>
      <c r="T846" s="2">
        <f t="shared" si="128"/>
        <v>45518</v>
      </c>
      <c r="U846" t="str">
        <f t="shared" si="129"/>
        <v>NO PRAZO</v>
      </c>
    </row>
    <row r="847" spans="1:21" hidden="1">
      <c r="A847" s="1">
        <v>18220</v>
      </c>
      <c r="B847" t="s">
        <v>23</v>
      </c>
      <c r="C847" t="s">
        <v>9</v>
      </c>
      <c r="D847" t="s">
        <v>21</v>
      </c>
      <c r="E847" s="1">
        <v>2407</v>
      </c>
      <c r="F847" s="1">
        <v>2024</v>
      </c>
      <c r="G847" t="s">
        <v>11</v>
      </c>
      <c r="H847" s="2">
        <v>45516.583541666667</v>
      </c>
      <c r="I847" s="9">
        <f t="shared" si="121"/>
        <v>45519</v>
      </c>
      <c r="J847" s="2" t="str">
        <f t="shared" si="122"/>
        <v/>
      </c>
      <c r="L847" s="2" t="str">
        <f t="shared" si="123"/>
        <v/>
      </c>
      <c r="N847" s="10" t="str">
        <f t="shared" si="124"/>
        <v/>
      </c>
      <c r="O847" s="2">
        <f t="shared" si="125"/>
        <v>45519</v>
      </c>
      <c r="P847" s="2">
        <v>45520.586076388892</v>
      </c>
      <c r="Q847" s="2">
        <f t="shared" si="126"/>
        <v>45546</v>
      </c>
      <c r="R847" s="2">
        <v>45520.590960648151</v>
      </c>
      <c r="S847">
        <f t="shared" si="127"/>
        <v>0</v>
      </c>
      <c r="T847" s="2">
        <f t="shared" si="128"/>
        <v>45546</v>
      </c>
      <c r="U847" t="str">
        <f t="shared" si="129"/>
        <v>NO PRAZO</v>
      </c>
    </row>
    <row r="848" spans="1:21" hidden="1">
      <c r="A848" s="1">
        <v>18212</v>
      </c>
      <c r="B848" t="s">
        <v>17</v>
      </c>
      <c r="C848" t="s">
        <v>13</v>
      </c>
      <c r="D848" t="s">
        <v>18</v>
      </c>
      <c r="E848" s="1">
        <v>2399</v>
      </c>
      <c r="F848" s="1">
        <v>2024</v>
      </c>
      <c r="G848" t="s">
        <v>11</v>
      </c>
      <c r="H848" s="2">
        <v>45513.791817129626</v>
      </c>
      <c r="I848" s="9">
        <f t="shared" si="121"/>
        <v>45518</v>
      </c>
      <c r="J848" s="2" t="str">
        <f t="shared" si="122"/>
        <v/>
      </c>
      <c r="L848" s="2" t="str">
        <f t="shared" si="123"/>
        <v/>
      </c>
      <c r="N848" s="10" t="str">
        <f t="shared" si="124"/>
        <v/>
      </c>
      <c r="O848" s="2">
        <f t="shared" si="125"/>
        <v>45518</v>
      </c>
      <c r="P848" s="2">
        <v>45520.392743055556</v>
      </c>
      <c r="Q848" s="2">
        <f t="shared" si="126"/>
        <v>45524</v>
      </c>
      <c r="R848" s="2">
        <v>45520.404537037037</v>
      </c>
      <c r="S848">
        <f t="shared" si="127"/>
        <v>0</v>
      </c>
      <c r="T848" s="2">
        <f t="shared" si="128"/>
        <v>45524</v>
      </c>
      <c r="U848" t="str">
        <f t="shared" si="129"/>
        <v>NO PRAZO</v>
      </c>
    </row>
    <row r="849" spans="1:21" hidden="1">
      <c r="A849" s="1">
        <v>18201</v>
      </c>
      <c r="B849" t="s">
        <v>17</v>
      </c>
      <c r="C849" t="s">
        <v>9</v>
      </c>
      <c r="D849" t="s">
        <v>10</v>
      </c>
      <c r="E849" s="1">
        <v>2388</v>
      </c>
      <c r="F849" s="1">
        <v>2024</v>
      </c>
      <c r="G849" t="s">
        <v>11</v>
      </c>
      <c r="H849" s="2">
        <v>45513.416805555556</v>
      </c>
      <c r="I849" s="9">
        <f t="shared" si="121"/>
        <v>45516</v>
      </c>
      <c r="J849" s="2" t="str">
        <f t="shared" si="122"/>
        <v/>
      </c>
      <c r="L849" s="2" t="str">
        <f t="shared" si="123"/>
        <v/>
      </c>
      <c r="N849" s="10" t="str">
        <f t="shared" si="124"/>
        <v/>
      </c>
      <c r="O849" s="2">
        <f t="shared" si="125"/>
        <v>45516</v>
      </c>
      <c r="P849" s="2">
        <v>45516.435659722221</v>
      </c>
      <c r="Q849" s="2">
        <f t="shared" si="126"/>
        <v>45517</v>
      </c>
      <c r="R849" s="2">
        <v>45516.499780092592</v>
      </c>
      <c r="S849">
        <f t="shared" si="127"/>
        <v>0</v>
      </c>
      <c r="T849" s="2">
        <f t="shared" si="128"/>
        <v>45517</v>
      </c>
      <c r="U849" t="str">
        <f t="shared" si="129"/>
        <v>NO PRAZO</v>
      </c>
    </row>
    <row r="850" spans="1:21" hidden="1">
      <c r="A850" s="1">
        <v>18199</v>
      </c>
      <c r="B850" t="s">
        <v>17</v>
      </c>
      <c r="C850" t="s">
        <v>9</v>
      </c>
      <c r="D850" t="s">
        <v>10</v>
      </c>
      <c r="E850" s="1">
        <v>2386</v>
      </c>
      <c r="F850" s="1">
        <v>2024</v>
      </c>
      <c r="G850" t="s">
        <v>11</v>
      </c>
      <c r="H850" s="2">
        <v>45512.750162037039</v>
      </c>
      <c r="I850" s="9">
        <f t="shared" si="121"/>
        <v>45513</v>
      </c>
      <c r="J850" s="2" t="str">
        <f t="shared" si="122"/>
        <v/>
      </c>
      <c r="L850" s="2" t="str">
        <f t="shared" si="123"/>
        <v/>
      </c>
      <c r="N850" s="10" t="str">
        <f t="shared" si="124"/>
        <v/>
      </c>
      <c r="O850" s="2">
        <f t="shared" si="125"/>
        <v>45513</v>
      </c>
      <c r="P850" s="2">
        <v>45513.684131944443</v>
      </c>
      <c r="Q850" s="2">
        <f t="shared" si="126"/>
        <v>45516</v>
      </c>
      <c r="R850" s="2">
        <v>45513.692071759258</v>
      </c>
      <c r="S850">
        <f t="shared" si="127"/>
        <v>0</v>
      </c>
      <c r="T850" s="2">
        <f t="shared" si="128"/>
        <v>45516</v>
      </c>
      <c r="U850" t="str">
        <f t="shared" si="129"/>
        <v>NO PRAZO</v>
      </c>
    </row>
    <row r="851" spans="1:21" hidden="1">
      <c r="A851" s="1">
        <v>18191</v>
      </c>
      <c r="B851" t="s">
        <v>17</v>
      </c>
      <c r="C851" t="s">
        <v>9</v>
      </c>
      <c r="D851" t="s">
        <v>10</v>
      </c>
      <c r="E851" s="1">
        <v>2378</v>
      </c>
      <c r="F851" s="1">
        <v>2024</v>
      </c>
      <c r="G851" t="s">
        <v>11</v>
      </c>
      <c r="H851" s="2">
        <v>45512.583518518521</v>
      </c>
      <c r="I851" s="9">
        <f t="shared" si="121"/>
        <v>45513</v>
      </c>
      <c r="J851" s="2" t="str">
        <f t="shared" si="122"/>
        <v/>
      </c>
      <c r="L851" s="2" t="str">
        <f t="shared" si="123"/>
        <v/>
      </c>
      <c r="N851" s="10" t="str">
        <f t="shared" si="124"/>
        <v/>
      </c>
      <c r="O851" s="2">
        <f t="shared" si="125"/>
        <v>45513</v>
      </c>
      <c r="P851" s="2">
        <v>45512.620104166665</v>
      </c>
      <c r="Q851" s="2">
        <f t="shared" si="126"/>
        <v>45516</v>
      </c>
      <c r="R851" s="2">
        <v>45512.787708333337</v>
      </c>
      <c r="S851">
        <f t="shared" si="127"/>
        <v>0</v>
      </c>
      <c r="T851" s="2">
        <f t="shared" si="128"/>
        <v>45516</v>
      </c>
      <c r="U851" t="str">
        <f t="shared" si="129"/>
        <v>NO PRAZO</v>
      </c>
    </row>
    <row r="852" spans="1:21" hidden="1">
      <c r="A852" s="1">
        <v>18190</v>
      </c>
      <c r="B852" t="s">
        <v>8</v>
      </c>
      <c r="C852" t="s">
        <v>9</v>
      </c>
      <c r="D852" t="s">
        <v>18</v>
      </c>
      <c r="E852" s="1">
        <v>2377</v>
      </c>
      <c r="F852" s="1">
        <v>2024</v>
      </c>
      <c r="G852" t="s">
        <v>11</v>
      </c>
      <c r="H852" s="2">
        <v>45512.583518518521</v>
      </c>
      <c r="I852" s="9">
        <f t="shared" si="121"/>
        <v>45517</v>
      </c>
      <c r="J852" s="2" t="str">
        <f t="shared" si="122"/>
        <v/>
      </c>
      <c r="L852" s="2" t="str">
        <f t="shared" si="123"/>
        <v/>
      </c>
      <c r="N852" s="10" t="str">
        <f t="shared" si="124"/>
        <v/>
      </c>
      <c r="O852" s="2">
        <f t="shared" si="125"/>
        <v>45517</v>
      </c>
      <c r="P852" s="2">
        <v>45518.629374999997</v>
      </c>
      <c r="Q852" s="2">
        <f t="shared" si="126"/>
        <v>45523</v>
      </c>
      <c r="R852" s="2">
        <v>45518.629502314812</v>
      </c>
      <c r="S852">
        <f t="shared" si="127"/>
        <v>0</v>
      </c>
      <c r="T852" s="2">
        <f t="shared" si="128"/>
        <v>45523</v>
      </c>
      <c r="U852" t="str">
        <f t="shared" si="129"/>
        <v>NO PRAZO</v>
      </c>
    </row>
    <row r="853" spans="1:21" hidden="1">
      <c r="A853" s="1">
        <v>18188</v>
      </c>
      <c r="B853" t="s">
        <v>20</v>
      </c>
      <c r="C853" t="s">
        <v>13</v>
      </c>
      <c r="D853" t="s">
        <v>18</v>
      </c>
      <c r="E853" s="1">
        <v>2375</v>
      </c>
      <c r="F853" s="1">
        <v>2024</v>
      </c>
      <c r="G853" t="s">
        <v>11</v>
      </c>
      <c r="H853" s="2">
        <v>45512.416759259257</v>
      </c>
      <c r="I853" s="9">
        <f t="shared" si="121"/>
        <v>45517</v>
      </c>
      <c r="J853" s="2" t="str">
        <f t="shared" si="122"/>
        <v/>
      </c>
      <c r="L853" s="2" t="str">
        <f t="shared" si="123"/>
        <v/>
      </c>
      <c r="N853" s="10" t="str">
        <f t="shared" si="124"/>
        <v/>
      </c>
      <c r="O853" s="2">
        <f t="shared" si="125"/>
        <v>45517</v>
      </c>
      <c r="P853" s="2">
        <v>45518.605023148149</v>
      </c>
      <c r="Q853" s="2">
        <f t="shared" si="126"/>
        <v>45523</v>
      </c>
      <c r="R853" s="2">
        <v>45518.605694444443</v>
      </c>
      <c r="S853">
        <f t="shared" si="127"/>
        <v>0</v>
      </c>
      <c r="T853" s="2">
        <f t="shared" si="128"/>
        <v>45523</v>
      </c>
      <c r="U853" t="str">
        <f t="shared" si="129"/>
        <v>NO PRAZO</v>
      </c>
    </row>
    <row r="854" spans="1:21" hidden="1">
      <c r="A854" s="1">
        <v>18183</v>
      </c>
      <c r="B854" t="s">
        <v>12</v>
      </c>
      <c r="C854" t="s">
        <v>13</v>
      </c>
      <c r="D854" t="s">
        <v>18</v>
      </c>
      <c r="E854" s="1">
        <v>2370</v>
      </c>
      <c r="F854" s="1">
        <v>2024</v>
      </c>
      <c r="G854" t="s">
        <v>11</v>
      </c>
      <c r="H854" s="2">
        <v>45511.666747685187</v>
      </c>
      <c r="I854" s="9">
        <f t="shared" si="121"/>
        <v>45516</v>
      </c>
      <c r="J854" s="2" t="str">
        <f t="shared" si="122"/>
        <v/>
      </c>
      <c r="L854" s="2" t="str">
        <f t="shared" si="123"/>
        <v/>
      </c>
      <c r="N854" s="10" t="str">
        <f t="shared" si="124"/>
        <v/>
      </c>
      <c r="O854" s="2">
        <f t="shared" si="125"/>
        <v>45516</v>
      </c>
      <c r="P854" s="2">
        <v>45513.693981481483</v>
      </c>
      <c r="Q854" s="2">
        <f t="shared" si="126"/>
        <v>45520</v>
      </c>
      <c r="R854" s="2">
        <v>45513.694490740738</v>
      </c>
      <c r="S854">
        <f t="shared" si="127"/>
        <v>0</v>
      </c>
      <c r="T854" s="2">
        <f t="shared" si="128"/>
        <v>45520</v>
      </c>
      <c r="U854" t="str">
        <f t="shared" si="129"/>
        <v>NO PRAZO</v>
      </c>
    </row>
    <row r="855" spans="1:21" hidden="1">
      <c r="A855" s="1">
        <v>18181</v>
      </c>
      <c r="B855" t="s">
        <v>24</v>
      </c>
      <c r="C855" t="s">
        <v>13</v>
      </c>
      <c r="D855" t="s">
        <v>10</v>
      </c>
      <c r="E855" s="1">
        <v>2368</v>
      </c>
      <c r="F855" s="1">
        <v>2024</v>
      </c>
      <c r="G855" t="s">
        <v>11</v>
      </c>
      <c r="H855" s="2">
        <v>45511.625081018516</v>
      </c>
      <c r="I855" s="9">
        <f t="shared" si="121"/>
        <v>45512</v>
      </c>
      <c r="J855" s="2" t="str">
        <f t="shared" si="122"/>
        <v/>
      </c>
      <c r="L855" s="2" t="str">
        <f t="shared" si="123"/>
        <v/>
      </c>
      <c r="N855" s="10" t="str">
        <f t="shared" si="124"/>
        <v/>
      </c>
      <c r="O855" s="2">
        <f t="shared" si="125"/>
        <v>45512</v>
      </c>
      <c r="P855" s="2">
        <v>45512.505798611113</v>
      </c>
      <c r="Q855" s="2">
        <f t="shared" si="126"/>
        <v>45513</v>
      </c>
      <c r="R855" s="2">
        <v>45512.794548611113</v>
      </c>
      <c r="S855">
        <f t="shared" si="127"/>
        <v>0</v>
      </c>
      <c r="T855" s="2">
        <f t="shared" si="128"/>
        <v>45513</v>
      </c>
      <c r="U855" t="str">
        <f t="shared" si="129"/>
        <v>NO PRAZO</v>
      </c>
    </row>
    <row r="856" spans="1:21" hidden="1">
      <c r="A856" s="1">
        <v>18161</v>
      </c>
      <c r="B856" t="s">
        <v>17</v>
      </c>
      <c r="C856" t="s">
        <v>13</v>
      </c>
      <c r="D856" t="s">
        <v>18</v>
      </c>
      <c r="E856" s="1">
        <v>2348</v>
      </c>
      <c r="F856" s="1">
        <v>2024</v>
      </c>
      <c r="G856" t="s">
        <v>11</v>
      </c>
      <c r="H856" s="2">
        <v>45509.66679398148</v>
      </c>
      <c r="I856" s="9">
        <f t="shared" si="121"/>
        <v>45512</v>
      </c>
      <c r="J856" s="2" t="str">
        <f t="shared" si="122"/>
        <v/>
      </c>
      <c r="L856" s="2" t="str">
        <f t="shared" si="123"/>
        <v/>
      </c>
      <c r="N856" s="10" t="str">
        <f t="shared" si="124"/>
        <v/>
      </c>
      <c r="O856" s="2">
        <f t="shared" si="125"/>
        <v>45512</v>
      </c>
      <c r="P856" s="2">
        <v>45512.45616898148</v>
      </c>
      <c r="Q856" s="2">
        <f t="shared" si="126"/>
        <v>45518</v>
      </c>
      <c r="R856" s="2">
        <v>45512.79409722222</v>
      </c>
      <c r="S856">
        <f t="shared" si="127"/>
        <v>0</v>
      </c>
      <c r="T856" s="2">
        <f t="shared" si="128"/>
        <v>45518</v>
      </c>
      <c r="U856" t="str">
        <f t="shared" si="129"/>
        <v>NO PRAZO</v>
      </c>
    </row>
    <row r="857" spans="1:21" hidden="1">
      <c r="A857" s="1">
        <v>18149</v>
      </c>
      <c r="B857" t="s">
        <v>24</v>
      </c>
      <c r="C857" t="s">
        <v>13</v>
      </c>
      <c r="D857" t="s">
        <v>18</v>
      </c>
      <c r="E857" s="1">
        <v>2336</v>
      </c>
      <c r="F857" s="1">
        <v>2024</v>
      </c>
      <c r="G857" t="s">
        <v>11</v>
      </c>
      <c r="H857" s="2">
        <v>45505.750162037039</v>
      </c>
      <c r="I857" s="9">
        <f t="shared" si="121"/>
        <v>45510</v>
      </c>
      <c r="J857" s="2" t="str">
        <f t="shared" si="122"/>
        <v/>
      </c>
      <c r="L857" s="2" t="str">
        <f t="shared" si="123"/>
        <v/>
      </c>
      <c r="N857" s="10" t="str">
        <f t="shared" si="124"/>
        <v/>
      </c>
      <c r="O857" s="2">
        <f t="shared" si="125"/>
        <v>45510</v>
      </c>
      <c r="P857" s="2">
        <v>45512.620706018519</v>
      </c>
      <c r="Q857" s="2">
        <f t="shared" si="126"/>
        <v>45516</v>
      </c>
      <c r="R857" s="2">
        <v>45512.626215277778</v>
      </c>
      <c r="S857">
        <f t="shared" si="127"/>
        <v>0</v>
      </c>
      <c r="T857" s="2">
        <f t="shared" si="128"/>
        <v>45516</v>
      </c>
      <c r="U857" t="str">
        <f t="shared" si="129"/>
        <v>NO PRAZO</v>
      </c>
    </row>
    <row r="858" spans="1:21">
      <c r="A858" s="1">
        <v>18146</v>
      </c>
      <c r="B858" t="s">
        <v>24</v>
      </c>
      <c r="C858" t="s">
        <v>13</v>
      </c>
      <c r="D858" t="s">
        <v>10</v>
      </c>
      <c r="E858" s="1">
        <v>2333</v>
      </c>
      <c r="F858" s="1">
        <v>2024</v>
      </c>
      <c r="G858" t="s">
        <v>11</v>
      </c>
      <c r="H858" s="2">
        <v>45505.625127314815</v>
      </c>
      <c r="I858" s="9">
        <f t="shared" si="121"/>
        <v>45506</v>
      </c>
      <c r="J858" s="2" t="str">
        <f t="shared" si="122"/>
        <v/>
      </c>
      <c r="L858" s="2" t="str">
        <f t="shared" si="123"/>
        <v/>
      </c>
      <c r="N858" s="10" t="str">
        <f t="shared" si="124"/>
        <v/>
      </c>
      <c r="O858" s="2">
        <f t="shared" si="125"/>
        <v>45506</v>
      </c>
      <c r="P858" s="2">
        <v>45510.698125000003</v>
      </c>
      <c r="Q858" s="2">
        <f t="shared" si="126"/>
        <v>45509</v>
      </c>
      <c r="R858" s="2">
        <v>45510.712395833332</v>
      </c>
      <c r="S858">
        <f t="shared" si="127"/>
        <v>1</v>
      </c>
      <c r="T858" s="2">
        <f t="shared" si="128"/>
        <v>45509</v>
      </c>
      <c r="U858" t="str">
        <f t="shared" si="129"/>
        <v>ATRASO</v>
      </c>
    </row>
    <row r="859" spans="1:21" hidden="1">
      <c r="A859" s="1">
        <v>18139</v>
      </c>
      <c r="B859" t="s">
        <v>19</v>
      </c>
      <c r="C859" t="s">
        <v>13</v>
      </c>
      <c r="D859" t="s">
        <v>18</v>
      </c>
      <c r="E859" s="1">
        <v>2326</v>
      </c>
      <c r="F859" s="1">
        <v>2024</v>
      </c>
      <c r="G859" t="s">
        <v>11</v>
      </c>
      <c r="H859" s="2">
        <v>45505.375138888892</v>
      </c>
      <c r="I859" s="9">
        <f t="shared" si="121"/>
        <v>45510</v>
      </c>
      <c r="J859" s="2" t="str">
        <f t="shared" si="122"/>
        <v/>
      </c>
      <c r="L859" s="2" t="str">
        <f t="shared" si="123"/>
        <v/>
      </c>
      <c r="N859" s="10" t="str">
        <f t="shared" si="124"/>
        <v/>
      </c>
      <c r="O859" s="2">
        <f t="shared" si="125"/>
        <v>45510</v>
      </c>
      <c r="P859" s="2">
        <v>45510.594236111108</v>
      </c>
      <c r="Q859" s="2">
        <f t="shared" si="126"/>
        <v>45516</v>
      </c>
      <c r="R859" s="2">
        <v>45511.729039351849</v>
      </c>
      <c r="S859">
        <f t="shared" si="127"/>
        <v>0</v>
      </c>
      <c r="T859" s="2">
        <f t="shared" si="128"/>
        <v>45516</v>
      </c>
      <c r="U859" t="str">
        <f t="shared" si="129"/>
        <v>NO PRAZO</v>
      </c>
    </row>
    <row r="860" spans="1:21" hidden="1">
      <c r="A860" s="1">
        <v>18135</v>
      </c>
      <c r="B860" t="s">
        <v>19</v>
      </c>
      <c r="C860" t="s">
        <v>13</v>
      </c>
      <c r="D860" t="s">
        <v>21</v>
      </c>
      <c r="E860" s="1">
        <v>2322</v>
      </c>
      <c r="F860" s="1">
        <v>2024</v>
      </c>
      <c r="G860" t="s">
        <v>11</v>
      </c>
      <c r="H860" s="2">
        <v>45504.708472222221</v>
      </c>
      <c r="I860" s="9">
        <f t="shared" si="121"/>
        <v>45509</v>
      </c>
      <c r="J860" s="2" t="str">
        <f t="shared" si="122"/>
        <v/>
      </c>
      <c r="L860" s="2" t="str">
        <f t="shared" si="123"/>
        <v/>
      </c>
      <c r="N860" s="10" t="str">
        <f t="shared" si="124"/>
        <v/>
      </c>
      <c r="O860" s="2">
        <f t="shared" si="125"/>
        <v>45509</v>
      </c>
      <c r="P860" s="2">
        <v>45505.43482638889</v>
      </c>
      <c r="Q860" s="2">
        <f t="shared" si="126"/>
        <v>45534</v>
      </c>
      <c r="R860" s="2">
        <v>45510.399050925924</v>
      </c>
      <c r="S860">
        <f t="shared" si="127"/>
        <v>0</v>
      </c>
      <c r="T860" s="2">
        <f t="shared" si="128"/>
        <v>45534</v>
      </c>
      <c r="U860" t="str">
        <f t="shared" si="129"/>
        <v>NO PRAZO</v>
      </c>
    </row>
    <row r="861" spans="1:21" hidden="1">
      <c r="A861" s="1">
        <v>18133</v>
      </c>
      <c r="B861" t="s">
        <v>24</v>
      </c>
      <c r="C861" t="s">
        <v>13</v>
      </c>
      <c r="D861" t="s">
        <v>18</v>
      </c>
      <c r="E861" s="1">
        <v>2320</v>
      </c>
      <c r="F861" s="1">
        <v>2024</v>
      </c>
      <c r="G861" t="s">
        <v>11</v>
      </c>
      <c r="H861" s="2">
        <v>45504.666828703703</v>
      </c>
      <c r="I861" s="9">
        <f t="shared" si="121"/>
        <v>45509</v>
      </c>
      <c r="J861" s="2" t="str">
        <f t="shared" si="122"/>
        <v/>
      </c>
      <c r="L861" s="2" t="str">
        <f t="shared" si="123"/>
        <v/>
      </c>
      <c r="N861" s="10" t="str">
        <f t="shared" si="124"/>
        <v/>
      </c>
      <c r="O861" s="2">
        <f t="shared" si="125"/>
        <v>45509</v>
      </c>
      <c r="P861" s="2">
        <v>45511.613854166666</v>
      </c>
      <c r="Q861" s="2">
        <f t="shared" si="126"/>
        <v>45513</v>
      </c>
      <c r="R861" s="2">
        <v>45511.615937499999</v>
      </c>
      <c r="S861">
        <f t="shared" si="127"/>
        <v>0</v>
      </c>
      <c r="T861" s="2">
        <f t="shared" si="128"/>
        <v>45513</v>
      </c>
      <c r="U861" t="str">
        <f t="shared" si="129"/>
        <v>NO PRAZO</v>
      </c>
    </row>
    <row r="862" spans="1:21" hidden="1">
      <c r="A862" s="1">
        <v>18092</v>
      </c>
      <c r="B862" t="s">
        <v>24</v>
      </c>
      <c r="C862" t="s">
        <v>13</v>
      </c>
      <c r="D862" t="s">
        <v>10</v>
      </c>
      <c r="E862" s="1">
        <v>2279</v>
      </c>
      <c r="F862" s="1">
        <v>2024</v>
      </c>
      <c r="G862" t="s">
        <v>11</v>
      </c>
      <c r="H862" s="2">
        <v>45499.375162037039</v>
      </c>
      <c r="I862" s="9">
        <f t="shared" si="121"/>
        <v>45502</v>
      </c>
      <c r="J862" s="2" t="str">
        <f t="shared" si="122"/>
        <v/>
      </c>
      <c r="L862" s="2" t="str">
        <f t="shared" si="123"/>
        <v/>
      </c>
      <c r="N862" s="10" t="str">
        <f t="shared" si="124"/>
        <v/>
      </c>
      <c r="O862" s="2">
        <f t="shared" si="125"/>
        <v>45502</v>
      </c>
      <c r="P862" s="2">
        <v>45503.447314814817</v>
      </c>
      <c r="Q862" s="2">
        <f t="shared" si="126"/>
        <v>45503</v>
      </c>
      <c r="R862" s="2">
        <v>45503.486180555556</v>
      </c>
      <c r="S862">
        <f t="shared" si="127"/>
        <v>0</v>
      </c>
      <c r="T862" s="2">
        <f t="shared" si="128"/>
        <v>45503</v>
      </c>
      <c r="U862" t="str">
        <f t="shared" si="129"/>
        <v>NO PRAZO</v>
      </c>
    </row>
    <row r="863" spans="1:21" hidden="1">
      <c r="A863" s="1">
        <v>18090</v>
      </c>
      <c r="B863" t="s">
        <v>20</v>
      </c>
      <c r="C863" t="s">
        <v>13</v>
      </c>
      <c r="D863" t="s">
        <v>16</v>
      </c>
      <c r="E863" s="1">
        <v>2277</v>
      </c>
      <c r="F863" s="1">
        <v>2024</v>
      </c>
      <c r="G863" t="s">
        <v>11</v>
      </c>
      <c r="H863" s="2">
        <v>45498.416817129626</v>
      </c>
      <c r="I863" s="9">
        <f t="shared" si="121"/>
        <v>45499</v>
      </c>
      <c r="J863" s="2" t="str">
        <f t="shared" si="122"/>
        <v/>
      </c>
      <c r="L863" s="2" t="str">
        <f t="shared" si="123"/>
        <v/>
      </c>
      <c r="N863" s="10" t="str">
        <f t="shared" si="124"/>
        <v/>
      </c>
      <c r="O863" s="2">
        <f t="shared" si="125"/>
        <v>45499</v>
      </c>
      <c r="P863" s="2">
        <v>45504.738391203704</v>
      </c>
      <c r="Q863" s="2">
        <f t="shared" si="126"/>
        <v>45505</v>
      </c>
      <c r="R863" s="2">
        <v>45504.738622685189</v>
      </c>
      <c r="S863">
        <f t="shared" si="127"/>
        <v>0</v>
      </c>
      <c r="T863" s="2">
        <f t="shared" si="128"/>
        <v>45505</v>
      </c>
      <c r="U863" t="str">
        <f t="shared" si="129"/>
        <v>NO PRAZO</v>
      </c>
    </row>
    <row r="864" spans="1:21" hidden="1">
      <c r="A864" s="1">
        <v>18089</v>
      </c>
      <c r="B864" t="s">
        <v>20</v>
      </c>
      <c r="C864" t="s">
        <v>13</v>
      </c>
      <c r="D864" t="s">
        <v>10</v>
      </c>
      <c r="E864" s="1">
        <v>2276</v>
      </c>
      <c r="F864" s="1">
        <v>2024</v>
      </c>
      <c r="G864" t="s">
        <v>11</v>
      </c>
      <c r="H864" s="2">
        <v>45498.375150462962</v>
      </c>
      <c r="I864" s="9">
        <f t="shared" si="121"/>
        <v>45499</v>
      </c>
      <c r="J864" s="2" t="str">
        <f t="shared" si="122"/>
        <v/>
      </c>
      <c r="L864" s="2" t="str">
        <f t="shared" si="123"/>
        <v/>
      </c>
      <c r="N864" s="10" t="str">
        <f t="shared" si="124"/>
        <v/>
      </c>
      <c r="O864" s="2">
        <f t="shared" si="125"/>
        <v>45499</v>
      </c>
      <c r="P864" s="2">
        <v>45499.393935185188</v>
      </c>
      <c r="Q864" s="2">
        <f t="shared" si="126"/>
        <v>45502</v>
      </c>
      <c r="R864" s="2">
        <v>45499.457650462966</v>
      </c>
      <c r="S864">
        <f t="shared" si="127"/>
        <v>0</v>
      </c>
      <c r="T864" s="2">
        <f t="shared" si="128"/>
        <v>45502</v>
      </c>
      <c r="U864" t="str">
        <f t="shared" si="129"/>
        <v>NO PRAZO</v>
      </c>
    </row>
    <row r="865" spans="1:21" hidden="1">
      <c r="A865" s="1">
        <v>18076</v>
      </c>
      <c r="B865" t="s">
        <v>20</v>
      </c>
      <c r="C865" t="s">
        <v>13</v>
      </c>
      <c r="D865" t="s">
        <v>18</v>
      </c>
      <c r="E865" s="1">
        <v>2263</v>
      </c>
      <c r="F865" s="1">
        <v>2024</v>
      </c>
      <c r="G865" t="s">
        <v>11</v>
      </c>
      <c r="H865" s="2">
        <v>45497.468831018516</v>
      </c>
      <c r="I865" s="9">
        <f t="shared" si="121"/>
        <v>45502</v>
      </c>
      <c r="J865" s="2" t="str">
        <f t="shared" si="122"/>
        <v/>
      </c>
      <c r="L865" s="2" t="str">
        <f t="shared" si="123"/>
        <v/>
      </c>
      <c r="N865" s="10" t="str">
        <f t="shared" si="124"/>
        <v/>
      </c>
      <c r="O865" s="2">
        <f t="shared" si="125"/>
        <v>45502</v>
      </c>
      <c r="P865" s="2">
        <v>45497.486701388887</v>
      </c>
      <c r="Q865" s="2">
        <f t="shared" si="126"/>
        <v>45506</v>
      </c>
      <c r="R865" s="2">
        <v>45499.389687499999</v>
      </c>
      <c r="S865">
        <f t="shared" si="127"/>
        <v>0</v>
      </c>
      <c r="T865" s="2">
        <f t="shared" si="128"/>
        <v>45506</v>
      </c>
      <c r="U865" t="str">
        <f t="shared" si="129"/>
        <v>NO PRAZO</v>
      </c>
    </row>
    <row r="866" spans="1:21" hidden="1">
      <c r="A866" s="1">
        <v>18070</v>
      </c>
      <c r="B866" t="s">
        <v>12</v>
      </c>
      <c r="C866" t="s">
        <v>13</v>
      </c>
      <c r="D866" t="s">
        <v>18</v>
      </c>
      <c r="E866" s="1">
        <v>2257</v>
      </c>
      <c r="F866" s="1">
        <v>2024</v>
      </c>
      <c r="G866" t="s">
        <v>11</v>
      </c>
      <c r="H866" s="2">
        <v>45496.666805555556</v>
      </c>
      <c r="I866" s="9">
        <f t="shared" si="121"/>
        <v>45499</v>
      </c>
      <c r="J866" s="2" t="str">
        <f t="shared" si="122"/>
        <v/>
      </c>
      <c r="L866" s="2" t="str">
        <f t="shared" si="123"/>
        <v/>
      </c>
      <c r="N866" s="10" t="str">
        <f t="shared" si="124"/>
        <v/>
      </c>
      <c r="O866" s="2">
        <f t="shared" si="125"/>
        <v>45499</v>
      </c>
      <c r="P866" s="2">
        <v>45499.456909722219</v>
      </c>
      <c r="Q866" s="2">
        <f t="shared" si="126"/>
        <v>45505</v>
      </c>
      <c r="R866" s="2">
        <v>45499.458622685182</v>
      </c>
      <c r="S866">
        <f t="shared" si="127"/>
        <v>0</v>
      </c>
      <c r="T866" s="2">
        <f t="shared" si="128"/>
        <v>45505</v>
      </c>
      <c r="U866" t="str">
        <f t="shared" si="129"/>
        <v>NO PRAZO</v>
      </c>
    </row>
    <row r="867" spans="1:21" hidden="1">
      <c r="A867" s="1">
        <v>18064</v>
      </c>
      <c r="B867" t="s">
        <v>19</v>
      </c>
      <c r="C867" t="s">
        <v>13</v>
      </c>
      <c r="D867" t="s">
        <v>18</v>
      </c>
      <c r="E867" s="1">
        <v>2251</v>
      </c>
      <c r="F867" s="1">
        <v>2024</v>
      </c>
      <c r="G867" t="s">
        <v>11</v>
      </c>
      <c r="H867" s="2">
        <v>45495.625162037039</v>
      </c>
      <c r="I867" s="9">
        <f t="shared" si="121"/>
        <v>45498</v>
      </c>
      <c r="J867" s="2" t="str">
        <f t="shared" si="122"/>
        <v/>
      </c>
      <c r="L867" s="2" t="str">
        <f t="shared" si="123"/>
        <v/>
      </c>
      <c r="N867" s="10" t="str">
        <f t="shared" si="124"/>
        <v/>
      </c>
      <c r="O867" s="2">
        <f t="shared" si="125"/>
        <v>45498</v>
      </c>
      <c r="P867" s="2">
        <v>45503.738611111112</v>
      </c>
      <c r="Q867" s="2">
        <f t="shared" si="126"/>
        <v>45504</v>
      </c>
      <c r="R867" s="2">
        <v>45503.763310185182</v>
      </c>
      <c r="S867">
        <f t="shared" si="127"/>
        <v>0</v>
      </c>
      <c r="T867" s="2">
        <f t="shared" si="128"/>
        <v>45504</v>
      </c>
      <c r="U867" t="str">
        <f t="shared" si="129"/>
        <v>NO PRAZO</v>
      </c>
    </row>
    <row r="868" spans="1:21">
      <c r="A868" s="1">
        <v>17998</v>
      </c>
      <c r="B868" t="s">
        <v>17</v>
      </c>
      <c r="C868" t="s">
        <v>13</v>
      </c>
      <c r="D868" t="s">
        <v>18</v>
      </c>
      <c r="E868" s="1">
        <v>2185</v>
      </c>
      <c r="F868" s="1">
        <v>2024</v>
      </c>
      <c r="G868" t="s">
        <v>11</v>
      </c>
      <c r="H868" s="2">
        <v>45485.458495370367</v>
      </c>
      <c r="I868" s="9">
        <f t="shared" si="121"/>
        <v>45490</v>
      </c>
      <c r="J868" s="2">
        <f t="shared" si="122"/>
        <v>45490</v>
      </c>
      <c r="K868" s="2">
        <v>45497.700358796297</v>
      </c>
      <c r="L868" s="2">
        <f t="shared" si="123"/>
        <v>45510</v>
      </c>
      <c r="M868" s="2">
        <v>45499.724363425928</v>
      </c>
      <c r="N868" s="10">
        <f t="shared" si="124"/>
        <v>0</v>
      </c>
      <c r="O868" s="2">
        <f t="shared" si="125"/>
        <v>45511</v>
      </c>
      <c r="P868" s="2">
        <v>45511.620578703703</v>
      </c>
      <c r="Q868" s="2">
        <f t="shared" si="126"/>
        <v>45517</v>
      </c>
      <c r="R868" s="2">
        <v>45511.621863425928</v>
      </c>
      <c r="S868">
        <f t="shared" si="127"/>
        <v>0</v>
      </c>
      <c r="T868" s="2">
        <f t="shared" si="128"/>
        <v>45496</v>
      </c>
      <c r="U868" t="str">
        <f t="shared" si="129"/>
        <v>ATRASO</v>
      </c>
    </row>
    <row r="869" spans="1:21" hidden="1">
      <c r="A869" s="1">
        <v>17997</v>
      </c>
      <c r="B869" t="s">
        <v>8</v>
      </c>
      <c r="C869" t="s">
        <v>9</v>
      </c>
      <c r="D869" t="s">
        <v>18</v>
      </c>
      <c r="E869" s="1">
        <v>2184</v>
      </c>
      <c r="F869" s="1">
        <v>2024</v>
      </c>
      <c r="G869" t="s">
        <v>11</v>
      </c>
      <c r="H869" s="2">
        <v>45485.457268518519</v>
      </c>
      <c r="I869" s="9">
        <f t="shared" si="121"/>
        <v>45490</v>
      </c>
      <c r="J869" s="2" t="str">
        <f t="shared" si="122"/>
        <v/>
      </c>
      <c r="L869" s="2" t="str">
        <f t="shared" si="123"/>
        <v/>
      </c>
      <c r="N869" s="10" t="str">
        <f t="shared" si="124"/>
        <v/>
      </c>
      <c r="O869" s="2">
        <f t="shared" si="125"/>
        <v>45490</v>
      </c>
      <c r="P869" s="2">
        <v>45485.781111111108</v>
      </c>
      <c r="Q869" s="2">
        <f t="shared" si="126"/>
        <v>45496</v>
      </c>
      <c r="R869" s="2">
        <v>45488.379837962966</v>
      </c>
      <c r="S869">
        <f t="shared" si="127"/>
        <v>0</v>
      </c>
      <c r="T869" s="2">
        <f t="shared" si="128"/>
        <v>45496</v>
      </c>
      <c r="U869" t="str">
        <f t="shared" si="129"/>
        <v>NO PRAZO</v>
      </c>
    </row>
    <row r="870" spans="1:21">
      <c r="A870" s="1">
        <v>17994</v>
      </c>
      <c r="B870" t="s">
        <v>24</v>
      </c>
      <c r="C870" t="s">
        <v>13</v>
      </c>
      <c r="D870" t="s">
        <v>14</v>
      </c>
      <c r="E870" s="1">
        <v>2181</v>
      </c>
      <c r="F870" s="1">
        <v>2024</v>
      </c>
      <c r="G870" t="s">
        <v>11</v>
      </c>
      <c r="H870" s="2">
        <v>45484.458483796298</v>
      </c>
      <c r="I870" s="9">
        <f t="shared" si="121"/>
        <v>45485</v>
      </c>
      <c r="J870" s="2" t="str">
        <f t="shared" si="122"/>
        <v/>
      </c>
      <c r="L870" s="2" t="str">
        <f t="shared" si="123"/>
        <v/>
      </c>
      <c r="N870" s="10" t="str">
        <f t="shared" si="124"/>
        <v/>
      </c>
      <c r="O870" s="2">
        <f t="shared" si="125"/>
        <v>45485</v>
      </c>
      <c r="P870" s="2">
        <v>45488.691111111111</v>
      </c>
      <c r="Q870" s="2">
        <f t="shared" si="126"/>
        <v>45488</v>
      </c>
      <c r="R870" s="2">
        <v>45489.384212962963</v>
      </c>
      <c r="S870">
        <f t="shared" si="127"/>
        <v>1</v>
      </c>
      <c r="T870" s="2">
        <f t="shared" si="128"/>
        <v>45488</v>
      </c>
      <c r="U870" t="str">
        <f t="shared" si="129"/>
        <v>ATRASO</v>
      </c>
    </row>
    <row r="871" spans="1:21">
      <c r="A871" s="1">
        <v>17968</v>
      </c>
      <c r="B871" t="s">
        <v>17</v>
      </c>
      <c r="C871" t="s">
        <v>9</v>
      </c>
      <c r="D871" t="s">
        <v>14</v>
      </c>
      <c r="E871" s="1">
        <v>2155</v>
      </c>
      <c r="F871" s="1">
        <v>2024</v>
      </c>
      <c r="G871" t="s">
        <v>11</v>
      </c>
      <c r="H871" s="2">
        <v>45482.375127314815</v>
      </c>
      <c r="I871" s="9">
        <f t="shared" si="121"/>
        <v>45483</v>
      </c>
      <c r="J871" s="2" t="str">
        <f t="shared" si="122"/>
        <v/>
      </c>
      <c r="L871" s="2" t="str">
        <f t="shared" si="123"/>
        <v/>
      </c>
      <c r="N871" s="10" t="str">
        <f t="shared" si="124"/>
        <v/>
      </c>
      <c r="O871" s="2">
        <f t="shared" si="125"/>
        <v>45483</v>
      </c>
      <c r="P871" s="2">
        <v>45490.643414351849</v>
      </c>
      <c r="Q871" s="2">
        <f t="shared" si="126"/>
        <v>45484</v>
      </c>
      <c r="R871" s="2">
        <v>45492.465046296296</v>
      </c>
      <c r="S871">
        <f t="shared" si="127"/>
        <v>8</v>
      </c>
      <c r="T871" s="2">
        <f t="shared" si="128"/>
        <v>45484</v>
      </c>
      <c r="U871" t="str">
        <f t="shared" si="129"/>
        <v>ATRASO</v>
      </c>
    </row>
    <row r="872" spans="1:21" hidden="1">
      <c r="A872" s="1">
        <v>17961</v>
      </c>
      <c r="B872" t="s">
        <v>17</v>
      </c>
      <c r="C872" t="s">
        <v>13</v>
      </c>
      <c r="D872" t="s">
        <v>18</v>
      </c>
      <c r="E872" s="1">
        <v>2148</v>
      </c>
      <c r="F872" s="1">
        <v>2024</v>
      </c>
      <c r="G872" t="s">
        <v>11</v>
      </c>
      <c r="H872" s="2">
        <v>45478.625138888892</v>
      </c>
      <c r="I872" s="9">
        <f t="shared" si="121"/>
        <v>45483</v>
      </c>
      <c r="J872" s="2" t="str">
        <f t="shared" si="122"/>
        <v/>
      </c>
      <c r="L872" s="2" t="str">
        <f t="shared" si="123"/>
        <v/>
      </c>
      <c r="N872" s="10" t="str">
        <f t="shared" si="124"/>
        <v/>
      </c>
      <c r="O872" s="2">
        <f t="shared" si="125"/>
        <v>45483</v>
      </c>
      <c r="P872" s="2">
        <v>45482.413148148145</v>
      </c>
      <c r="Q872" s="2">
        <f t="shared" si="126"/>
        <v>45489</v>
      </c>
      <c r="R872" s="2">
        <v>45482.482372685183</v>
      </c>
      <c r="S872">
        <f t="shared" si="127"/>
        <v>0</v>
      </c>
      <c r="T872" s="2">
        <f t="shared" si="128"/>
        <v>45489</v>
      </c>
      <c r="U872" t="str">
        <f t="shared" si="129"/>
        <v>NO PRAZO</v>
      </c>
    </row>
    <row r="873" spans="1:21">
      <c r="A873" s="1">
        <v>17946</v>
      </c>
      <c r="B873" t="s">
        <v>24</v>
      </c>
      <c r="C873" t="s">
        <v>13</v>
      </c>
      <c r="D873" t="s">
        <v>10</v>
      </c>
      <c r="E873" s="1">
        <v>2133</v>
      </c>
      <c r="F873" s="1">
        <v>2024</v>
      </c>
      <c r="G873" t="s">
        <v>11</v>
      </c>
      <c r="H873" s="2">
        <v>45476.458495370367</v>
      </c>
      <c r="I873" s="9">
        <f t="shared" si="121"/>
        <v>45477</v>
      </c>
      <c r="J873" s="2" t="str">
        <f t="shared" si="122"/>
        <v/>
      </c>
      <c r="L873" s="2" t="str">
        <f t="shared" si="123"/>
        <v/>
      </c>
      <c r="N873" s="10" t="str">
        <f t="shared" si="124"/>
        <v/>
      </c>
      <c r="O873" s="2">
        <f t="shared" si="125"/>
        <v>45477</v>
      </c>
      <c r="P873" s="2">
        <v>45478.641018518516</v>
      </c>
      <c r="Q873" s="2">
        <f t="shared" si="126"/>
        <v>45478</v>
      </c>
      <c r="R873" s="2">
        <v>45481.384340277778</v>
      </c>
      <c r="S873">
        <f t="shared" si="127"/>
        <v>3</v>
      </c>
      <c r="T873" s="2">
        <f t="shared" si="128"/>
        <v>45478</v>
      </c>
      <c r="U873" t="str">
        <f t="shared" si="129"/>
        <v>ATRASO</v>
      </c>
    </row>
    <row r="874" spans="1:21">
      <c r="A874" s="1">
        <v>17939</v>
      </c>
      <c r="B874" t="s">
        <v>20</v>
      </c>
      <c r="C874" t="s">
        <v>13</v>
      </c>
      <c r="D874" t="s">
        <v>21</v>
      </c>
      <c r="E874" s="1">
        <v>2126</v>
      </c>
      <c r="F874" s="1">
        <v>2024</v>
      </c>
      <c r="G874" t="s">
        <v>11</v>
      </c>
      <c r="H874" s="2">
        <v>45475.750173611108</v>
      </c>
      <c r="I874" s="9">
        <f t="shared" si="121"/>
        <v>45478</v>
      </c>
      <c r="J874" s="2" t="str">
        <f t="shared" si="122"/>
        <v/>
      </c>
      <c r="L874" s="2" t="str">
        <f t="shared" si="123"/>
        <v/>
      </c>
      <c r="N874" s="10" t="str">
        <f t="shared" si="124"/>
        <v/>
      </c>
      <c r="O874" s="2">
        <f t="shared" si="125"/>
        <v>45478</v>
      </c>
      <c r="P874" s="2">
        <v>45527.37127314815</v>
      </c>
      <c r="Q874" s="2">
        <f t="shared" si="126"/>
        <v>45505</v>
      </c>
      <c r="R874" s="2">
        <v>45527.371631944443</v>
      </c>
      <c r="S874">
        <f t="shared" si="127"/>
        <v>22</v>
      </c>
      <c r="T874" s="2">
        <f t="shared" si="128"/>
        <v>45505</v>
      </c>
      <c r="U874" t="str">
        <f t="shared" si="129"/>
        <v>ATRASO</v>
      </c>
    </row>
    <row r="875" spans="1:21">
      <c r="A875" s="1">
        <v>17936</v>
      </c>
      <c r="B875" t="s">
        <v>20</v>
      </c>
      <c r="C875" t="s">
        <v>13</v>
      </c>
      <c r="D875" t="s">
        <v>10</v>
      </c>
      <c r="E875" s="1">
        <v>2123</v>
      </c>
      <c r="F875" s="1">
        <v>2024</v>
      </c>
      <c r="G875" t="s">
        <v>11</v>
      </c>
      <c r="H875" s="2">
        <v>45475.583483796298</v>
      </c>
      <c r="I875" s="9">
        <f t="shared" si="121"/>
        <v>45476</v>
      </c>
      <c r="J875" s="2" t="str">
        <f t="shared" si="122"/>
        <v/>
      </c>
      <c r="L875" s="2" t="str">
        <f t="shared" si="123"/>
        <v/>
      </c>
      <c r="N875" s="10" t="str">
        <f t="shared" si="124"/>
        <v/>
      </c>
      <c r="O875" s="2">
        <f t="shared" si="125"/>
        <v>45476</v>
      </c>
      <c r="P875" s="2">
        <v>45481.597800925927</v>
      </c>
      <c r="Q875" s="2">
        <f t="shared" si="126"/>
        <v>45477</v>
      </c>
      <c r="R875" s="2">
        <v>45482.432708333334</v>
      </c>
      <c r="S875">
        <f t="shared" si="127"/>
        <v>5</v>
      </c>
      <c r="T875" s="2">
        <f t="shared" si="128"/>
        <v>45477</v>
      </c>
      <c r="U875" t="str">
        <f t="shared" si="129"/>
        <v>ATRASO</v>
      </c>
    </row>
    <row r="876" spans="1:21" hidden="1">
      <c r="A876" s="1">
        <v>17934</v>
      </c>
      <c r="B876" t="s">
        <v>24</v>
      </c>
      <c r="C876" t="s">
        <v>13</v>
      </c>
      <c r="D876" t="s">
        <v>14</v>
      </c>
      <c r="E876" s="1">
        <v>2121</v>
      </c>
      <c r="F876" s="1">
        <v>2024</v>
      </c>
      <c r="G876" t="s">
        <v>11</v>
      </c>
      <c r="H876" s="2">
        <v>45475.458495370367</v>
      </c>
      <c r="I876" s="9">
        <f t="shared" si="121"/>
        <v>45476</v>
      </c>
      <c r="J876" s="2" t="str">
        <f t="shared" si="122"/>
        <v/>
      </c>
      <c r="L876" s="2" t="str">
        <f t="shared" si="123"/>
        <v/>
      </c>
      <c r="N876" s="10" t="str">
        <f t="shared" si="124"/>
        <v/>
      </c>
      <c r="O876" s="2">
        <f t="shared" si="125"/>
        <v>45476</v>
      </c>
      <c r="P876" s="2">
        <v>45475.672199074077</v>
      </c>
      <c r="Q876" s="2">
        <f t="shared" si="126"/>
        <v>45477</v>
      </c>
      <c r="R876" s="2">
        <v>45475.672395833331</v>
      </c>
      <c r="S876">
        <f t="shared" si="127"/>
        <v>0</v>
      </c>
      <c r="T876" s="2">
        <f t="shared" si="128"/>
        <v>45477</v>
      </c>
      <c r="U876" t="str">
        <f t="shared" si="129"/>
        <v>NO PRAZO</v>
      </c>
    </row>
    <row r="877" spans="1:21" hidden="1">
      <c r="A877" s="1">
        <v>17909</v>
      </c>
      <c r="B877" t="s">
        <v>17</v>
      </c>
      <c r="C877" t="s">
        <v>9</v>
      </c>
      <c r="D877" t="s">
        <v>14</v>
      </c>
      <c r="E877" s="1">
        <v>2096</v>
      </c>
      <c r="F877" s="1">
        <v>2024</v>
      </c>
      <c r="G877" t="s">
        <v>11</v>
      </c>
      <c r="H877" s="2">
        <v>45470.666747685187</v>
      </c>
      <c r="I877" s="9">
        <f t="shared" si="121"/>
        <v>45471</v>
      </c>
      <c r="J877" s="2" t="str">
        <f t="shared" si="122"/>
        <v/>
      </c>
      <c r="L877" s="2" t="str">
        <f t="shared" si="123"/>
        <v/>
      </c>
      <c r="N877" s="10" t="str">
        <f t="shared" si="124"/>
        <v/>
      </c>
      <c r="O877" s="2">
        <f t="shared" si="125"/>
        <v>45471</v>
      </c>
      <c r="P877" s="2">
        <v>45474.591678240744</v>
      </c>
      <c r="Q877" s="2">
        <f t="shared" si="126"/>
        <v>45474</v>
      </c>
      <c r="R877" s="2">
        <v>45474.638935185183</v>
      </c>
      <c r="S877">
        <f t="shared" si="127"/>
        <v>0</v>
      </c>
      <c r="T877" s="2">
        <f t="shared" si="128"/>
        <v>45474</v>
      </c>
      <c r="U877" t="str">
        <f t="shared" si="129"/>
        <v>NO PRAZO</v>
      </c>
    </row>
    <row r="878" spans="1:21" hidden="1">
      <c r="A878" s="1">
        <v>17908</v>
      </c>
      <c r="B878" t="s">
        <v>19</v>
      </c>
      <c r="C878" t="s">
        <v>13</v>
      </c>
      <c r="D878" t="s">
        <v>18</v>
      </c>
      <c r="E878" s="1">
        <v>2095</v>
      </c>
      <c r="F878" s="1">
        <v>2024</v>
      </c>
      <c r="G878" t="s">
        <v>11</v>
      </c>
      <c r="H878" s="2">
        <v>45470.583495370367</v>
      </c>
      <c r="I878" s="9">
        <f t="shared" si="121"/>
        <v>45475</v>
      </c>
      <c r="J878" s="2" t="str">
        <f t="shared" si="122"/>
        <v/>
      </c>
      <c r="L878" s="2" t="str">
        <f t="shared" si="123"/>
        <v/>
      </c>
      <c r="N878" s="10" t="str">
        <f t="shared" si="124"/>
        <v/>
      </c>
      <c r="O878" s="2">
        <f t="shared" si="125"/>
        <v>45475</v>
      </c>
      <c r="P878" s="2">
        <v>45476.744571759256</v>
      </c>
      <c r="Q878" s="2">
        <f t="shared" si="126"/>
        <v>45481</v>
      </c>
      <c r="R878" s="2">
        <v>45476.744710648149</v>
      </c>
      <c r="S878">
        <f t="shared" si="127"/>
        <v>0</v>
      </c>
      <c r="T878" s="2">
        <f t="shared" si="128"/>
        <v>45481</v>
      </c>
      <c r="U878" t="str">
        <f t="shared" si="129"/>
        <v>NO PRAZO</v>
      </c>
    </row>
    <row r="879" spans="1:21" hidden="1">
      <c r="A879" s="1">
        <v>17895</v>
      </c>
      <c r="B879" t="s">
        <v>19</v>
      </c>
      <c r="C879" t="s">
        <v>13</v>
      </c>
      <c r="D879" t="s">
        <v>18</v>
      </c>
      <c r="E879" s="1">
        <v>2082</v>
      </c>
      <c r="F879" s="1">
        <v>2024</v>
      </c>
      <c r="G879" t="s">
        <v>11</v>
      </c>
      <c r="H879" s="2">
        <v>45469.583449074074</v>
      </c>
      <c r="I879" s="9">
        <f t="shared" si="121"/>
        <v>45474</v>
      </c>
      <c r="J879" s="2" t="str">
        <f t="shared" si="122"/>
        <v/>
      </c>
      <c r="L879" s="2" t="str">
        <f t="shared" si="123"/>
        <v/>
      </c>
      <c r="N879" s="10" t="str">
        <f t="shared" si="124"/>
        <v/>
      </c>
      <c r="O879" s="2">
        <f t="shared" si="125"/>
        <v>45474</v>
      </c>
      <c r="P879" s="2">
        <v>45471.447523148148</v>
      </c>
      <c r="Q879" s="2">
        <f t="shared" si="126"/>
        <v>45478</v>
      </c>
      <c r="R879" s="2">
        <v>45471.447638888887</v>
      </c>
      <c r="S879">
        <f t="shared" si="127"/>
        <v>0</v>
      </c>
      <c r="T879" s="2">
        <f t="shared" si="128"/>
        <v>45478</v>
      </c>
      <c r="U879" t="str">
        <f t="shared" si="129"/>
        <v>NO PRAZO</v>
      </c>
    </row>
    <row r="880" spans="1:21">
      <c r="A880" s="1">
        <v>17894</v>
      </c>
      <c r="B880" t="s">
        <v>17</v>
      </c>
      <c r="C880" t="s">
        <v>9</v>
      </c>
      <c r="D880" t="s">
        <v>14</v>
      </c>
      <c r="E880" s="1">
        <v>2081</v>
      </c>
      <c r="F880" s="1">
        <v>2024</v>
      </c>
      <c r="G880" t="s">
        <v>11</v>
      </c>
      <c r="H880" s="2">
        <v>45469.583449074074</v>
      </c>
      <c r="I880" s="9">
        <f t="shared" si="121"/>
        <v>45470</v>
      </c>
      <c r="J880" s="2" t="str">
        <f t="shared" si="122"/>
        <v/>
      </c>
      <c r="L880" s="2" t="str">
        <f t="shared" si="123"/>
        <v/>
      </c>
      <c r="N880" s="10" t="str">
        <f t="shared" si="124"/>
        <v/>
      </c>
      <c r="O880" s="2">
        <f t="shared" si="125"/>
        <v>45470</v>
      </c>
      <c r="P880" s="2">
        <v>45474.590370370373</v>
      </c>
      <c r="Q880" s="2">
        <f t="shared" si="126"/>
        <v>45471</v>
      </c>
      <c r="R880" s="2">
        <v>45474.641018518516</v>
      </c>
      <c r="S880">
        <f t="shared" si="127"/>
        <v>3</v>
      </c>
      <c r="T880" s="2">
        <f t="shared" si="128"/>
        <v>45471</v>
      </c>
      <c r="U880" t="str">
        <f t="shared" si="129"/>
        <v>ATRASO</v>
      </c>
    </row>
    <row r="881" spans="1:21">
      <c r="A881" s="1">
        <v>17886</v>
      </c>
      <c r="B881" t="s">
        <v>12</v>
      </c>
      <c r="C881" t="s">
        <v>13</v>
      </c>
      <c r="D881" t="s">
        <v>14</v>
      </c>
      <c r="E881" s="1">
        <v>2073</v>
      </c>
      <c r="F881" s="1">
        <v>2024</v>
      </c>
      <c r="G881" t="s">
        <v>11</v>
      </c>
      <c r="H881" s="2">
        <v>45468.67019675926</v>
      </c>
      <c r="I881" s="9">
        <f t="shared" si="121"/>
        <v>45469</v>
      </c>
      <c r="J881" s="2" t="str">
        <f t="shared" si="122"/>
        <v/>
      </c>
      <c r="L881" s="2" t="str">
        <f t="shared" si="123"/>
        <v/>
      </c>
      <c r="N881" s="10" t="str">
        <f t="shared" si="124"/>
        <v/>
      </c>
      <c r="O881" s="2">
        <f t="shared" si="125"/>
        <v>45469</v>
      </c>
      <c r="P881" s="2">
        <v>45468.671979166669</v>
      </c>
      <c r="Q881" s="2">
        <f t="shared" si="126"/>
        <v>45470</v>
      </c>
      <c r="R881" s="2">
        <v>45471.5390162037</v>
      </c>
      <c r="S881">
        <f t="shared" si="127"/>
        <v>1</v>
      </c>
      <c r="T881" s="2">
        <f t="shared" si="128"/>
        <v>45470</v>
      </c>
      <c r="U881" t="str">
        <f t="shared" si="129"/>
        <v>ATRASO</v>
      </c>
    </row>
    <row r="882" spans="1:21" hidden="1">
      <c r="A882" s="1">
        <v>17883</v>
      </c>
      <c r="B882" t="s">
        <v>17</v>
      </c>
      <c r="C882" t="s">
        <v>13</v>
      </c>
      <c r="D882" t="s">
        <v>18</v>
      </c>
      <c r="E882" s="1">
        <v>2070</v>
      </c>
      <c r="F882" s="1">
        <v>2024</v>
      </c>
      <c r="G882" t="s">
        <v>11</v>
      </c>
      <c r="H882" s="2">
        <v>45468.500069444446</v>
      </c>
      <c r="I882" s="9">
        <f t="shared" si="121"/>
        <v>45471</v>
      </c>
      <c r="J882" s="2" t="str">
        <f t="shared" si="122"/>
        <v/>
      </c>
      <c r="L882" s="2" t="str">
        <f t="shared" si="123"/>
        <v/>
      </c>
      <c r="N882" s="10" t="str">
        <f t="shared" si="124"/>
        <v/>
      </c>
      <c r="O882" s="2">
        <f t="shared" si="125"/>
        <v>45471</v>
      </c>
      <c r="P882" s="2">
        <v>45471.66851851852</v>
      </c>
      <c r="Q882" s="2">
        <f t="shared" si="126"/>
        <v>45477</v>
      </c>
      <c r="R882" s="2">
        <v>45471.669328703705</v>
      </c>
      <c r="S882">
        <f t="shared" si="127"/>
        <v>0</v>
      </c>
      <c r="T882" s="2">
        <f t="shared" si="128"/>
        <v>45477</v>
      </c>
      <c r="U882" t="str">
        <f t="shared" si="129"/>
        <v>NO PRAZO</v>
      </c>
    </row>
    <row r="883" spans="1:21" hidden="1">
      <c r="A883" s="1">
        <v>17877</v>
      </c>
      <c r="B883" t="s">
        <v>12</v>
      </c>
      <c r="C883" t="s">
        <v>13</v>
      </c>
      <c r="D883" t="s">
        <v>18</v>
      </c>
      <c r="E883" s="1">
        <v>2064</v>
      </c>
      <c r="F883" s="1">
        <v>2024</v>
      </c>
      <c r="G883" t="s">
        <v>11</v>
      </c>
      <c r="H883" s="2">
        <v>45467.500081018516</v>
      </c>
      <c r="I883" s="9">
        <f t="shared" si="121"/>
        <v>45470</v>
      </c>
      <c r="J883" s="2" t="str">
        <f t="shared" si="122"/>
        <v/>
      </c>
      <c r="L883" s="2" t="str">
        <f t="shared" si="123"/>
        <v/>
      </c>
      <c r="N883" s="10" t="str">
        <f t="shared" si="124"/>
        <v/>
      </c>
      <c r="O883" s="2">
        <f t="shared" si="125"/>
        <v>45470</v>
      </c>
      <c r="P883" s="2">
        <v>45469.610486111109</v>
      </c>
      <c r="Q883" s="2">
        <f t="shared" si="126"/>
        <v>45476</v>
      </c>
      <c r="R883" s="2">
        <v>45470.73028935185</v>
      </c>
      <c r="S883">
        <f t="shared" si="127"/>
        <v>0</v>
      </c>
      <c r="T883" s="2">
        <f t="shared" si="128"/>
        <v>45476</v>
      </c>
      <c r="U883" t="str">
        <f t="shared" si="129"/>
        <v>NO PRAZO</v>
      </c>
    </row>
    <row r="884" spans="1:21" hidden="1">
      <c r="A884" s="1">
        <v>17876</v>
      </c>
      <c r="B884" t="s">
        <v>12</v>
      </c>
      <c r="C884" t="s">
        <v>13</v>
      </c>
      <c r="D884" t="s">
        <v>18</v>
      </c>
      <c r="E884" s="1">
        <v>2063</v>
      </c>
      <c r="F884" s="1">
        <v>2024</v>
      </c>
      <c r="G884" t="s">
        <v>11</v>
      </c>
      <c r="H884" s="2">
        <v>45467.500081018516</v>
      </c>
      <c r="I884" s="9">
        <f t="shared" si="121"/>
        <v>45470</v>
      </c>
      <c r="J884" s="2" t="str">
        <f t="shared" si="122"/>
        <v/>
      </c>
      <c r="L884" s="2" t="str">
        <f t="shared" si="123"/>
        <v/>
      </c>
      <c r="N884" s="10" t="str">
        <f t="shared" si="124"/>
        <v/>
      </c>
      <c r="O884" s="2">
        <f t="shared" si="125"/>
        <v>45470</v>
      </c>
      <c r="P884" s="2">
        <v>45469.60974537037</v>
      </c>
      <c r="Q884" s="2">
        <f t="shared" si="126"/>
        <v>45476</v>
      </c>
      <c r="R884" s="2">
        <v>45470.732615740744</v>
      </c>
      <c r="S884">
        <f t="shared" si="127"/>
        <v>0</v>
      </c>
      <c r="T884" s="2">
        <f t="shared" si="128"/>
        <v>45476</v>
      </c>
      <c r="U884" t="str">
        <f t="shared" si="129"/>
        <v>NO PRAZO</v>
      </c>
    </row>
    <row r="885" spans="1:21" hidden="1">
      <c r="A885" s="1">
        <v>17875</v>
      </c>
      <c r="B885" t="s">
        <v>19</v>
      </c>
      <c r="C885" t="s">
        <v>13</v>
      </c>
      <c r="D885" t="s">
        <v>16</v>
      </c>
      <c r="E885" s="1">
        <v>2062</v>
      </c>
      <c r="F885" s="1">
        <v>2024</v>
      </c>
      <c r="G885" t="s">
        <v>11</v>
      </c>
      <c r="H885" s="2">
        <v>45467.500081018516</v>
      </c>
      <c r="I885" s="9">
        <f t="shared" si="121"/>
        <v>45468</v>
      </c>
      <c r="J885" s="2" t="str">
        <f t="shared" si="122"/>
        <v/>
      </c>
      <c r="L885" s="2" t="str">
        <f t="shared" si="123"/>
        <v/>
      </c>
      <c r="N885" s="10" t="str">
        <f t="shared" si="124"/>
        <v/>
      </c>
      <c r="O885" s="2">
        <f t="shared" si="125"/>
        <v>45468</v>
      </c>
      <c r="P885" s="2">
        <v>45469.611516203702</v>
      </c>
      <c r="Q885" s="2">
        <f t="shared" si="126"/>
        <v>45474</v>
      </c>
      <c r="R885" s="2">
        <v>45470.735231481478</v>
      </c>
      <c r="S885">
        <f t="shared" si="127"/>
        <v>0</v>
      </c>
      <c r="T885" s="2">
        <f t="shared" si="128"/>
        <v>45474</v>
      </c>
      <c r="U885" t="str">
        <f t="shared" si="129"/>
        <v>NO PRAZO</v>
      </c>
    </row>
    <row r="886" spans="1:21" hidden="1">
      <c r="A886" s="1">
        <v>17873</v>
      </c>
      <c r="B886" t="s">
        <v>17</v>
      </c>
      <c r="C886" t="s">
        <v>13</v>
      </c>
      <c r="D886" t="s">
        <v>18</v>
      </c>
      <c r="E886" s="1">
        <v>2060</v>
      </c>
      <c r="F886" s="1">
        <v>2024</v>
      </c>
      <c r="G886" t="s">
        <v>11</v>
      </c>
      <c r="H886" s="2">
        <v>45467.41673611111</v>
      </c>
      <c r="I886" s="9">
        <f t="shared" si="121"/>
        <v>45470</v>
      </c>
      <c r="J886" s="2" t="str">
        <f t="shared" si="122"/>
        <v/>
      </c>
      <c r="L886" s="2" t="str">
        <f t="shared" si="123"/>
        <v/>
      </c>
      <c r="N886" s="10" t="str">
        <f t="shared" si="124"/>
        <v/>
      </c>
      <c r="O886" s="2">
        <f t="shared" si="125"/>
        <v>45470</v>
      </c>
      <c r="P886" s="2">
        <v>45468.364421296297</v>
      </c>
      <c r="Q886" s="2">
        <f t="shared" si="126"/>
        <v>45476</v>
      </c>
      <c r="R886" s="2">
        <v>45468.365358796298</v>
      </c>
      <c r="S886">
        <f t="shared" si="127"/>
        <v>0</v>
      </c>
      <c r="T886" s="2">
        <f t="shared" si="128"/>
        <v>45476</v>
      </c>
      <c r="U886" t="str">
        <f t="shared" si="129"/>
        <v>NO PRAZO</v>
      </c>
    </row>
    <row r="887" spans="1:21" hidden="1">
      <c r="A887" s="1">
        <v>17859</v>
      </c>
      <c r="B887" t="s">
        <v>17</v>
      </c>
      <c r="C887" t="s">
        <v>9</v>
      </c>
      <c r="D887" t="s">
        <v>18</v>
      </c>
      <c r="E887" s="1">
        <v>2046</v>
      </c>
      <c r="F887" s="1">
        <v>2024</v>
      </c>
      <c r="G887" t="s">
        <v>11</v>
      </c>
      <c r="H887" s="2">
        <v>45464.458506944444</v>
      </c>
      <c r="I887" s="9">
        <f t="shared" si="121"/>
        <v>45469</v>
      </c>
      <c r="J887" s="2" t="str">
        <f t="shared" si="122"/>
        <v/>
      </c>
      <c r="L887" s="2" t="str">
        <f t="shared" si="123"/>
        <v/>
      </c>
      <c r="N887" s="10" t="str">
        <f t="shared" si="124"/>
        <v/>
      </c>
      <c r="O887" s="2">
        <f t="shared" si="125"/>
        <v>45469</v>
      </c>
      <c r="P887" s="2">
        <v>45474.627615740741</v>
      </c>
      <c r="Q887" s="2">
        <f t="shared" si="126"/>
        <v>45475</v>
      </c>
      <c r="R887" s="2">
        <v>45474.640034722222</v>
      </c>
      <c r="S887">
        <f t="shared" si="127"/>
        <v>0</v>
      </c>
      <c r="T887" s="2">
        <f t="shared" si="128"/>
        <v>45475</v>
      </c>
      <c r="U887" t="str">
        <f t="shared" si="129"/>
        <v>NO PRAZO</v>
      </c>
    </row>
    <row r="888" spans="1:21" hidden="1">
      <c r="A888" s="1">
        <v>17823</v>
      </c>
      <c r="B888" t="s">
        <v>19</v>
      </c>
      <c r="C888" t="s">
        <v>13</v>
      </c>
      <c r="D888" t="s">
        <v>16</v>
      </c>
      <c r="E888" s="1">
        <v>2010</v>
      </c>
      <c r="F888" s="1">
        <v>2024</v>
      </c>
      <c r="G888" t="s">
        <v>11</v>
      </c>
      <c r="H888" s="2">
        <v>45461.625023148146</v>
      </c>
      <c r="I888" s="9">
        <f t="shared" si="121"/>
        <v>45462</v>
      </c>
      <c r="J888" s="2" t="str">
        <f t="shared" si="122"/>
        <v/>
      </c>
      <c r="L888" s="2" t="str">
        <f t="shared" si="123"/>
        <v/>
      </c>
      <c r="N888" s="10" t="str">
        <f t="shared" si="124"/>
        <v/>
      </c>
      <c r="O888" s="2">
        <f t="shared" si="125"/>
        <v>45462</v>
      </c>
      <c r="P888" s="2">
        <v>45463.707557870373</v>
      </c>
      <c r="Q888" s="2">
        <f t="shared" si="126"/>
        <v>45468</v>
      </c>
      <c r="R888" s="2">
        <v>45463.707777777781</v>
      </c>
      <c r="S888">
        <f t="shared" si="127"/>
        <v>0</v>
      </c>
      <c r="T888" s="2">
        <f t="shared" si="128"/>
        <v>45468</v>
      </c>
      <c r="U888" t="str">
        <f t="shared" si="129"/>
        <v>NO PRAZO</v>
      </c>
    </row>
    <row r="889" spans="1:21" hidden="1">
      <c r="A889" s="1">
        <v>17815</v>
      </c>
      <c r="B889" t="s">
        <v>12</v>
      </c>
      <c r="C889" t="s">
        <v>9</v>
      </c>
      <c r="D889" t="s">
        <v>14</v>
      </c>
      <c r="E889" s="1">
        <v>2002</v>
      </c>
      <c r="F889" s="1">
        <v>2024</v>
      </c>
      <c r="G889" t="s">
        <v>11</v>
      </c>
      <c r="H889" s="2">
        <v>45460.612337962964</v>
      </c>
      <c r="I889" s="9">
        <f t="shared" si="121"/>
        <v>45461</v>
      </c>
      <c r="J889" s="2" t="str">
        <f t="shared" si="122"/>
        <v/>
      </c>
      <c r="L889" s="2" t="str">
        <f t="shared" si="123"/>
        <v/>
      </c>
      <c r="N889" s="10" t="str">
        <f t="shared" si="124"/>
        <v/>
      </c>
      <c r="O889" s="2">
        <f t="shared" si="125"/>
        <v>45461</v>
      </c>
      <c r="P889" s="2">
        <v>45461.501516203702</v>
      </c>
      <c r="Q889" s="2">
        <f t="shared" si="126"/>
        <v>45462</v>
      </c>
      <c r="R889" s="2">
        <v>45461.808275462965</v>
      </c>
      <c r="S889">
        <f t="shared" si="127"/>
        <v>0</v>
      </c>
      <c r="T889" s="2">
        <f t="shared" si="128"/>
        <v>45462</v>
      </c>
      <c r="U889" t="str">
        <f t="shared" si="129"/>
        <v>NO PRAZO</v>
      </c>
    </row>
    <row r="890" spans="1:21" hidden="1">
      <c r="A890" s="1">
        <v>17807</v>
      </c>
      <c r="B890" t="s">
        <v>19</v>
      </c>
      <c r="C890" t="s">
        <v>13</v>
      </c>
      <c r="D890" t="s">
        <v>10</v>
      </c>
      <c r="E890" s="1">
        <v>1994</v>
      </c>
      <c r="F890" s="1">
        <v>2024</v>
      </c>
      <c r="G890" t="s">
        <v>11</v>
      </c>
      <c r="H890" s="2">
        <v>45457.666689814818</v>
      </c>
      <c r="I890" s="9">
        <f t="shared" si="121"/>
        <v>45460</v>
      </c>
      <c r="J890" s="2" t="str">
        <f t="shared" si="122"/>
        <v/>
      </c>
      <c r="L890" s="2" t="str">
        <f t="shared" si="123"/>
        <v/>
      </c>
      <c r="N890" s="10" t="str">
        <f t="shared" si="124"/>
        <v/>
      </c>
      <c r="O890" s="2">
        <f t="shared" si="125"/>
        <v>45460</v>
      </c>
      <c r="P890" s="2">
        <v>45460.669675925928</v>
      </c>
      <c r="Q890" s="2">
        <f t="shared" si="126"/>
        <v>45461</v>
      </c>
      <c r="R890" s="2">
        <v>45460.684652777774</v>
      </c>
      <c r="S890">
        <f t="shared" si="127"/>
        <v>0</v>
      </c>
      <c r="T890" s="2">
        <f t="shared" si="128"/>
        <v>45461</v>
      </c>
      <c r="U890" t="str">
        <f t="shared" si="129"/>
        <v>NO PRAZO</v>
      </c>
    </row>
    <row r="891" spans="1:21" hidden="1">
      <c r="A891" s="1">
        <v>17802</v>
      </c>
      <c r="B891" t="s">
        <v>12</v>
      </c>
      <c r="C891" t="s">
        <v>13</v>
      </c>
      <c r="D891" t="s">
        <v>16</v>
      </c>
      <c r="E891" s="1">
        <v>1989</v>
      </c>
      <c r="F891" s="1">
        <v>2024</v>
      </c>
      <c r="G891" t="s">
        <v>11</v>
      </c>
      <c r="H891" s="2">
        <v>45457.458344907405</v>
      </c>
      <c r="I891" s="9">
        <f t="shared" si="121"/>
        <v>45460</v>
      </c>
      <c r="J891" s="2" t="str">
        <f t="shared" si="122"/>
        <v/>
      </c>
      <c r="L891" s="2" t="str">
        <f t="shared" si="123"/>
        <v/>
      </c>
      <c r="N891" s="10" t="str">
        <f t="shared" si="124"/>
        <v/>
      </c>
      <c r="O891" s="2">
        <f t="shared" si="125"/>
        <v>45460</v>
      </c>
      <c r="P891" s="2">
        <v>45461.711655092593</v>
      </c>
      <c r="Q891" s="2">
        <f t="shared" si="126"/>
        <v>45464</v>
      </c>
      <c r="R891" s="2">
        <v>45461.722615740742</v>
      </c>
      <c r="S891">
        <f t="shared" si="127"/>
        <v>0</v>
      </c>
      <c r="T891" s="2">
        <f t="shared" si="128"/>
        <v>45464</v>
      </c>
      <c r="U891" t="str">
        <f t="shared" si="129"/>
        <v>NO PRAZO</v>
      </c>
    </row>
    <row r="892" spans="1:21">
      <c r="A892" s="1">
        <v>17800</v>
      </c>
      <c r="B892" t="s">
        <v>20</v>
      </c>
      <c r="C892" t="s">
        <v>13</v>
      </c>
      <c r="D892" t="s">
        <v>21</v>
      </c>
      <c r="E892" s="1">
        <v>1987</v>
      </c>
      <c r="F892" s="1">
        <v>2024</v>
      </c>
      <c r="G892" t="s">
        <v>11</v>
      </c>
      <c r="H892" s="2">
        <v>45457.458344907405</v>
      </c>
      <c r="I892" s="9">
        <f t="shared" si="121"/>
        <v>45462</v>
      </c>
      <c r="J892" s="2">
        <f t="shared" si="122"/>
        <v>45462</v>
      </c>
      <c r="K892" s="2">
        <v>45476.456666666665</v>
      </c>
      <c r="L892" s="2">
        <f t="shared" si="123"/>
        <v>45482</v>
      </c>
      <c r="M892" s="2">
        <v>45496.554062499999</v>
      </c>
      <c r="N892" s="10">
        <f t="shared" si="124"/>
        <v>14</v>
      </c>
      <c r="O892" s="2">
        <f t="shared" si="125"/>
        <v>45483</v>
      </c>
      <c r="P892" s="2">
        <v>45497.513321759259</v>
      </c>
      <c r="Q892" s="2">
        <f t="shared" si="126"/>
        <v>45510</v>
      </c>
      <c r="R892" s="2">
        <v>45582.680324074077</v>
      </c>
      <c r="S892">
        <f t="shared" si="127"/>
        <v>72</v>
      </c>
      <c r="T892" s="2">
        <f t="shared" si="128"/>
        <v>45510</v>
      </c>
      <c r="U892" t="str">
        <f t="shared" si="129"/>
        <v>ATRASO</v>
      </c>
    </row>
    <row r="893" spans="1:21" hidden="1">
      <c r="A893" s="1">
        <v>17794</v>
      </c>
      <c r="B893" t="s">
        <v>17</v>
      </c>
      <c r="C893" t="s">
        <v>13</v>
      </c>
      <c r="D893" t="s">
        <v>18</v>
      </c>
      <c r="E893" s="1">
        <v>1981</v>
      </c>
      <c r="F893" s="1">
        <v>2024</v>
      </c>
      <c r="G893" t="s">
        <v>11</v>
      </c>
      <c r="H893" s="2">
        <v>45456.708321759259</v>
      </c>
      <c r="I893" s="9">
        <f t="shared" si="121"/>
        <v>45461</v>
      </c>
      <c r="J893" s="2" t="str">
        <f t="shared" si="122"/>
        <v/>
      </c>
      <c r="L893" s="2" t="str">
        <f t="shared" si="123"/>
        <v/>
      </c>
      <c r="N893" s="10" t="str">
        <f t="shared" si="124"/>
        <v/>
      </c>
      <c r="O893" s="2">
        <f t="shared" si="125"/>
        <v>45461</v>
      </c>
      <c r="P893" s="2">
        <v>45461.557638888888</v>
      </c>
      <c r="Q893" s="2">
        <f t="shared" si="126"/>
        <v>45467</v>
      </c>
      <c r="R893" s="2">
        <v>45461.558298611111</v>
      </c>
      <c r="S893">
        <f t="shared" si="127"/>
        <v>0</v>
      </c>
      <c r="T893" s="2">
        <f t="shared" si="128"/>
        <v>45467</v>
      </c>
      <c r="U893" t="str">
        <f t="shared" si="129"/>
        <v>NO PRAZO</v>
      </c>
    </row>
    <row r="894" spans="1:21" hidden="1">
      <c r="A894" s="1">
        <v>17793</v>
      </c>
      <c r="B894" t="s">
        <v>17</v>
      </c>
      <c r="C894" t="s">
        <v>13</v>
      </c>
      <c r="D894" t="s">
        <v>18</v>
      </c>
      <c r="E894" s="1">
        <v>1980</v>
      </c>
      <c r="F894" s="1">
        <v>2024</v>
      </c>
      <c r="G894" t="s">
        <v>11</v>
      </c>
      <c r="H894" s="2">
        <v>45456.708321759259</v>
      </c>
      <c r="I894" s="9">
        <f t="shared" si="121"/>
        <v>45461</v>
      </c>
      <c r="J894" s="2" t="str">
        <f t="shared" si="122"/>
        <v/>
      </c>
      <c r="L894" s="2" t="str">
        <f t="shared" si="123"/>
        <v/>
      </c>
      <c r="N894" s="10" t="str">
        <f t="shared" si="124"/>
        <v/>
      </c>
      <c r="O894" s="2">
        <f t="shared" si="125"/>
        <v>45461</v>
      </c>
      <c r="P894" s="2">
        <v>45461.55667824074</v>
      </c>
      <c r="Q894" s="2">
        <f t="shared" si="126"/>
        <v>45467</v>
      </c>
      <c r="R894" s="2">
        <v>45461.55736111111</v>
      </c>
      <c r="S894">
        <f t="shared" si="127"/>
        <v>0</v>
      </c>
      <c r="T894" s="2">
        <f t="shared" si="128"/>
        <v>45467</v>
      </c>
      <c r="U894" t="str">
        <f t="shared" si="129"/>
        <v>NO PRAZO</v>
      </c>
    </row>
    <row r="895" spans="1:21" hidden="1">
      <c r="A895" s="1">
        <v>17792</v>
      </c>
      <c r="B895" t="s">
        <v>17</v>
      </c>
      <c r="C895" t="s">
        <v>13</v>
      </c>
      <c r="D895" t="s">
        <v>18</v>
      </c>
      <c r="E895" s="1">
        <v>1979</v>
      </c>
      <c r="F895" s="1">
        <v>2024</v>
      </c>
      <c r="G895" t="s">
        <v>11</v>
      </c>
      <c r="H895" s="2">
        <v>45456.708321759259</v>
      </c>
      <c r="I895" s="9">
        <f t="shared" si="121"/>
        <v>45461</v>
      </c>
      <c r="J895" s="2" t="str">
        <f t="shared" si="122"/>
        <v/>
      </c>
      <c r="L895" s="2" t="str">
        <f t="shared" si="123"/>
        <v/>
      </c>
      <c r="N895" s="10" t="str">
        <f t="shared" si="124"/>
        <v/>
      </c>
      <c r="O895" s="2">
        <f t="shared" si="125"/>
        <v>45461</v>
      </c>
      <c r="P895" s="2">
        <v>45461.551574074074</v>
      </c>
      <c r="Q895" s="2">
        <f t="shared" si="126"/>
        <v>45467</v>
      </c>
      <c r="R895" s="2">
        <v>45461.552430555559</v>
      </c>
      <c r="S895">
        <f t="shared" si="127"/>
        <v>0</v>
      </c>
      <c r="T895" s="2">
        <f t="shared" si="128"/>
        <v>45467</v>
      </c>
      <c r="U895" t="str">
        <f t="shared" si="129"/>
        <v>NO PRAZO</v>
      </c>
    </row>
    <row r="896" spans="1:21" hidden="1">
      <c r="A896" s="1">
        <v>17791</v>
      </c>
      <c r="B896" t="s">
        <v>17</v>
      </c>
      <c r="C896" t="s">
        <v>13</v>
      </c>
      <c r="D896" t="s">
        <v>18</v>
      </c>
      <c r="E896" s="1">
        <v>1978</v>
      </c>
      <c r="F896" s="1">
        <v>2024</v>
      </c>
      <c r="G896" t="s">
        <v>11</v>
      </c>
      <c r="H896" s="2">
        <v>45456.708321759259</v>
      </c>
      <c r="I896" s="9">
        <f t="shared" ref="I896:I959" si="130">IF(OR(D896="ORIENTAÇÃO",D896="BUG IMPEDITIVO",D896="BUG NÃO IMPEDITIVO"),WORKDAY(H896,1,Z$2:Z$500),IF(OR(D896="MELHORIA PEQUENA",D896="MELHORIA MÉDIA"),WORKDAY(H896,3,Z$2:Z$500),""))</f>
        <v>45461</v>
      </c>
      <c r="J896" s="2" t="str">
        <f t="shared" si="122"/>
        <v/>
      </c>
      <c r="L896" s="2" t="str">
        <f t="shared" si="123"/>
        <v/>
      </c>
      <c r="N896" s="10" t="str">
        <f t="shared" si="124"/>
        <v/>
      </c>
      <c r="O896" s="2">
        <f t="shared" si="125"/>
        <v>45461</v>
      </c>
      <c r="P896" s="2">
        <v>45461.550682870373</v>
      </c>
      <c r="Q896" s="2">
        <f t="shared" si="126"/>
        <v>45467</v>
      </c>
      <c r="R896" s="2">
        <v>45461.551319444443</v>
      </c>
      <c r="S896">
        <f t="shared" si="127"/>
        <v>0</v>
      </c>
      <c r="T896" s="2">
        <f t="shared" si="128"/>
        <v>45467</v>
      </c>
      <c r="U896" t="str">
        <f t="shared" si="129"/>
        <v>NO PRAZO</v>
      </c>
    </row>
    <row r="897" spans="1:21" hidden="1">
      <c r="A897" s="1">
        <v>17790</v>
      </c>
      <c r="B897" t="s">
        <v>12</v>
      </c>
      <c r="C897" t="s">
        <v>13</v>
      </c>
      <c r="D897" t="s">
        <v>18</v>
      </c>
      <c r="E897" s="1">
        <v>1977</v>
      </c>
      <c r="F897" s="1">
        <v>2024</v>
      </c>
      <c r="G897" t="s">
        <v>11</v>
      </c>
      <c r="H897" s="2">
        <v>45456.708321759259</v>
      </c>
      <c r="I897" s="9">
        <f t="shared" si="130"/>
        <v>45461</v>
      </c>
      <c r="J897" s="2" t="str">
        <f t="shared" si="122"/>
        <v/>
      </c>
      <c r="L897" s="2" t="str">
        <f t="shared" si="123"/>
        <v/>
      </c>
      <c r="N897" s="10" t="str">
        <f t="shared" si="124"/>
        <v/>
      </c>
      <c r="O897" s="2">
        <f t="shared" si="125"/>
        <v>45461</v>
      </c>
      <c r="P897" s="2">
        <v>45461.693043981482</v>
      </c>
      <c r="Q897" s="2">
        <f t="shared" si="126"/>
        <v>45467</v>
      </c>
      <c r="R897" s="2">
        <v>45461.693668981483</v>
      </c>
      <c r="S897">
        <f t="shared" si="127"/>
        <v>0</v>
      </c>
      <c r="T897" s="2">
        <f t="shared" si="128"/>
        <v>45467</v>
      </c>
      <c r="U897" t="str">
        <f t="shared" si="129"/>
        <v>NO PRAZO</v>
      </c>
    </row>
    <row r="898" spans="1:21" hidden="1">
      <c r="A898" s="1">
        <v>17789</v>
      </c>
      <c r="B898" t="s">
        <v>12</v>
      </c>
      <c r="C898" t="s">
        <v>13</v>
      </c>
      <c r="D898" t="s">
        <v>18</v>
      </c>
      <c r="E898" s="1">
        <v>1976</v>
      </c>
      <c r="F898" s="1">
        <v>2024</v>
      </c>
      <c r="G898" t="s">
        <v>11</v>
      </c>
      <c r="H898" s="2">
        <v>45456.708321759259</v>
      </c>
      <c r="I898" s="9">
        <f t="shared" si="130"/>
        <v>45461</v>
      </c>
      <c r="J898" s="2" t="str">
        <f t="shared" si="122"/>
        <v/>
      </c>
      <c r="L898" s="2" t="str">
        <f t="shared" si="123"/>
        <v/>
      </c>
      <c r="N898" s="10" t="str">
        <f t="shared" si="124"/>
        <v/>
      </c>
      <c r="O898" s="2">
        <f t="shared" si="125"/>
        <v>45461</v>
      </c>
      <c r="P898" s="2">
        <v>45461.692106481481</v>
      </c>
      <c r="Q898" s="2">
        <f t="shared" si="126"/>
        <v>45467</v>
      </c>
      <c r="R898" s="2">
        <v>45461.692870370367</v>
      </c>
      <c r="S898">
        <f t="shared" si="127"/>
        <v>0</v>
      </c>
      <c r="T898" s="2">
        <f t="shared" si="128"/>
        <v>45467</v>
      </c>
      <c r="U898" t="str">
        <f t="shared" si="129"/>
        <v>NO PRAZO</v>
      </c>
    </row>
    <row r="899" spans="1:21">
      <c r="A899" s="1">
        <v>17788</v>
      </c>
      <c r="B899" t="s">
        <v>17</v>
      </c>
      <c r="C899" t="s">
        <v>13</v>
      </c>
      <c r="D899" t="s">
        <v>16</v>
      </c>
      <c r="E899" s="1">
        <v>1975</v>
      </c>
      <c r="F899" s="1">
        <v>2024</v>
      </c>
      <c r="G899" t="s">
        <v>11</v>
      </c>
      <c r="H899" s="2">
        <v>45456.708321759259</v>
      </c>
      <c r="I899" s="9">
        <f t="shared" si="130"/>
        <v>45457</v>
      </c>
      <c r="J899" s="2" t="str">
        <f t="shared" ref="J899:J962" si="131">IF(K899&lt;&gt;"",I899,"")</f>
        <v/>
      </c>
      <c r="L899" s="2" t="str">
        <f t="shared" ref="L899:L962" si="132">IF(J899="","",WORKDAY(J899,14,Z$2:Z$500))</f>
        <v/>
      </c>
      <c r="N899" s="10" t="str">
        <f t="shared" ref="N899:N962" si="133">IF(M899="","",MAX(0,INT(M899)-INT(L899)))</f>
        <v/>
      </c>
      <c r="O899" s="2">
        <f t="shared" ref="O899:O962" si="134">IF(L899="",I899,WORKDAY(L899,1,Z$2:Z$500))</f>
        <v>45457</v>
      </c>
      <c r="P899" s="2">
        <v>45464.633391203701</v>
      </c>
      <c r="Q899" s="2">
        <f t="shared" ref="Q899:Q962" si="135">IF(OR(D899="ORIENTAÇÃO",D899="BUG IMPEDITIVO"),WORKDAY(O899,1,Z$2:Z$500),IF(OR(D899="MELHORIA PEQUENA",D899="BUG NÃO IMPEDITIVO"),WORKDAY(O899,4,Z$2:Z$500),IF(D899="MELHORIA MÉDIA",WORKDAY(O899,19,Z$2:Z$500),"")))</f>
        <v>45463</v>
      </c>
      <c r="R899" s="2">
        <v>45464.634085648147</v>
      </c>
      <c r="S899">
        <f t="shared" ref="S899:S962" si="136">MAX(0,INT(R899)-INT(Q899))</f>
        <v>1</v>
      </c>
      <c r="T899" s="2">
        <f t="shared" ref="T899:T962" si="137">IF(D899="MELHORIA MÉDIA",IF(K899&lt;&gt;"",WORKDAY(I899,34,$Z$2:$Z$1000),WORKDAY(I899,19,$Z$2:$Z$1000)),IF(OR(D899="MELHORIA PEQUENA",D899="BUG NÃO IMPEDITIVO"),WORKDAY(I899,4,$Z$2:$Z$1000),IF(OR(D899="ORIENTAÇÃO",D899="BUG IMPEDITIVO"),WORKDAY(I899,1,$Z$2:$Z$1000),"")))</f>
        <v>45463</v>
      </c>
      <c r="U899" t="str">
        <f t="shared" ref="U899:U962" si="138">IF(INT(R899)&lt;=INT(T899),"NO PRAZO","ATRASO")</f>
        <v>ATRASO</v>
      </c>
    </row>
    <row r="900" spans="1:21">
      <c r="A900" s="1">
        <v>17787</v>
      </c>
      <c r="B900" t="s">
        <v>17</v>
      </c>
      <c r="C900" t="s">
        <v>13</v>
      </c>
      <c r="D900" t="s">
        <v>16</v>
      </c>
      <c r="E900" s="1">
        <v>1974</v>
      </c>
      <c r="F900" s="1">
        <v>2024</v>
      </c>
      <c r="G900" t="s">
        <v>11</v>
      </c>
      <c r="H900" s="2">
        <v>45456.708321759259</v>
      </c>
      <c r="I900" s="9">
        <f t="shared" si="130"/>
        <v>45457</v>
      </c>
      <c r="J900" s="2" t="str">
        <f t="shared" si="131"/>
        <v/>
      </c>
      <c r="L900" s="2" t="str">
        <f t="shared" si="132"/>
        <v/>
      </c>
      <c r="N900" s="10" t="str">
        <f t="shared" si="133"/>
        <v/>
      </c>
      <c r="O900" s="2">
        <f t="shared" si="134"/>
        <v>45457</v>
      </c>
      <c r="P900" s="2">
        <v>45464.632094907407</v>
      </c>
      <c r="Q900" s="2">
        <f t="shared" si="135"/>
        <v>45463</v>
      </c>
      <c r="R900" s="2">
        <v>45464.633171296293</v>
      </c>
      <c r="S900">
        <f t="shared" si="136"/>
        <v>1</v>
      </c>
      <c r="T900" s="2">
        <f t="shared" si="137"/>
        <v>45463</v>
      </c>
      <c r="U900" t="str">
        <f t="shared" si="138"/>
        <v>ATRASO</v>
      </c>
    </row>
    <row r="901" spans="1:21" hidden="1">
      <c r="A901" s="1">
        <v>17786</v>
      </c>
      <c r="B901" t="s">
        <v>17</v>
      </c>
      <c r="C901" t="s">
        <v>9</v>
      </c>
      <c r="D901" t="s">
        <v>18</v>
      </c>
      <c r="E901" s="1">
        <v>1973</v>
      </c>
      <c r="F901" s="1">
        <v>2024</v>
      </c>
      <c r="G901" t="s">
        <v>11</v>
      </c>
      <c r="H901" s="2">
        <v>45456.708321759259</v>
      </c>
      <c r="I901" s="9">
        <f t="shared" si="130"/>
        <v>45461</v>
      </c>
      <c r="J901" s="2" t="str">
        <f t="shared" si="131"/>
        <v/>
      </c>
      <c r="L901" s="2" t="str">
        <f t="shared" si="132"/>
        <v/>
      </c>
      <c r="N901" s="10" t="str">
        <f t="shared" si="133"/>
        <v/>
      </c>
      <c r="O901" s="2">
        <f t="shared" si="134"/>
        <v>45461</v>
      </c>
      <c r="P901" s="2">
        <v>45461.548657407409</v>
      </c>
      <c r="Q901" s="2">
        <f t="shared" si="135"/>
        <v>45467</v>
      </c>
      <c r="R901" s="2">
        <v>45461.550185185188</v>
      </c>
      <c r="S901">
        <f t="shared" si="136"/>
        <v>0</v>
      </c>
      <c r="T901" s="2">
        <f t="shared" si="137"/>
        <v>45467</v>
      </c>
      <c r="U901" t="str">
        <f t="shared" si="138"/>
        <v>NO PRAZO</v>
      </c>
    </row>
    <row r="902" spans="1:21" hidden="1">
      <c r="A902" s="1">
        <v>17778</v>
      </c>
      <c r="B902" t="s">
        <v>24</v>
      </c>
      <c r="C902" t="s">
        <v>13</v>
      </c>
      <c r="D902" t="s">
        <v>10</v>
      </c>
      <c r="E902" s="1">
        <v>1965</v>
      </c>
      <c r="F902" s="1">
        <v>2024</v>
      </c>
      <c r="G902" t="s">
        <v>11</v>
      </c>
      <c r="H902" s="2">
        <v>45456.499976851854</v>
      </c>
      <c r="I902" s="9">
        <f t="shared" si="130"/>
        <v>45457</v>
      </c>
      <c r="J902" s="2" t="str">
        <f t="shared" si="131"/>
        <v/>
      </c>
      <c r="L902" s="2" t="str">
        <f t="shared" si="132"/>
        <v/>
      </c>
      <c r="N902" s="10" t="str">
        <f t="shared" si="133"/>
        <v/>
      </c>
      <c r="O902" s="2">
        <f t="shared" si="134"/>
        <v>45457</v>
      </c>
      <c r="P902" s="2">
        <v>45460.728263888886</v>
      </c>
      <c r="Q902" s="2">
        <f t="shared" si="135"/>
        <v>45460</v>
      </c>
      <c r="R902" s="2">
        <v>45460.737453703703</v>
      </c>
      <c r="S902">
        <f t="shared" si="136"/>
        <v>0</v>
      </c>
      <c r="T902" s="2">
        <f t="shared" si="137"/>
        <v>45460</v>
      </c>
      <c r="U902" t="str">
        <f t="shared" si="138"/>
        <v>NO PRAZO</v>
      </c>
    </row>
    <row r="903" spans="1:21" hidden="1">
      <c r="A903" s="1">
        <v>17775</v>
      </c>
      <c r="B903" t="s">
        <v>17</v>
      </c>
      <c r="C903" t="s">
        <v>13</v>
      </c>
      <c r="D903" t="s">
        <v>10</v>
      </c>
      <c r="E903" s="1">
        <v>1962</v>
      </c>
      <c r="F903" s="1">
        <v>2024</v>
      </c>
      <c r="G903" t="s">
        <v>11</v>
      </c>
      <c r="H903" s="2">
        <v>45456.458402777775</v>
      </c>
      <c r="I903" s="9">
        <f t="shared" si="130"/>
        <v>45457</v>
      </c>
      <c r="J903" s="2" t="str">
        <f t="shared" si="131"/>
        <v/>
      </c>
      <c r="L903" s="2" t="str">
        <f t="shared" si="132"/>
        <v/>
      </c>
      <c r="N903" s="10" t="str">
        <f t="shared" si="133"/>
        <v/>
      </c>
      <c r="O903" s="2">
        <f t="shared" si="134"/>
        <v>45457</v>
      </c>
      <c r="P903" s="2">
        <v>45456.727743055555</v>
      </c>
      <c r="Q903" s="2">
        <f t="shared" si="135"/>
        <v>45460</v>
      </c>
      <c r="R903" s="2">
        <v>45456.736226851855</v>
      </c>
      <c r="S903">
        <f t="shared" si="136"/>
        <v>0</v>
      </c>
      <c r="T903" s="2">
        <f t="shared" si="137"/>
        <v>45460</v>
      </c>
      <c r="U903" t="str">
        <f t="shared" si="138"/>
        <v>NO PRAZO</v>
      </c>
    </row>
    <row r="904" spans="1:21" hidden="1">
      <c r="A904" s="1">
        <v>17773</v>
      </c>
      <c r="B904" t="s">
        <v>12</v>
      </c>
      <c r="C904" t="s">
        <v>13</v>
      </c>
      <c r="D904" t="s">
        <v>18</v>
      </c>
      <c r="E904" s="1">
        <v>1960</v>
      </c>
      <c r="F904" s="1">
        <v>2024</v>
      </c>
      <c r="G904" t="s">
        <v>11</v>
      </c>
      <c r="H904" s="2">
        <v>45455.791655092595</v>
      </c>
      <c r="I904" s="9">
        <f t="shared" si="130"/>
        <v>45460</v>
      </c>
      <c r="J904" s="2" t="str">
        <f t="shared" si="131"/>
        <v/>
      </c>
      <c r="L904" s="2" t="str">
        <f t="shared" si="132"/>
        <v/>
      </c>
      <c r="N904" s="10" t="str">
        <f t="shared" si="133"/>
        <v/>
      </c>
      <c r="O904" s="2">
        <f t="shared" si="134"/>
        <v>45460</v>
      </c>
      <c r="P904" s="2">
        <v>45462.633831018517</v>
      </c>
      <c r="Q904" s="2">
        <f t="shared" si="135"/>
        <v>45464</v>
      </c>
      <c r="R904" s="2">
        <v>45462.634201388886</v>
      </c>
      <c r="S904">
        <f t="shared" si="136"/>
        <v>0</v>
      </c>
      <c r="T904" s="2">
        <f t="shared" si="137"/>
        <v>45464</v>
      </c>
      <c r="U904" t="str">
        <f t="shared" si="138"/>
        <v>NO PRAZO</v>
      </c>
    </row>
    <row r="905" spans="1:21" hidden="1">
      <c r="A905" s="1">
        <v>17766</v>
      </c>
      <c r="B905" t="s">
        <v>24</v>
      </c>
      <c r="C905" t="s">
        <v>13</v>
      </c>
      <c r="D905" t="s">
        <v>14</v>
      </c>
      <c r="E905" s="1">
        <v>1953</v>
      </c>
      <c r="F905" s="1">
        <v>2024</v>
      </c>
      <c r="G905" t="s">
        <v>11</v>
      </c>
      <c r="H905" s="2">
        <v>45455.583333333336</v>
      </c>
      <c r="I905" s="9">
        <f t="shared" si="130"/>
        <v>45456</v>
      </c>
      <c r="J905" s="2" t="str">
        <f t="shared" si="131"/>
        <v/>
      </c>
      <c r="L905" s="2" t="str">
        <f t="shared" si="132"/>
        <v/>
      </c>
      <c r="N905" s="10" t="str">
        <f t="shared" si="133"/>
        <v/>
      </c>
      <c r="O905" s="2">
        <f t="shared" si="134"/>
        <v>45456</v>
      </c>
      <c r="P905" s="2">
        <v>45457.650081018517</v>
      </c>
      <c r="Q905" s="2">
        <f t="shared" si="135"/>
        <v>45457</v>
      </c>
      <c r="R905" s="2">
        <v>45457.728946759256</v>
      </c>
      <c r="S905">
        <f t="shared" si="136"/>
        <v>0</v>
      </c>
      <c r="T905" s="2">
        <f t="shared" si="137"/>
        <v>45457</v>
      </c>
      <c r="U905" t="str">
        <f t="shared" si="138"/>
        <v>NO PRAZO</v>
      </c>
    </row>
    <row r="906" spans="1:21" hidden="1">
      <c r="A906" s="1">
        <v>17765</v>
      </c>
      <c r="B906" t="s">
        <v>24</v>
      </c>
      <c r="C906" t="s">
        <v>13</v>
      </c>
      <c r="D906" t="s">
        <v>14</v>
      </c>
      <c r="E906" s="1">
        <v>1952</v>
      </c>
      <c r="F906" s="1">
        <v>2024</v>
      </c>
      <c r="G906" t="s">
        <v>11</v>
      </c>
      <c r="H906" s="2">
        <v>45455.500011574077</v>
      </c>
      <c r="I906" s="9">
        <f t="shared" si="130"/>
        <v>45456</v>
      </c>
      <c r="J906" s="2" t="str">
        <f t="shared" si="131"/>
        <v/>
      </c>
      <c r="L906" s="2" t="str">
        <f t="shared" si="132"/>
        <v/>
      </c>
      <c r="N906" s="10" t="str">
        <f t="shared" si="133"/>
        <v/>
      </c>
      <c r="O906" s="2">
        <f t="shared" si="134"/>
        <v>45456</v>
      </c>
      <c r="P906" s="2">
        <v>45457.648831018516</v>
      </c>
      <c r="Q906" s="2">
        <f t="shared" si="135"/>
        <v>45457</v>
      </c>
      <c r="R906" s="2">
        <v>45457.728981481479</v>
      </c>
      <c r="S906">
        <f t="shared" si="136"/>
        <v>0</v>
      </c>
      <c r="T906" s="2">
        <f t="shared" si="137"/>
        <v>45457</v>
      </c>
      <c r="U906" t="str">
        <f t="shared" si="138"/>
        <v>NO PRAZO</v>
      </c>
    </row>
    <row r="907" spans="1:21" hidden="1">
      <c r="A907" s="1">
        <v>17761</v>
      </c>
      <c r="B907" t="s">
        <v>12</v>
      </c>
      <c r="C907" t="s">
        <v>13</v>
      </c>
      <c r="D907" t="s">
        <v>18</v>
      </c>
      <c r="E907" s="1">
        <v>1948</v>
      </c>
      <c r="F907" s="1">
        <v>2024</v>
      </c>
      <c r="G907" t="s">
        <v>11</v>
      </c>
      <c r="H907" s="2">
        <v>45455.456261574072</v>
      </c>
      <c r="I907" s="9">
        <f t="shared" si="130"/>
        <v>45460</v>
      </c>
      <c r="J907" s="2" t="str">
        <f t="shared" si="131"/>
        <v/>
      </c>
      <c r="L907" s="2" t="str">
        <f t="shared" si="132"/>
        <v/>
      </c>
      <c r="N907" s="10" t="str">
        <f t="shared" si="133"/>
        <v/>
      </c>
      <c r="O907" s="2">
        <f t="shared" si="134"/>
        <v>45460</v>
      </c>
      <c r="P907" s="2">
        <v>45461.552349537036</v>
      </c>
      <c r="Q907" s="2">
        <f t="shared" si="135"/>
        <v>45464</v>
      </c>
      <c r="R907" s="2">
        <v>45461.553819444445</v>
      </c>
      <c r="S907">
        <f t="shared" si="136"/>
        <v>0</v>
      </c>
      <c r="T907" s="2">
        <f t="shared" si="137"/>
        <v>45464</v>
      </c>
      <c r="U907" t="str">
        <f t="shared" si="138"/>
        <v>NO PRAZO</v>
      </c>
    </row>
    <row r="908" spans="1:21" hidden="1">
      <c r="A908" s="1">
        <v>17747</v>
      </c>
      <c r="B908" t="s">
        <v>19</v>
      </c>
      <c r="C908" t="s">
        <v>13</v>
      </c>
      <c r="D908" t="s">
        <v>18</v>
      </c>
      <c r="E908" s="1">
        <v>1934</v>
      </c>
      <c r="F908" s="1">
        <v>2024</v>
      </c>
      <c r="G908" t="s">
        <v>11</v>
      </c>
      <c r="H908" s="2">
        <v>45454.500034722223</v>
      </c>
      <c r="I908" s="9">
        <f t="shared" si="130"/>
        <v>45457</v>
      </c>
      <c r="J908" s="2" t="str">
        <f t="shared" si="131"/>
        <v/>
      </c>
      <c r="L908" s="2" t="str">
        <f t="shared" si="132"/>
        <v/>
      </c>
      <c r="N908" s="10" t="str">
        <f t="shared" si="133"/>
        <v/>
      </c>
      <c r="O908" s="2">
        <f t="shared" si="134"/>
        <v>45457</v>
      </c>
      <c r="P908" s="2">
        <v>45457.72824074074</v>
      </c>
      <c r="Q908" s="2">
        <f t="shared" si="135"/>
        <v>45463</v>
      </c>
      <c r="R908" s="2">
        <v>45457.729016203702</v>
      </c>
      <c r="S908">
        <f t="shared" si="136"/>
        <v>0</v>
      </c>
      <c r="T908" s="2">
        <f t="shared" si="137"/>
        <v>45463</v>
      </c>
      <c r="U908" t="str">
        <f t="shared" si="138"/>
        <v>NO PRAZO</v>
      </c>
    </row>
    <row r="909" spans="1:21" hidden="1">
      <c r="A909" s="1">
        <v>17741</v>
      </c>
      <c r="B909" t="s">
        <v>17</v>
      </c>
      <c r="C909" t="s">
        <v>9</v>
      </c>
      <c r="D909" t="s">
        <v>18</v>
      </c>
      <c r="E909" s="1">
        <v>1928</v>
      </c>
      <c r="F909" s="1">
        <v>2024</v>
      </c>
      <c r="G909" t="s">
        <v>11</v>
      </c>
      <c r="H909" s="2">
        <v>45453.750034722223</v>
      </c>
      <c r="I909" s="9">
        <f t="shared" si="130"/>
        <v>45456</v>
      </c>
      <c r="J909" s="2" t="str">
        <f t="shared" si="131"/>
        <v/>
      </c>
      <c r="L909" s="2" t="str">
        <f t="shared" si="132"/>
        <v/>
      </c>
      <c r="N909" s="10" t="str">
        <f t="shared" si="133"/>
        <v/>
      </c>
      <c r="O909" s="2">
        <f t="shared" si="134"/>
        <v>45456</v>
      </c>
      <c r="P909" s="2">
        <v>45457.522210648145</v>
      </c>
      <c r="Q909" s="2">
        <f t="shared" si="135"/>
        <v>45462</v>
      </c>
      <c r="R909" s="2">
        <v>45457.523738425924</v>
      </c>
      <c r="S909">
        <f t="shared" si="136"/>
        <v>0</v>
      </c>
      <c r="T909" s="2">
        <f t="shared" si="137"/>
        <v>45462</v>
      </c>
      <c r="U909" t="str">
        <f t="shared" si="138"/>
        <v>NO PRAZO</v>
      </c>
    </row>
    <row r="910" spans="1:21" hidden="1">
      <c r="A910" s="1">
        <v>17738</v>
      </c>
      <c r="B910" t="s">
        <v>12</v>
      </c>
      <c r="C910" t="s">
        <v>13</v>
      </c>
      <c r="D910" t="s">
        <v>21</v>
      </c>
      <c r="E910" s="1">
        <v>1925</v>
      </c>
      <c r="F910" s="1">
        <v>2024</v>
      </c>
      <c r="G910" t="s">
        <v>11</v>
      </c>
      <c r="H910" s="2">
        <v>45453.666666666664</v>
      </c>
      <c r="I910" s="9">
        <f t="shared" si="130"/>
        <v>45456</v>
      </c>
      <c r="J910" s="2">
        <f t="shared" si="131"/>
        <v>45456</v>
      </c>
      <c r="K910" s="2">
        <v>45457.485486111109</v>
      </c>
      <c r="L910" s="2">
        <f t="shared" si="132"/>
        <v>45476</v>
      </c>
      <c r="M910" s="2">
        <v>45461.393564814818</v>
      </c>
      <c r="N910" s="10">
        <f t="shared" si="133"/>
        <v>0</v>
      </c>
      <c r="O910" s="2">
        <f t="shared" si="134"/>
        <v>45477</v>
      </c>
      <c r="P910" s="2">
        <v>45461.65792824074</v>
      </c>
      <c r="Q910" s="2">
        <f t="shared" si="135"/>
        <v>45504</v>
      </c>
      <c r="R910" s="2">
        <v>45464.612303240741</v>
      </c>
      <c r="S910">
        <f t="shared" si="136"/>
        <v>0</v>
      </c>
      <c r="T910" s="2">
        <f t="shared" si="137"/>
        <v>45504</v>
      </c>
      <c r="U910" t="str">
        <f t="shared" si="138"/>
        <v>NO PRAZO</v>
      </c>
    </row>
    <row r="911" spans="1:21" hidden="1">
      <c r="A911" s="1">
        <v>17730</v>
      </c>
      <c r="B911" t="s">
        <v>19</v>
      </c>
      <c r="C911" t="s">
        <v>13</v>
      </c>
      <c r="D911" t="s">
        <v>18</v>
      </c>
      <c r="E911" s="1">
        <v>1917</v>
      </c>
      <c r="F911" s="1">
        <v>2024</v>
      </c>
      <c r="G911" t="s">
        <v>11</v>
      </c>
      <c r="H911" s="2">
        <v>45453.5</v>
      </c>
      <c r="I911" s="9">
        <f t="shared" si="130"/>
        <v>45456</v>
      </c>
      <c r="J911" s="2" t="str">
        <f t="shared" si="131"/>
        <v/>
      </c>
      <c r="L911" s="2" t="str">
        <f t="shared" si="132"/>
        <v/>
      </c>
      <c r="N911" s="10" t="str">
        <f t="shared" si="133"/>
        <v/>
      </c>
      <c r="O911" s="2">
        <f t="shared" si="134"/>
        <v>45456</v>
      </c>
      <c r="P911" s="2">
        <v>45455.681493055556</v>
      </c>
      <c r="Q911" s="2">
        <f t="shared" si="135"/>
        <v>45462</v>
      </c>
      <c r="R911" s="2">
        <v>45455.692615740743</v>
      </c>
      <c r="S911">
        <f t="shared" si="136"/>
        <v>0</v>
      </c>
      <c r="T911" s="2">
        <f t="shared" si="137"/>
        <v>45462</v>
      </c>
      <c r="U911" t="str">
        <f t="shared" si="138"/>
        <v>NO PRAZO</v>
      </c>
    </row>
    <row r="912" spans="1:21" hidden="1">
      <c r="A912" s="1">
        <v>17727</v>
      </c>
      <c r="B912" t="s">
        <v>12</v>
      </c>
      <c r="C912" t="s">
        <v>13</v>
      </c>
      <c r="D912" t="s">
        <v>18</v>
      </c>
      <c r="E912" s="1">
        <v>1914</v>
      </c>
      <c r="F912" s="1">
        <v>2024</v>
      </c>
      <c r="G912" t="s">
        <v>11</v>
      </c>
      <c r="H912" s="2">
        <v>45453.45616898148</v>
      </c>
      <c r="I912" s="9">
        <f t="shared" si="130"/>
        <v>45456</v>
      </c>
      <c r="J912" s="2" t="str">
        <f t="shared" si="131"/>
        <v/>
      </c>
      <c r="L912" s="2" t="str">
        <f t="shared" si="132"/>
        <v/>
      </c>
      <c r="N912" s="10" t="str">
        <f t="shared" si="133"/>
        <v/>
      </c>
      <c r="O912" s="2">
        <f t="shared" si="134"/>
        <v>45456</v>
      </c>
      <c r="P912" s="2">
        <v>45454.415543981479</v>
      </c>
      <c r="Q912" s="2">
        <f t="shared" si="135"/>
        <v>45462</v>
      </c>
      <c r="R912" s="2">
        <v>45455.673506944448</v>
      </c>
      <c r="S912">
        <f t="shared" si="136"/>
        <v>0</v>
      </c>
      <c r="T912" s="2">
        <f t="shared" si="137"/>
        <v>45462</v>
      </c>
      <c r="U912" t="str">
        <f t="shared" si="138"/>
        <v>NO PRAZO</v>
      </c>
    </row>
    <row r="913" spans="1:21" hidden="1">
      <c r="A913" s="1">
        <v>17714</v>
      </c>
      <c r="B913" t="s">
        <v>20</v>
      </c>
      <c r="C913" t="s">
        <v>13</v>
      </c>
      <c r="D913" t="s">
        <v>21</v>
      </c>
      <c r="E913" s="1">
        <v>1901</v>
      </c>
      <c r="F913" s="1">
        <v>2024</v>
      </c>
      <c r="G913" t="s">
        <v>11</v>
      </c>
      <c r="H913" s="2">
        <v>45450.625011574077</v>
      </c>
      <c r="I913" s="9">
        <f t="shared" si="130"/>
        <v>45455</v>
      </c>
      <c r="J913" s="2" t="str">
        <f t="shared" si="131"/>
        <v/>
      </c>
      <c r="L913" s="2" t="str">
        <f t="shared" si="132"/>
        <v/>
      </c>
      <c r="N913" s="10" t="str">
        <f t="shared" si="133"/>
        <v/>
      </c>
      <c r="O913" s="2">
        <f t="shared" si="134"/>
        <v>45455</v>
      </c>
      <c r="P913" s="2">
        <v>45454.667303240742</v>
      </c>
      <c r="Q913" s="2">
        <f t="shared" si="135"/>
        <v>45482</v>
      </c>
      <c r="R913" s="2">
        <v>45471.504594907405</v>
      </c>
      <c r="S913">
        <f t="shared" si="136"/>
        <v>0</v>
      </c>
      <c r="T913" s="2">
        <f t="shared" si="137"/>
        <v>45482</v>
      </c>
      <c r="U913" t="str">
        <f t="shared" si="138"/>
        <v>NO PRAZO</v>
      </c>
    </row>
    <row r="914" spans="1:21" hidden="1">
      <c r="A914" s="1">
        <v>17697</v>
      </c>
      <c r="B914" t="s">
        <v>20</v>
      </c>
      <c r="C914" t="s">
        <v>13</v>
      </c>
      <c r="D914" t="s">
        <v>21</v>
      </c>
      <c r="E914" s="1">
        <v>1884</v>
      </c>
      <c r="F914" s="1">
        <v>2024</v>
      </c>
      <c r="G914" t="s">
        <v>11</v>
      </c>
      <c r="H914" s="2">
        <v>45448.753136574072</v>
      </c>
      <c r="I914" s="9">
        <f t="shared" si="130"/>
        <v>45453</v>
      </c>
      <c r="J914" s="2" t="str">
        <f t="shared" si="131"/>
        <v/>
      </c>
      <c r="L914" s="2" t="str">
        <f t="shared" si="132"/>
        <v/>
      </c>
      <c r="N914" s="10" t="str">
        <f t="shared" si="133"/>
        <v/>
      </c>
      <c r="O914" s="2">
        <f t="shared" si="134"/>
        <v>45453</v>
      </c>
      <c r="P914" s="2">
        <v>45456.708414351851</v>
      </c>
      <c r="Q914" s="2">
        <f t="shared" si="135"/>
        <v>45478</v>
      </c>
      <c r="R914" s="2">
        <v>45460.417442129627</v>
      </c>
      <c r="S914">
        <f t="shared" si="136"/>
        <v>0</v>
      </c>
      <c r="T914" s="2">
        <f t="shared" si="137"/>
        <v>45478</v>
      </c>
      <c r="U914" t="str">
        <f t="shared" si="138"/>
        <v>NO PRAZO</v>
      </c>
    </row>
    <row r="915" spans="1:21">
      <c r="A915" s="1">
        <v>17694</v>
      </c>
      <c r="B915" t="s">
        <v>23</v>
      </c>
      <c r="C915" t="s">
        <v>13</v>
      </c>
      <c r="D915" t="s">
        <v>18</v>
      </c>
      <c r="E915" s="1">
        <v>1881</v>
      </c>
      <c r="F915" s="1">
        <v>2024</v>
      </c>
      <c r="G915" t="s">
        <v>11</v>
      </c>
      <c r="H915" s="2">
        <v>45448.625081018516</v>
      </c>
      <c r="I915" s="9">
        <f t="shared" si="130"/>
        <v>45453</v>
      </c>
      <c r="J915" s="2" t="str">
        <f t="shared" si="131"/>
        <v/>
      </c>
      <c r="L915" s="2" t="str">
        <f t="shared" si="132"/>
        <v/>
      </c>
      <c r="N915" s="10" t="str">
        <f t="shared" si="133"/>
        <v/>
      </c>
      <c r="O915" s="2">
        <f t="shared" si="134"/>
        <v>45453</v>
      </c>
      <c r="P915" s="2">
        <v>45457.680810185186</v>
      </c>
      <c r="Q915" s="2">
        <f t="shared" si="135"/>
        <v>45457</v>
      </c>
      <c r="R915" s="2">
        <v>45461.38826388889</v>
      </c>
      <c r="S915">
        <f t="shared" si="136"/>
        <v>4</v>
      </c>
      <c r="T915" s="2">
        <f t="shared" si="137"/>
        <v>45457</v>
      </c>
      <c r="U915" t="str">
        <f t="shared" si="138"/>
        <v>ATRASO</v>
      </c>
    </row>
    <row r="916" spans="1:21" hidden="1">
      <c r="A916" s="1">
        <v>17683</v>
      </c>
      <c r="B916" t="s">
        <v>19</v>
      </c>
      <c r="C916" t="s">
        <v>13</v>
      </c>
      <c r="D916" t="s">
        <v>18</v>
      </c>
      <c r="E916" s="1">
        <v>1870</v>
      </c>
      <c r="F916" s="1">
        <v>2024</v>
      </c>
      <c r="G916" t="s">
        <v>11</v>
      </c>
      <c r="H916" s="2">
        <v>45447.625081018516</v>
      </c>
      <c r="I916" s="9">
        <f t="shared" si="130"/>
        <v>45450</v>
      </c>
      <c r="J916" s="2" t="str">
        <f t="shared" si="131"/>
        <v/>
      </c>
      <c r="L916" s="2" t="str">
        <f t="shared" si="132"/>
        <v/>
      </c>
      <c r="N916" s="10" t="str">
        <f t="shared" si="133"/>
        <v/>
      </c>
      <c r="O916" s="2">
        <f t="shared" si="134"/>
        <v>45450</v>
      </c>
      <c r="P916" s="2">
        <v>45450.621840277781</v>
      </c>
      <c r="Q916" s="2">
        <f t="shared" si="135"/>
        <v>45456</v>
      </c>
      <c r="R916" s="2">
        <v>45450.622106481482</v>
      </c>
      <c r="S916">
        <f t="shared" si="136"/>
        <v>0</v>
      </c>
      <c r="T916" s="2">
        <f t="shared" si="137"/>
        <v>45456</v>
      </c>
      <c r="U916" t="str">
        <f t="shared" si="138"/>
        <v>NO PRAZO</v>
      </c>
    </row>
    <row r="917" spans="1:21" hidden="1">
      <c r="A917" s="1">
        <v>17682</v>
      </c>
      <c r="B917" t="s">
        <v>24</v>
      </c>
      <c r="C917" t="s">
        <v>13</v>
      </c>
      <c r="D917" t="s">
        <v>10</v>
      </c>
      <c r="E917" s="1">
        <v>1869</v>
      </c>
      <c r="F917" s="1">
        <v>2024</v>
      </c>
      <c r="G917" t="s">
        <v>11</v>
      </c>
      <c r="H917" s="2">
        <v>45447.583414351851</v>
      </c>
      <c r="I917" s="9">
        <f t="shared" si="130"/>
        <v>45448</v>
      </c>
      <c r="J917" s="2" t="str">
        <f t="shared" si="131"/>
        <v/>
      </c>
      <c r="L917" s="2" t="str">
        <f t="shared" si="132"/>
        <v/>
      </c>
      <c r="N917" s="10" t="str">
        <f t="shared" si="133"/>
        <v/>
      </c>
      <c r="O917" s="2">
        <f t="shared" si="134"/>
        <v>45448</v>
      </c>
      <c r="P917" s="2">
        <v>45449.680983796294</v>
      </c>
      <c r="Q917" s="2">
        <f t="shared" si="135"/>
        <v>45449</v>
      </c>
      <c r="R917" s="2">
        <v>45449.697210648148</v>
      </c>
      <c r="S917">
        <f t="shared" si="136"/>
        <v>0</v>
      </c>
      <c r="T917" s="2">
        <f t="shared" si="137"/>
        <v>45449</v>
      </c>
      <c r="U917" t="str">
        <f t="shared" si="138"/>
        <v>NO PRAZO</v>
      </c>
    </row>
    <row r="918" spans="1:21" hidden="1">
      <c r="A918" s="1">
        <v>17681</v>
      </c>
      <c r="B918" t="s">
        <v>24</v>
      </c>
      <c r="C918" t="s">
        <v>13</v>
      </c>
      <c r="D918" t="s">
        <v>10</v>
      </c>
      <c r="E918" s="1">
        <v>1868</v>
      </c>
      <c r="F918" s="1">
        <v>2024</v>
      </c>
      <c r="G918" t="s">
        <v>11</v>
      </c>
      <c r="H918" s="2">
        <v>45447.583414351851</v>
      </c>
      <c r="I918" s="9">
        <f t="shared" si="130"/>
        <v>45448</v>
      </c>
      <c r="J918" s="2" t="str">
        <f t="shared" si="131"/>
        <v/>
      </c>
      <c r="L918" s="2" t="str">
        <f t="shared" si="132"/>
        <v/>
      </c>
      <c r="N918" s="10" t="str">
        <f t="shared" si="133"/>
        <v/>
      </c>
      <c r="O918" s="2">
        <f t="shared" si="134"/>
        <v>45448</v>
      </c>
      <c r="P918" s="2">
        <v>45449.727592592593</v>
      </c>
      <c r="Q918" s="2">
        <f t="shared" si="135"/>
        <v>45449</v>
      </c>
      <c r="R918" s="2">
        <v>45449.739317129628</v>
      </c>
      <c r="S918">
        <f t="shared" si="136"/>
        <v>0</v>
      </c>
      <c r="T918" s="2">
        <f t="shared" si="137"/>
        <v>45449</v>
      </c>
      <c r="U918" t="str">
        <f t="shared" si="138"/>
        <v>NO PRAZO</v>
      </c>
    </row>
    <row r="919" spans="1:21" hidden="1">
      <c r="A919" s="1">
        <v>17678</v>
      </c>
      <c r="B919" t="s">
        <v>24</v>
      </c>
      <c r="C919" t="s">
        <v>13</v>
      </c>
      <c r="D919" t="s">
        <v>10</v>
      </c>
      <c r="E919" s="1">
        <v>1865</v>
      </c>
      <c r="F919" s="1">
        <v>2024</v>
      </c>
      <c r="G919" t="s">
        <v>11</v>
      </c>
      <c r="H919" s="2">
        <v>45447.500092592592</v>
      </c>
      <c r="I919" s="9">
        <f t="shared" si="130"/>
        <v>45448</v>
      </c>
      <c r="J919" s="2" t="str">
        <f t="shared" si="131"/>
        <v/>
      </c>
      <c r="L919" s="2" t="str">
        <f t="shared" si="132"/>
        <v/>
      </c>
      <c r="N919" s="10" t="str">
        <f t="shared" si="133"/>
        <v/>
      </c>
      <c r="O919" s="2">
        <f t="shared" si="134"/>
        <v>45448</v>
      </c>
      <c r="P919" s="2">
        <v>45449.634976851848</v>
      </c>
      <c r="Q919" s="2">
        <f t="shared" si="135"/>
        <v>45449</v>
      </c>
      <c r="R919" s="2">
        <v>45449.705995370372</v>
      </c>
      <c r="S919">
        <f t="shared" si="136"/>
        <v>0</v>
      </c>
      <c r="T919" s="2">
        <f t="shared" si="137"/>
        <v>45449</v>
      </c>
      <c r="U919" t="str">
        <f t="shared" si="138"/>
        <v>NO PRAZO</v>
      </c>
    </row>
    <row r="920" spans="1:21" hidden="1">
      <c r="A920" s="1">
        <v>17674</v>
      </c>
      <c r="B920" t="s">
        <v>19</v>
      </c>
      <c r="C920" t="s">
        <v>13</v>
      </c>
      <c r="D920" t="s">
        <v>18</v>
      </c>
      <c r="E920" s="1">
        <v>1861</v>
      </c>
      <c r="F920" s="1">
        <v>2024</v>
      </c>
      <c r="G920" t="s">
        <v>11</v>
      </c>
      <c r="H920" s="2">
        <v>45446.708344907405</v>
      </c>
      <c r="I920" s="9">
        <f t="shared" si="130"/>
        <v>45449</v>
      </c>
      <c r="J920" s="2" t="str">
        <f t="shared" si="131"/>
        <v/>
      </c>
      <c r="L920" s="2" t="str">
        <f t="shared" si="132"/>
        <v/>
      </c>
      <c r="N920" s="10" t="str">
        <f t="shared" si="133"/>
        <v/>
      </c>
      <c r="O920" s="2">
        <f t="shared" si="134"/>
        <v>45449</v>
      </c>
      <c r="P920" s="2">
        <v>45449.625856481478</v>
      </c>
      <c r="Q920" s="2">
        <f t="shared" si="135"/>
        <v>45455</v>
      </c>
      <c r="R920" s="2">
        <v>45449.62840277778</v>
      </c>
      <c r="S920">
        <f t="shared" si="136"/>
        <v>0</v>
      </c>
      <c r="T920" s="2">
        <f t="shared" si="137"/>
        <v>45455</v>
      </c>
      <c r="U920" t="str">
        <f t="shared" si="138"/>
        <v>NO PRAZO</v>
      </c>
    </row>
    <row r="921" spans="1:21" hidden="1">
      <c r="A921" s="1">
        <v>17662</v>
      </c>
      <c r="B921" t="s">
        <v>19</v>
      </c>
      <c r="C921" t="s">
        <v>13</v>
      </c>
      <c r="D921" t="s">
        <v>18</v>
      </c>
      <c r="E921" s="1">
        <v>1849</v>
      </c>
      <c r="F921" s="1">
        <v>2024</v>
      </c>
      <c r="G921" t="s">
        <v>11</v>
      </c>
      <c r="H921" s="2">
        <v>45441.708391203705</v>
      </c>
      <c r="I921" s="9">
        <f t="shared" si="130"/>
        <v>45447</v>
      </c>
      <c r="J921" s="2" t="str">
        <f t="shared" si="131"/>
        <v/>
      </c>
      <c r="L921" s="2" t="str">
        <f t="shared" si="132"/>
        <v/>
      </c>
      <c r="N921" s="10" t="str">
        <f t="shared" si="133"/>
        <v/>
      </c>
      <c r="O921" s="2">
        <f t="shared" si="134"/>
        <v>45447</v>
      </c>
      <c r="P921" s="2">
        <v>45447.704502314817</v>
      </c>
      <c r="Q921" s="2">
        <f t="shared" si="135"/>
        <v>45453</v>
      </c>
      <c r="R921" s="2">
        <v>45447.704606481479</v>
      </c>
      <c r="S921">
        <f t="shared" si="136"/>
        <v>0</v>
      </c>
      <c r="T921" s="2">
        <f t="shared" si="137"/>
        <v>45453</v>
      </c>
      <c r="U921" t="str">
        <f t="shared" si="138"/>
        <v>NO PRAZO</v>
      </c>
    </row>
    <row r="922" spans="1:21" hidden="1">
      <c r="A922" s="1">
        <v>17658</v>
      </c>
      <c r="B922" t="s">
        <v>20</v>
      </c>
      <c r="C922" t="s">
        <v>13</v>
      </c>
      <c r="D922" t="s">
        <v>16</v>
      </c>
      <c r="E922" s="1">
        <v>1845</v>
      </c>
      <c r="F922" s="1">
        <v>2024</v>
      </c>
      <c r="G922" t="s">
        <v>11</v>
      </c>
      <c r="H922" s="2">
        <v>45441.583391203705</v>
      </c>
      <c r="I922" s="9">
        <f t="shared" si="130"/>
        <v>45443</v>
      </c>
      <c r="J922" s="2" t="str">
        <f t="shared" si="131"/>
        <v/>
      </c>
      <c r="L922" s="2" t="str">
        <f t="shared" si="132"/>
        <v/>
      </c>
      <c r="N922" s="10" t="str">
        <f t="shared" si="133"/>
        <v/>
      </c>
      <c r="O922" s="2">
        <f t="shared" si="134"/>
        <v>45443</v>
      </c>
      <c r="P922" s="2">
        <v>45446.58965277778</v>
      </c>
      <c r="Q922" s="2">
        <f t="shared" si="135"/>
        <v>45449</v>
      </c>
      <c r="R922" s="2">
        <v>45448.761203703703</v>
      </c>
      <c r="S922">
        <f t="shared" si="136"/>
        <v>0</v>
      </c>
      <c r="T922" s="2">
        <f t="shared" si="137"/>
        <v>45449</v>
      </c>
      <c r="U922" t="str">
        <f t="shared" si="138"/>
        <v>NO PRAZO</v>
      </c>
    </row>
    <row r="923" spans="1:21" hidden="1">
      <c r="A923" s="1">
        <v>17648</v>
      </c>
      <c r="B923" t="s">
        <v>24</v>
      </c>
      <c r="C923" t="s">
        <v>13</v>
      </c>
      <c r="D923" t="s">
        <v>16</v>
      </c>
      <c r="E923" s="1">
        <v>1835</v>
      </c>
      <c r="F923" s="1">
        <v>2024</v>
      </c>
      <c r="G923" t="s">
        <v>11</v>
      </c>
      <c r="H923" s="2">
        <v>45440.416747685187</v>
      </c>
      <c r="I923" s="9">
        <f t="shared" si="130"/>
        <v>45441</v>
      </c>
      <c r="J923" s="2" t="str">
        <f t="shared" si="131"/>
        <v/>
      </c>
      <c r="L923" s="2" t="str">
        <f t="shared" si="132"/>
        <v/>
      </c>
      <c r="N923" s="10" t="str">
        <f t="shared" si="133"/>
        <v/>
      </c>
      <c r="O923" s="2">
        <f t="shared" si="134"/>
        <v>45441</v>
      </c>
      <c r="P923" s="2">
        <v>45441.6403125</v>
      </c>
      <c r="Q923" s="2">
        <f t="shared" si="135"/>
        <v>45448</v>
      </c>
      <c r="R923" s="2">
        <v>45441.7112037037</v>
      </c>
      <c r="S923">
        <f t="shared" si="136"/>
        <v>0</v>
      </c>
      <c r="T923" s="2">
        <f t="shared" si="137"/>
        <v>45448</v>
      </c>
      <c r="U923" t="str">
        <f t="shared" si="138"/>
        <v>NO PRAZO</v>
      </c>
    </row>
    <row r="924" spans="1:21" hidden="1">
      <c r="A924" s="1">
        <v>17599</v>
      </c>
      <c r="B924" t="s">
        <v>19</v>
      </c>
      <c r="C924" t="s">
        <v>13</v>
      </c>
      <c r="D924" t="s">
        <v>18</v>
      </c>
      <c r="E924" s="1">
        <v>1786</v>
      </c>
      <c r="F924" s="1">
        <v>2024</v>
      </c>
      <c r="G924" t="s">
        <v>11</v>
      </c>
      <c r="H924" s="2">
        <v>45435.458379629628</v>
      </c>
      <c r="I924" s="9">
        <f t="shared" si="130"/>
        <v>45440</v>
      </c>
      <c r="J924" s="2" t="str">
        <f t="shared" si="131"/>
        <v/>
      </c>
      <c r="L924" s="2" t="str">
        <f t="shared" si="132"/>
        <v/>
      </c>
      <c r="N924" s="10" t="str">
        <f t="shared" si="133"/>
        <v/>
      </c>
      <c r="O924" s="2">
        <f t="shared" si="134"/>
        <v>45440</v>
      </c>
      <c r="P924" s="2">
        <v>45446.750972222224</v>
      </c>
      <c r="Q924" s="2">
        <f t="shared" si="135"/>
        <v>45447</v>
      </c>
      <c r="R924" s="2">
        <v>45446.751331018517</v>
      </c>
      <c r="S924">
        <f t="shared" si="136"/>
        <v>0</v>
      </c>
      <c r="T924" s="2">
        <f t="shared" si="137"/>
        <v>45447</v>
      </c>
      <c r="U924" t="str">
        <f t="shared" si="138"/>
        <v>NO PRAZO</v>
      </c>
    </row>
    <row r="925" spans="1:21" hidden="1">
      <c r="A925" s="1">
        <v>17555</v>
      </c>
      <c r="B925" t="s">
        <v>12</v>
      </c>
      <c r="C925" t="s">
        <v>13</v>
      </c>
      <c r="D925" t="s">
        <v>21</v>
      </c>
      <c r="E925" s="1">
        <v>1742</v>
      </c>
      <c r="F925" s="1">
        <v>2024</v>
      </c>
      <c r="G925" t="s">
        <v>11</v>
      </c>
      <c r="H925" s="2">
        <v>45433.666701388887</v>
      </c>
      <c r="I925" s="9">
        <f t="shared" si="130"/>
        <v>45436</v>
      </c>
      <c r="J925" s="2">
        <f t="shared" si="131"/>
        <v>45436</v>
      </c>
      <c r="K925" s="2">
        <v>45456.704652777778</v>
      </c>
      <c r="L925" s="2">
        <f t="shared" si="132"/>
        <v>45457</v>
      </c>
      <c r="M925" s="2">
        <v>45457.410520833335</v>
      </c>
      <c r="N925" s="10">
        <f t="shared" si="133"/>
        <v>0</v>
      </c>
      <c r="O925" s="2">
        <f t="shared" si="134"/>
        <v>45460</v>
      </c>
      <c r="P925" s="2">
        <v>45470.484953703701</v>
      </c>
      <c r="Q925" s="2">
        <f t="shared" si="135"/>
        <v>45485</v>
      </c>
      <c r="R925" s="2">
        <v>45482.550763888888</v>
      </c>
      <c r="S925">
        <f t="shared" si="136"/>
        <v>0</v>
      </c>
      <c r="T925" s="2">
        <f t="shared" si="137"/>
        <v>45485</v>
      </c>
      <c r="U925" t="str">
        <f t="shared" si="138"/>
        <v>NO PRAZO</v>
      </c>
    </row>
    <row r="926" spans="1:21" hidden="1">
      <c r="A926" s="1">
        <v>17547</v>
      </c>
      <c r="B926" t="s">
        <v>12</v>
      </c>
      <c r="C926" t="s">
        <v>13</v>
      </c>
      <c r="D926" t="s">
        <v>21</v>
      </c>
      <c r="E926" s="1">
        <v>1734</v>
      </c>
      <c r="F926" s="1">
        <v>2024</v>
      </c>
      <c r="G926" t="s">
        <v>11</v>
      </c>
      <c r="H926" s="2">
        <v>45432.833449074074</v>
      </c>
      <c r="I926" s="9">
        <f t="shared" si="130"/>
        <v>45435</v>
      </c>
      <c r="J926" s="2">
        <f t="shared" si="131"/>
        <v>45435</v>
      </c>
      <c r="K926" s="2">
        <v>45457.409837962965</v>
      </c>
      <c r="L926" s="2">
        <f t="shared" si="132"/>
        <v>45456</v>
      </c>
      <c r="M926" s="2">
        <v>45457.409953703704</v>
      </c>
      <c r="N926" s="10">
        <f t="shared" si="133"/>
        <v>1</v>
      </c>
      <c r="O926" s="2">
        <f t="shared" si="134"/>
        <v>45457</v>
      </c>
      <c r="P926" s="2">
        <v>45460.60701388889</v>
      </c>
      <c r="Q926" s="2">
        <f t="shared" si="135"/>
        <v>45484</v>
      </c>
      <c r="R926" s="2">
        <v>45476.338055555556</v>
      </c>
      <c r="S926">
        <f t="shared" si="136"/>
        <v>0</v>
      </c>
      <c r="T926" s="2">
        <f t="shared" si="137"/>
        <v>45484</v>
      </c>
      <c r="U926" t="str">
        <f t="shared" si="138"/>
        <v>NO PRAZO</v>
      </c>
    </row>
    <row r="927" spans="1:21">
      <c r="A927" s="1">
        <v>17546</v>
      </c>
      <c r="B927" t="s">
        <v>12</v>
      </c>
      <c r="C927" t="s">
        <v>13</v>
      </c>
      <c r="D927" t="s">
        <v>21</v>
      </c>
      <c r="E927" s="1">
        <v>1733</v>
      </c>
      <c r="F927" s="1">
        <v>2024</v>
      </c>
      <c r="G927" t="s">
        <v>11</v>
      </c>
      <c r="H927" s="2">
        <v>45432.750069444446</v>
      </c>
      <c r="I927" s="9">
        <f t="shared" si="130"/>
        <v>45435</v>
      </c>
      <c r="J927" s="2" t="str">
        <f t="shared" si="131"/>
        <v/>
      </c>
      <c r="L927" s="2" t="str">
        <f t="shared" si="132"/>
        <v/>
      </c>
      <c r="N927" s="10" t="str">
        <f t="shared" si="133"/>
        <v/>
      </c>
      <c r="O927" s="2">
        <f t="shared" si="134"/>
        <v>45435</v>
      </c>
      <c r="P927" s="2">
        <v>45467.493981481479</v>
      </c>
      <c r="Q927" s="2">
        <f t="shared" si="135"/>
        <v>45463</v>
      </c>
      <c r="R927" s="2">
        <v>45531.490393518521</v>
      </c>
      <c r="S927">
        <f t="shared" si="136"/>
        <v>68</v>
      </c>
      <c r="T927" s="2">
        <f t="shared" si="137"/>
        <v>45463</v>
      </c>
      <c r="U927" t="str">
        <f t="shared" si="138"/>
        <v>ATRASO</v>
      </c>
    </row>
    <row r="928" spans="1:21" hidden="1">
      <c r="A928" s="1">
        <v>17543</v>
      </c>
      <c r="B928" t="s">
        <v>12</v>
      </c>
      <c r="C928" t="s">
        <v>13</v>
      </c>
      <c r="D928" t="s">
        <v>14</v>
      </c>
      <c r="E928" s="1">
        <v>1730</v>
      </c>
      <c r="F928" s="1">
        <v>2024</v>
      </c>
      <c r="G928" t="s">
        <v>11</v>
      </c>
      <c r="H928" s="2">
        <v>45432.708425925928</v>
      </c>
      <c r="I928" s="9">
        <f t="shared" si="130"/>
        <v>45433</v>
      </c>
      <c r="J928" s="2" t="str">
        <f t="shared" si="131"/>
        <v/>
      </c>
      <c r="L928" s="2" t="str">
        <f t="shared" si="132"/>
        <v/>
      </c>
      <c r="N928" s="10" t="str">
        <f t="shared" si="133"/>
        <v/>
      </c>
      <c r="O928" s="2">
        <f t="shared" si="134"/>
        <v>45433</v>
      </c>
      <c r="P928" s="2">
        <v>45433.733807870369</v>
      </c>
      <c r="Q928" s="2">
        <f t="shared" si="135"/>
        <v>45434</v>
      </c>
      <c r="R928" s="2">
        <v>45433.734027777777</v>
      </c>
      <c r="S928">
        <f t="shared" si="136"/>
        <v>0</v>
      </c>
      <c r="T928" s="2">
        <f t="shared" si="137"/>
        <v>45434</v>
      </c>
      <c r="U928" t="str">
        <f t="shared" si="138"/>
        <v>NO PRAZO</v>
      </c>
    </row>
    <row r="929" spans="1:21" hidden="1">
      <c r="A929" s="1">
        <v>17542</v>
      </c>
      <c r="B929" t="s">
        <v>24</v>
      </c>
      <c r="C929" t="s">
        <v>13</v>
      </c>
      <c r="D929" t="s">
        <v>18</v>
      </c>
      <c r="E929" s="1">
        <v>1729</v>
      </c>
      <c r="F929" s="1">
        <v>2024</v>
      </c>
      <c r="G929" t="s">
        <v>11</v>
      </c>
      <c r="H929" s="2">
        <v>45432.708425925928</v>
      </c>
      <c r="I929" s="9">
        <f t="shared" si="130"/>
        <v>45435</v>
      </c>
      <c r="J929" s="2" t="str">
        <f t="shared" si="131"/>
        <v/>
      </c>
      <c r="L929" s="2" t="str">
        <f t="shared" si="132"/>
        <v/>
      </c>
      <c r="N929" s="10" t="str">
        <f t="shared" si="133"/>
        <v/>
      </c>
      <c r="O929" s="2">
        <f t="shared" si="134"/>
        <v>45435</v>
      </c>
      <c r="P929" s="2">
        <v>45439.590300925927</v>
      </c>
      <c r="Q929" s="2">
        <f t="shared" si="135"/>
        <v>45441</v>
      </c>
      <c r="R929" s="2">
        <v>45439.590509259258</v>
      </c>
      <c r="S929">
        <f t="shared" si="136"/>
        <v>0</v>
      </c>
      <c r="T929" s="2">
        <f t="shared" si="137"/>
        <v>45441</v>
      </c>
      <c r="U929" t="str">
        <f t="shared" si="138"/>
        <v>NO PRAZO</v>
      </c>
    </row>
    <row r="930" spans="1:21" hidden="1">
      <c r="A930" s="1">
        <v>17541</v>
      </c>
      <c r="B930" t="s">
        <v>17</v>
      </c>
      <c r="C930" t="s">
        <v>13</v>
      </c>
      <c r="D930" t="s">
        <v>18</v>
      </c>
      <c r="E930" s="1">
        <v>1728</v>
      </c>
      <c r="F930" s="1">
        <v>2024</v>
      </c>
      <c r="G930" t="s">
        <v>11</v>
      </c>
      <c r="H930" s="2">
        <v>45432.66673611111</v>
      </c>
      <c r="I930" s="9">
        <f t="shared" si="130"/>
        <v>45435</v>
      </c>
      <c r="J930" s="2" t="str">
        <f t="shared" si="131"/>
        <v/>
      </c>
      <c r="L930" s="2" t="str">
        <f t="shared" si="132"/>
        <v/>
      </c>
      <c r="N930" s="10" t="str">
        <f t="shared" si="133"/>
        <v/>
      </c>
      <c r="O930" s="2">
        <f t="shared" si="134"/>
        <v>45435</v>
      </c>
      <c r="P930" s="2">
        <v>45435.819351851853</v>
      </c>
      <c r="Q930" s="2">
        <f t="shared" si="135"/>
        <v>45441</v>
      </c>
      <c r="R930" s="2">
        <v>45436.390740740739</v>
      </c>
      <c r="S930">
        <f t="shared" si="136"/>
        <v>0</v>
      </c>
      <c r="T930" s="2">
        <f t="shared" si="137"/>
        <v>45441</v>
      </c>
      <c r="U930" t="str">
        <f t="shared" si="138"/>
        <v>NO PRAZO</v>
      </c>
    </row>
    <row r="931" spans="1:21" hidden="1">
      <c r="A931" s="1">
        <v>17537</v>
      </c>
      <c r="B931" t="s">
        <v>19</v>
      </c>
      <c r="C931" t="s">
        <v>9</v>
      </c>
      <c r="D931" t="s">
        <v>10</v>
      </c>
      <c r="E931" s="1">
        <v>1724</v>
      </c>
      <c r="F931" s="1">
        <v>2024</v>
      </c>
      <c r="G931" t="s">
        <v>11</v>
      </c>
      <c r="H931" s="2">
        <v>45432.500069444446</v>
      </c>
      <c r="I931" s="9">
        <f t="shared" si="130"/>
        <v>45433</v>
      </c>
      <c r="J931" s="2" t="str">
        <f t="shared" si="131"/>
        <v/>
      </c>
      <c r="L931" s="2" t="str">
        <f t="shared" si="132"/>
        <v/>
      </c>
      <c r="N931" s="10" t="str">
        <f t="shared" si="133"/>
        <v/>
      </c>
      <c r="O931" s="2">
        <f t="shared" si="134"/>
        <v>45433</v>
      </c>
      <c r="P931" s="2">
        <v>45434.478865740741</v>
      </c>
      <c r="Q931" s="2">
        <f t="shared" si="135"/>
        <v>45434</v>
      </c>
      <c r="R931" s="2">
        <v>45434.479305555556</v>
      </c>
      <c r="S931">
        <f t="shared" si="136"/>
        <v>0</v>
      </c>
      <c r="T931" s="2">
        <f t="shared" si="137"/>
        <v>45434</v>
      </c>
      <c r="U931" t="str">
        <f t="shared" si="138"/>
        <v>NO PRAZO</v>
      </c>
    </row>
    <row r="932" spans="1:21" hidden="1">
      <c r="A932" s="1">
        <v>17532</v>
      </c>
      <c r="B932" t="s">
        <v>20</v>
      </c>
      <c r="C932" t="s">
        <v>13</v>
      </c>
      <c r="D932" t="s">
        <v>10</v>
      </c>
      <c r="E932" s="1">
        <v>1719</v>
      </c>
      <c r="F932" s="1">
        <v>2024</v>
      </c>
      <c r="G932" t="s">
        <v>11</v>
      </c>
      <c r="H932" s="2">
        <v>45429.750069444446</v>
      </c>
      <c r="I932" s="9">
        <f t="shared" si="130"/>
        <v>45432</v>
      </c>
      <c r="J932" s="2" t="str">
        <f t="shared" si="131"/>
        <v/>
      </c>
      <c r="L932" s="2" t="str">
        <f t="shared" si="132"/>
        <v/>
      </c>
      <c r="N932" s="10" t="str">
        <f t="shared" si="133"/>
        <v/>
      </c>
      <c r="O932" s="2">
        <f t="shared" si="134"/>
        <v>45432</v>
      </c>
      <c r="P932" s="2">
        <v>45433.917905092596</v>
      </c>
      <c r="Q932" s="2">
        <f t="shared" si="135"/>
        <v>45433</v>
      </c>
      <c r="R932" s="2">
        <v>45433.918124999997</v>
      </c>
      <c r="S932">
        <f t="shared" si="136"/>
        <v>0</v>
      </c>
      <c r="T932" s="2">
        <f t="shared" si="137"/>
        <v>45433</v>
      </c>
      <c r="U932" t="str">
        <f t="shared" si="138"/>
        <v>NO PRAZO</v>
      </c>
    </row>
    <row r="933" spans="1:21" hidden="1">
      <c r="A933" s="1">
        <v>17512</v>
      </c>
      <c r="B933" t="s">
        <v>20</v>
      </c>
      <c r="C933" t="s">
        <v>9</v>
      </c>
      <c r="D933" t="s">
        <v>10</v>
      </c>
      <c r="E933" s="1">
        <v>1699</v>
      </c>
      <c r="F933" s="1">
        <v>2024</v>
      </c>
      <c r="G933" t="s">
        <v>11</v>
      </c>
      <c r="H933" s="2">
        <v>45429.416747685187</v>
      </c>
      <c r="I933" s="9">
        <f t="shared" si="130"/>
        <v>45432</v>
      </c>
      <c r="J933" s="2" t="str">
        <f t="shared" si="131"/>
        <v/>
      </c>
      <c r="L933" s="2" t="str">
        <f t="shared" si="132"/>
        <v/>
      </c>
      <c r="N933" s="10" t="str">
        <f t="shared" si="133"/>
        <v/>
      </c>
      <c r="O933" s="2">
        <f t="shared" si="134"/>
        <v>45432</v>
      </c>
      <c r="P933" s="2">
        <v>45432.723981481482</v>
      </c>
      <c r="Q933" s="2">
        <f t="shared" si="135"/>
        <v>45433</v>
      </c>
      <c r="R933" s="2">
        <v>45432.750787037039</v>
      </c>
      <c r="S933">
        <f t="shared" si="136"/>
        <v>0</v>
      </c>
      <c r="T933" s="2">
        <f t="shared" si="137"/>
        <v>45433</v>
      </c>
      <c r="U933" t="str">
        <f t="shared" si="138"/>
        <v>NO PRAZO</v>
      </c>
    </row>
    <row r="934" spans="1:21" hidden="1">
      <c r="A934" s="1">
        <v>17496</v>
      </c>
      <c r="B934" t="s">
        <v>23</v>
      </c>
      <c r="C934" t="s">
        <v>9</v>
      </c>
      <c r="D934" t="s">
        <v>10</v>
      </c>
      <c r="E934" s="1">
        <v>1683</v>
      </c>
      <c r="F934" s="1">
        <v>2024</v>
      </c>
      <c r="G934" t="s">
        <v>11</v>
      </c>
      <c r="H934" s="2">
        <v>45427.718009259261</v>
      </c>
      <c r="I934" s="9">
        <f t="shared" si="130"/>
        <v>45428</v>
      </c>
      <c r="J934" s="2" t="str">
        <f t="shared" si="131"/>
        <v/>
      </c>
      <c r="L934" s="2" t="str">
        <f t="shared" si="132"/>
        <v/>
      </c>
      <c r="N934" s="10" t="str">
        <f t="shared" si="133"/>
        <v/>
      </c>
      <c r="O934" s="2">
        <f t="shared" si="134"/>
        <v>45428</v>
      </c>
      <c r="P934" s="2">
        <v>45428.670624999999</v>
      </c>
      <c r="Q934" s="2">
        <f t="shared" si="135"/>
        <v>45429</v>
      </c>
      <c r="R934" s="2">
        <v>45428.683159722219</v>
      </c>
      <c r="S934">
        <f t="shared" si="136"/>
        <v>0</v>
      </c>
      <c r="T934" s="2">
        <f t="shared" si="137"/>
        <v>45429</v>
      </c>
      <c r="U934" t="str">
        <f t="shared" si="138"/>
        <v>NO PRAZO</v>
      </c>
    </row>
    <row r="935" spans="1:21" hidden="1">
      <c r="A935" s="1">
        <v>17492</v>
      </c>
      <c r="B935" t="s">
        <v>19</v>
      </c>
      <c r="C935" t="s">
        <v>13</v>
      </c>
      <c r="D935" t="s">
        <v>18</v>
      </c>
      <c r="E935" s="1">
        <v>1679</v>
      </c>
      <c r="F935" s="1">
        <v>2024</v>
      </c>
      <c r="G935" t="s">
        <v>11</v>
      </c>
      <c r="H935" s="2">
        <v>45427.66678240741</v>
      </c>
      <c r="I935" s="9">
        <f t="shared" si="130"/>
        <v>45432</v>
      </c>
      <c r="J935" s="2" t="str">
        <f t="shared" si="131"/>
        <v/>
      </c>
      <c r="L935" s="2" t="str">
        <f t="shared" si="132"/>
        <v/>
      </c>
      <c r="N935" s="10" t="str">
        <f t="shared" si="133"/>
        <v/>
      </c>
      <c r="O935" s="2">
        <f t="shared" si="134"/>
        <v>45432</v>
      </c>
      <c r="P935" s="2">
        <v>45432.402638888889</v>
      </c>
      <c r="Q935" s="2">
        <f t="shared" si="135"/>
        <v>45436</v>
      </c>
      <c r="R935" s="2">
        <v>45432.40284722222</v>
      </c>
      <c r="S935">
        <f t="shared" si="136"/>
        <v>0</v>
      </c>
      <c r="T935" s="2">
        <f t="shared" si="137"/>
        <v>45436</v>
      </c>
      <c r="U935" t="str">
        <f t="shared" si="138"/>
        <v>NO PRAZO</v>
      </c>
    </row>
    <row r="936" spans="1:21" hidden="1">
      <c r="A936" s="1">
        <v>17419</v>
      </c>
      <c r="B936" t="s">
        <v>24</v>
      </c>
      <c r="C936" t="s">
        <v>13</v>
      </c>
      <c r="D936" t="s">
        <v>10</v>
      </c>
      <c r="E936" s="1">
        <v>1606</v>
      </c>
      <c r="F936" s="1">
        <v>2024</v>
      </c>
      <c r="G936" t="s">
        <v>11</v>
      </c>
      <c r="H936" s="2">
        <v>45425.458414351851</v>
      </c>
      <c r="I936" s="9">
        <f t="shared" si="130"/>
        <v>45426</v>
      </c>
      <c r="J936" s="2" t="str">
        <f t="shared" si="131"/>
        <v/>
      </c>
      <c r="L936" s="2" t="str">
        <f t="shared" si="132"/>
        <v/>
      </c>
      <c r="N936" s="10" t="str">
        <f t="shared" si="133"/>
        <v/>
      </c>
      <c r="O936" s="2">
        <f t="shared" si="134"/>
        <v>45426</v>
      </c>
      <c r="P936" s="2">
        <v>45426.676678240743</v>
      </c>
      <c r="Q936" s="2">
        <f t="shared" si="135"/>
        <v>45427</v>
      </c>
      <c r="R936" s="2">
        <v>45426.741886574076</v>
      </c>
      <c r="S936">
        <f t="shared" si="136"/>
        <v>0</v>
      </c>
      <c r="T936" s="2">
        <f t="shared" si="137"/>
        <v>45427</v>
      </c>
      <c r="U936" t="str">
        <f t="shared" si="138"/>
        <v>NO PRAZO</v>
      </c>
    </row>
    <row r="937" spans="1:21" hidden="1">
      <c r="A937" s="1">
        <v>17412</v>
      </c>
      <c r="B937" t="s">
        <v>19</v>
      </c>
      <c r="C937" t="s">
        <v>13</v>
      </c>
      <c r="D937" t="s">
        <v>10</v>
      </c>
      <c r="E937" s="1">
        <v>1599</v>
      </c>
      <c r="F937" s="1">
        <v>2024</v>
      </c>
      <c r="G937" t="s">
        <v>11</v>
      </c>
      <c r="H937" s="2">
        <v>45422.583437499998</v>
      </c>
      <c r="I937" s="9">
        <f t="shared" si="130"/>
        <v>45425</v>
      </c>
      <c r="J937" s="2" t="str">
        <f t="shared" si="131"/>
        <v/>
      </c>
      <c r="L937" s="2" t="str">
        <f t="shared" si="132"/>
        <v/>
      </c>
      <c r="N937" s="10" t="str">
        <f t="shared" si="133"/>
        <v/>
      </c>
      <c r="O937" s="2">
        <f t="shared" si="134"/>
        <v>45425</v>
      </c>
      <c r="P937" s="2">
        <v>45425.46303240741</v>
      </c>
      <c r="Q937" s="2">
        <f t="shared" si="135"/>
        <v>45426</v>
      </c>
      <c r="R937" s="2">
        <v>45425.474317129629</v>
      </c>
      <c r="S937">
        <f t="shared" si="136"/>
        <v>0</v>
      </c>
      <c r="T937" s="2">
        <f t="shared" si="137"/>
        <v>45426</v>
      </c>
      <c r="U937" t="str">
        <f t="shared" si="138"/>
        <v>NO PRAZO</v>
      </c>
    </row>
    <row r="938" spans="1:21" hidden="1">
      <c r="A938" s="1">
        <v>17404</v>
      </c>
      <c r="B938" t="s">
        <v>17</v>
      </c>
      <c r="C938" t="s">
        <v>13</v>
      </c>
      <c r="D938" t="s">
        <v>18</v>
      </c>
      <c r="E938" s="1">
        <v>1591</v>
      </c>
      <c r="F938" s="1">
        <v>2024</v>
      </c>
      <c r="G938" t="s">
        <v>11</v>
      </c>
      <c r="H938" s="2">
        <v>45421.625127314815</v>
      </c>
      <c r="I938" s="9">
        <f t="shared" si="130"/>
        <v>45426</v>
      </c>
      <c r="J938" s="2" t="str">
        <f t="shared" si="131"/>
        <v/>
      </c>
      <c r="L938" s="2" t="str">
        <f t="shared" si="132"/>
        <v/>
      </c>
      <c r="N938" s="10" t="str">
        <f t="shared" si="133"/>
        <v/>
      </c>
      <c r="O938" s="2">
        <f t="shared" si="134"/>
        <v>45426</v>
      </c>
      <c r="P938" s="2">
        <v>45426.446689814817</v>
      </c>
      <c r="Q938" s="2">
        <f t="shared" si="135"/>
        <v>45432</v>
      </c>
      <c r="R938" s="2">
        <v>45426.743159722224</v>
      </c>
      <c r="S938">
        <f t="shared" si="136"/>
        <v>0</v>
      </c>
      <c r="T938" s="2">
        <f t="shared" si="137"/>
        <v>45432</v>
      </c>
      <c r="U938" t="str">
        <f t="shared" si="138"/>
        <v>NO PRAZO</v>
      </c>
    </row>
    <row r="939" spans="1:21" hidden="1">
      <c r="A939" s="1">
        <v>17402</v>
      </c>
      <c r="B939" t="s">
        <v>17</v>
      </c>
      <c r="C939" t="s">
        <v>9</v>
      </c>
      <c r="D939" t="s">
        <v>18</v>
      </c>
      <c r="E939" s="1">
        <v>1589</v>
      </c>
      <c r="F939" s="1">
        <v>2024</v>
      </c>
      <c r="G939" t="s">
        <v>11</v>
      </c>
      <c r="H939" s="2">
        <v>45421.416805555556</v>
      </c>
      <c r="I939" s="9">
        <f t="shared" si="130"/>
        <v>45426</v>
      </c>
      <c r="J939" s="2" t="str">
        <f t="shared" si="131"/>
        <v/>
      </c>
      <c r="L939" s="2" t="str">
        <f t="shared" si="132"/>
        <v/>
      </c>
      <c r="N939" s="10" t="str">
        <f t="shared" si="133"/>
        <v/>
      </c>
      <c r="O939" s="2">
        <f t="shared" si="134"/>
        <v>45426</v>
      </c>
      <c r="P939" s="2">
        <v>45426.437303240738</v>
      </c>
      <c r="Q939" s="2">
        <f t="shared" si="135"/>
        <v>45432</v>
      </c>
      <c r="R939" s="2">
        <v>45426.742997685185</v>
      </c>
      <c r="S939">
        <f t="shared" si="136"/>
        <v>0</v>
      </c>
      <c r="T939" s="2">
        <f t="shared" si="137"/>
        <v>45432</v>
      </c>
      <c r="U939" t="str">
        <f t="shared" si="138"/>
        <v>NO PRAZO</v>
      </c>
    </row>
    <row r="940" spans="1:21">
      <c r="A940" s="1">
        <v>17375</v>
      </c>
      <c r="B940" t="s">
        <v>20</v>
      </c>
      <c r="C940" t="s">
        <v>13</v>
      </c>
      <c r="D940" t="s">
        <v>21</v>
      </c>
      <c r="E940" s="1">
        <v>1562</v>
      </c>
      <c r="F940" s="1">
        <v>2024</v>
      </c>
      <c r="G940" t="s">
        <v>11</v>
      </c>
      <c r="H940" s="2">
        <v>45419.625150462962</v>
      </c>
      <c r="I940" s="9">
        <f t="shared" si="130"/>
        <v>45422</v>
      </c>
      <c r="J940" s="2">
        <f t="shared" si="131"/>
        <v>45422</v>
      </c>
      <c r="K940" s="2">
        <v>45440.44363425926</v>
      </c>
      <c r="L940" s="2">
        <f t="shared" si="132"/>
        <v>45443</v>
      </c>
      <c r="N940" s="10" t="str">
        <f t="shared" si="133"/>
        <v/>
      </c>
      <c r="O940" s="2">
        <f t="shared" si="134"/>
        <v>45446</v>
      </c>
      <c r="P940" s="2">
        <v>45548.347314814811</v>
      </c>
      <c r="Q940" s="2">
        <f t="shared" si="135"/>
        <v>45471</v>
      </c>
      <c r="R940" s="2">
        <v>45559.405358796299</v>
      </c>
      <c r="S940">
        <f t="shared" si="136"/>
        <v>88</v>
      </c>
      <c r="T940" s="2">
        <f t="shared" si="137"/>
        <v>45471</v>
      </c>
      <c r="U940" t="str">
        <f t="shared" si="138"/>
        <v>ATRASO</v>
      </c>
    </row>
    <row r="941" spans="1:21" hidden="1">
      <c r="A941" s="1">
        <v>17367</v>
      </c>
      <c r="B941" t="s">
        <v>17</v>
      </c>
      <c r="C941" t="s">
        <v>9</v>
      </c>
      <c r="D941" t="s">
        <v>18</v>
      </c>
      <c r="E941" s="1">
        <v>1554</v>
      </c>
      <c r="F941" s="1">
        <v>2024</v>
      </c>
      <c r="G941" t="s">
        <v>11</v>
      </c>
      <c r="H941" s="2">
        <v>45418.750069444446</v>
      </c>
      <c r="I941" s="9">
        <f t="shared" si="130"/>
        <v>45421</v>
      </c>
      <c r="J941" s="2" t="str">
        <f t="shared" si="131"/>
        <v/>
      </c>
      <c r="L941" s="2" t="str">
        <f t="shared" si="132"/>
        <v/>
      </c>
      <c r="N941" s="10" t="str">
        <f t="shared" si="133"/>
        <v/>
      </c>
      <c r="O941" s="2">
        <f t="shared" si="134"/>
        <v>45421</v>
      </c>
      <c r="P941" s="2">
        <v>45420.440057870372</v>
      </c>
      <c r="Q941" s="2">
        <f t="shared" si="135"/>
        <v>45427</v>
      </c>
      <c r="R941" s="2">
        <v>45420.441157407404</v>
      </c>
      <c r="S941">
        <f t="shared" si="136"/>
        <v>0</v>
      </c>
      <c r="T941" s="2">
        <f t="shared" si="137"/>
        <v>45427</v>
      </c>
      <c r="U941" t="str">
        <f t="shared" si="138"/>
        <v>NO PRAZO</v>
      </c>
    </row>
    <row r="942" spans="1:21" hidden="1">
      <c r="A942" s="1">
        <v>17335</v>
      </c>
      <c r="B942" t="s">
        <v>23</v>
      </c>
      <c r="C942" t="s">
        <v>13</v>
      </c>
      <c r="D942" t="s">
        <v>16</v>
      </c>
      <c r="E942" s="1">
        <v>1522</v>
      </c>
      <c r="F942" s="1">
        <v>2024</v>
      </c>
      <c r="G942" t="s">
        <v>11</v>
      </c>
      <c r="H942" s="2">
        <v>45418.375092592592</v>
      </c>
      <c r="I942" s="9">
        <f t="shared" si="130"/>
        <v>45419</v>
      </c>
      <c r="J942" s="2" t="str">
        <f t="shared" si="131"/>
        <v/>
      </c>
      <c r="L942" s="2" t="str">
        <f t="shared" si="132"/>
        <v/>
      </c>
      <c r="N942" s="10" t="str">
        <f t="shared" si="133"/>
        <v/>
      </c>
      <c r="O942" s="2">
        <f t="shared" si="134"/>
        <v>45419</v>
      </c>
      <c r="P942" s="2">
        <v>45421.728877314818</v>
      </c>
      <c r="Q942" s="2">
        <f t="shared" si="135"/>
        <v>45425</v>
      </c>
      <c r="R942" s="2">
        <v>45422.789606481485</v>
      </c>
      <c r="S942">
        <f t="shared" si="136"/>
        <v>0</v>
      </c>
      <c r="T942" s="2">
        <f t="shared" si="137"/>
        <v>45425</v>
      </c>
      <c r="U942" t="str">
        <f t="shared" si="138"/>
        <v>NO PRAZO</v>
      </c>
    </row>
    <row r="943" spans="1:21" hidden="1">
      <c r="A943" s="1">
        <v>17332</v>
      </c>
      <c r="B943" t="s">
        <v>17</v>
      </c>
      <c r="C943" t="s">
        <v>13</v>
      </c>
      <c r="D943" t="s">
        <v>18</v>
      </c>
      <c r="E943" s="1">
        <v>1519</v>
      </c>
      <c r="F943" s="1">
        <v>2024</v>
      </c>
      <c r="G943" t="s">
        <v>11</v>
      </c>
      <c r="H943" s="2">
        <v>45415.750127314815</v>
      </c>
      <c r="I943" s="9">
        <f t="shared" si="130"/>
        <v>45420</v>
      </c>
      <c r="J943" s="2" t="str">
        <f t="shared" si="131"/>
        <v/>
      </c>
      <c r="L943" s="2" t="str">
        <f t="shared" si="132"/>
        <v/>
      </c>
      <c r="N943" s="10" t="str">
        <f t="shared" si="133"/>
        <v/>
      </c>
      <c r="O943" s="2">
        <f t="shared" si="134"/>
        <v>45420</v>
      </c>
      <c r="P943" s="2">
        <v>45419.560428240744</v>
      </c>
      <c r="Q943" s="2">
        <f t="shared" si="135"/>
        <v>45426</v>
      </c>
      <c r="R943" s="2">
        <v>45419.676134259258</v>
      </c>
      <c r="S943">
        <f t="shared" si="136"/>
        <v>0</v>
      </c>
      <c r="T943" s="2">
        <f t="shared" si="137"/>
        <v>45426</v>
      </c>
      <c r="U943" t="str">
        <f t="shared" si="138"/>
        <v>NO PRAZO</v>
      </c>
    </row>
    <row r="944" spans="1:21" hidden="1">
      <c r="A944" s="1">
        <v>17329</v>
      </c>
      <c r="B944" t="s">
        <v>23</v>
      </c>
      <c r="C944" t="s">
        <v>9</v>
      </c>
      <c r="D944" t="s">
        <v>18</v>
      </c>
      <c r="E944" s="1">
        <v>1516</v>
      </c>
      <c r="F944" s="1">
        <v>2024</v>
      </c>
      <c r="G944" t="s">
        <v>11</v>
      </c>
      <c r="H944" s="2">
        <v>45415.708472222221</v>
      </c>
      <c r="I944" s="9">
        <f t="shared" si="130"/>
        <v>45420</v>
      </c>
      <c r="J944" s="2" t="str">
        <f t="shared" si="131"/>
        <v/>
      </c>
      <c r="L944" s="2" t="str">
        <f t="shared" si="132"/>
        <v/>
      </c>
      <c r="N944" s="10" t="str">
        <f t="shared" si="133"/>
        <v/>
      </c>
      <c r="O944" s="2">
        <f t="shared" si="134"/>
        <v>45420</v>
      </c>
      <c r="P944" s="2">
        <v>45420.644131944442</v>
      </c>
      <c r="Q944" s="2">
        <f t="shared" si="135"/>
        <v>45426</v>
      </c>
      <c r="R944" s="2">
        <v>45421.49318287037</v>
      </c>
      <c r="S944">
        <f t="shared" si="136"/>
        <v>0</v>
      </c>
      <c r="T944" s="2">
        <f t="shared" si="137"/>
        <v>45426</v>
      </c>
      <c r="U944" t="str">
        <f t="shared" si="138"/>
        <v>NO PRAZO</v>
      </c>
    </row>
    <row r="945" spans="1:21" hidden="1">
      <c r="A945" s="1">
        <v>17279</v>
      </c>
      <c r="B945" t="s">
        <v>12</v>
      </c>
      <c r="C945" t="s">
        <v>9</v>
      </c>
      <c r="D945" t="s">
        <v>10</v>
      </c>
      <c r="E945" s="1">
        <v>1466</v>
      </c>
      <c r="F945" s="1">
        <v>2024</v>
      </c>
      <c r="G945" t="s">
        <v>11</v>
      </c>
      <c r="H945" s="2">
        <v>45411.708460648151</v>
      </c>
      <c r="I945" s="9">
        <f t="shared" si="130"/>
        <v>45412</v>
      </c>
      <c r="J945" s="2" t="str">
        <f t="shared" si="131"/>
        <v/>
      </c>
      <c r="L945" s="2" t="str">
        <f t="shared" si="132"/>
        <v/>
      </c>
      <c r="N945" s="10" t="str">
        <f t="shared" si="133"/>
        <v/>
      </c>
      <c r="O945" s="2">
        <f t="shared" si="134"/>
        <v>45412</v>
      </c>
      <c r="P945" s="2">
        <v>45412.607395833336</v>
      </c>
      <c r="Q945" s="2">
        <f t="shared" si="135"/>
        <v>45414</v>
      </c>
      <c r="R945" s="2">
        <v>45412.615902777776</v>
      </c>
      <c r="S945">
        <f t="shared" si="136"/>
        <v>0</v>
      </c>
      <c r="T945" s="2">
        <f t="shared" si="137"/>
        <v>45414</v>
      </c>
      <c r="U945" t="str">
        <f t="shared" si="138"/>
        <v>NO PRAZO</v>
      </c>
    </row>
    <row r="946" spans="1:21" hidden="1">
      <c r="A946" s="1">
        <v>17264</v>
      </c>
      <c r="B946" t="s">
        <v>23</v>
      </c>
      <c r="C946" t="s">
        <v>9</v>
      </c>
      <c r="D946" t="s">
        <v>10</v>
      </c>
      <c r="E946" s="1">
        <v>1451</v>
      </c>
      <c r="F946" s="1">
        <v>2024</v>
      </c>
      <c r="G946" t="s">
        <v>11</v>
      </c>
      <c r="H946" s="2">
        <v>45408.490393518521</v>
      </c>
      <c r="I946" s="9">
        <f t="shared" si="130"/>
        <v>45411</v>
      </c>
      <c r="J946" s="2" t="str">
        <f t="shared" si="131"/>
        <v/>
      </c>
      <c r="L946" s="2" t="str">
        <f t="shared" si="132"/>
        <v/>
      </c>
      <c r="N946" s="10" t="str">
        <f t="shared" si="133"/>
        <v/>
      </c>
      <c r="O946" s="2">
        <f t="shared" si="134"/>
        <v>45411</v>
      </c>
      <c r="P946" s="2">
        <v>45408.491724537038</v>
      </c>
      <c r="Q946" s="2">
        <f t="shared" si="135"/>
        <v>45412</v>
      </c>
      <c r="R946" s="2">
        <v>45408.510810185187</v>
      </c>
      <c r="S946">
        <f t="shared" si="136"/>
        <v>0</v>
      </c>
      <c r="T946" s="2">
        <f t="shared" si="137"/>
        <v>45412</v>
      </c>
      <c r="U946" t="str">
        <f t="shared" si="138"/>
        <v>NO PRAZO</v>
      </c>
    </row>
    <row r="947" spans="1:21" hidden="1">
      <c r="A947" s="1">
        <v>17249</v>
      </c>
      <c r="B947" t="s">
        <v>24</v>
      </c>
      <c r="C947" t="s">
        <v>13</v>
      </c>
      <c r="D947" t="s">
        <v>10</v>
      </c>
      <c r="E947" s="1">
        <v>1436</v>
      </c>
      <c r="F947" s="1">
        <v>2024</v>
      </c>
      <c r="G947" t="s">
        <v>11</v>
      </c>
      <c r="H947" s="2">
        <v>45407.583495370367</v>
      </c>
      <c r="I947" s="9">
        <f t="shared" si="130"/>
        <v>45408</v>
      </c>
      <c r="J947" s="2" t="str">
        <f t="shared" si="131"/>
        <v/>
      </c>
      <c r="L947" s="2" t="str">
        <f t="shared" si="132"/>
        <v/>
      </c>
      <c r="N947" s="10" t="str">
        <f t="shared" si="133"/>
        <v/>
      </c>
      <c r="O947" s="2">
        <f t="shared" si="134"/>
        <v>45408</v>
      </c>
      <c r="P947" s="2">
        <v>45411.58489583333</v>
      </c>
      <c r="Q947" s="2">
        <f t="shared" si="135"/>
        <v>45411</v>
      </c>
      <c r="R947" s="2">
        <v>45411.585219907407</v>
      </c>
      <c r="S947">
        <f t="shared" si="136"/>
        <v>0</v>
      </c>
      <c r="T947" s="2">
        <f t="shared" si="137"/>
        <v>45411</v>
      </c>
      <c r="U947" t="str">
        <f t="shared" si="138"/>
        <v>NO PRAZO</v>
      </c>
    </row>
    <row r="948" spans="1:21" hidden="1">
      <c r="A948" s="1">
        <v>17248</v>
      </c>
      <c r="B948" t="s">
        <v>22</v>
      </c>
      <c r="C948" t="s">
        <v>13</v>
      </c>
      <c r="D948" t="s">
        <v>10</v>
      </c>
      <c r="E948" s="1">
        <v>1435</v>
      </c>
      <c r="F948" s="1">
        <v>2024</v>
      </c>
      <c r="G948" t="s">
        <v>11</v>
      </c>
      <c r="H948" s="2">
        <v>45407.583495370367</v>
      </c>
      <c r="I948" s="9">
        <f t="shared" si="130"/>
        <v>45408</v>
      </c>
      <c r="J948" s="2" t="str">
        <f t="shared" si="131"/>
        <v/>
      </c>
      <c r="L948" s="2" t="str">
        <f t="shared" si="132"/>
        <v/>
      </c>
      <c r="N948" s="10" t="str">
        <f t="shared" si="133"/>
        <v/>
      </c>
      <c r="O948" s="2">
        <f t="shared" si="134"/>
        <v>45408</v>
      </c>
      <c r="P948" s="2">
        <v>45411.739085648151</v>
      </c>
      <c r="Q948" s="2">
        <f t="shared" si="135"/>
        <v>45411</v>
      </c>
      <c r="R948" s="2">
        <v>45411.742314814815</v>
      </c>
      <c r="S948">
        <f t="shared" si="136"/>
        <v>0</v>
      </c>
      <c r="T948" s="2">
        <f t="shared" si="137"/>
        <v>45411</v>
      </c>
      <c r="U948" t="str">
        <f t="shared" si="138"/>
        <v>NO PRAZO</v>
      </c>
    </row>
    <row r="949" spans="1:21" hidden="1">
      <c r="A949" s="1">
        <v>17246</v>
      </c>
      <c r="B949" t="s">
        <v>12</v>
      </c>
      <c r="C949" t="s">
        <v>13</v>
      </c>
      <c r="D949" t="s">
        <v>18</v>
      </c>
      <c r="E949" s="1">
        <v>1433</v>
      </c>
      <c r="F949" s="1">
        <v>2024</v>
      </c>
      <c r="G949" t="s">
        <v>11</v>
      </c>
      <c r="H949" s="2">
        <v>45407.500138888892</v>
      </c>
      <c r="I949" s="9">
        <f t="shared" si="130"/>
        <v>45412</v>
      </c>
      <c r="J949" s="2" t="str">
        <f t="shared" si="131"/>
        <v/>
      </c>
      <c r="L949" s="2" t="str">
        <f t="shared" si="132"/>
        <v/>
      </c>
      <c r="N949" s="10" t="str">
        <f t="shared" si="133"/>
        <v/>
      </c>
      <c r="O949" s="2">
        <f t="shared" si="134"/>
        <v>45412</v>
      </c>
      <c r="P949" s="2">
        <v>45408.457650462966</v>
      </c>
      <c r="Q949" s="2">
        <f t="shared" si="135"/>
        <v>45419</v>
      </c>
      <c r="R949" s="2">
        <v>45414.582604166666</v>
      </c>
      <c r="S949">
        <f t="shared" si="136"/>
        <v>0</v>
      </c>
      <c r="T949" s="2">
        <f t="shared" si="137"/>
        <v>45419</v>
      </c>
      <c r="U949" t="str">
        <f t="shared" si="138"/>
        <v>NO PRAZO</v>
      </c>
    </row>
    <row r="950" spans="1:21" hidden="1">
      <c r="A950" s="1">
        <v>17243</v>
      </c>
      <c r="B950" t="s">
        <v>23</v>
      </c>
      <c r="C950" t="s">
        <v>9</v>
      </c>
      <c r="D950" t="s">
        <v>10</v>
      </c>
      <c r="E950" s="1">
        <v>1430</v>
      </c>
      <c r="F950" s="1">
        <v>2024</v>
      </c>
      <c r="G950" t="s">
        <v>11</v>
      </c>
      <c r="H950" s="2">
        <v>45407.455601851849</v>
      </c>
      <c r="I950" s="9">
        <f t="shared" si="130"/>
        <v>45408</v>
      </c>
      <c r="J950" s="2" t="str">
        <f t="shared" si="131"/>
        <v/>
      </c>
      <c r="L950" s="2" t="str">
        <f t="shared" si="132"/>
        <v/>
      </c>
      <c r="N950" s="10" t="str">
        <f t="shared" si="133"/>
        <v/>
      </c>
      <c r="O950" s="2">
        <f t="shared" si="134"/>
        <v>45408</v>
      </c>
      <c r="P950" s="2">
        <v>45407.45621527778</v>
      </c>
      <c r="Q950" s="2">
        <f t="shared" si="135"/>
        <v>45411</v>
      </c>
      <c r="R950" s="2">
        <v>45407.46056712963</v>
      </c>
      <c r="S950">
        <f t="shared" si="136"/>
        <v>0</v>
      </c>
      <c r="T950" s="2">
        <f t="shared" si="137"/>
        <v>45411</v>
      </c>
      <c r="U950" t="str">
        <f t="shared" si="138"/>
        <v>NO PRAZO</v>
      </c>
    </row>
    <row r="951" spans="1:21" hidden="1">
      <c r="A951" s="1">
        <v>17238</v>
      </c>
      <c r="B951" t="s">
        <v>20</v>
      </c>
      <c r="C951" t="s">
        <v>13</v>
      </c>
      <c r="D951" t="s">
        <v>16</v>
      </c>
      <c r="E951" s="1">
        <v>1425</v>
      </c>
      <c r="F951" s="1">
        <v>2024</v>
      </c>
      <c r="G951" t="s">
        <v>11</v>
      </c>
      <c r="H951" s="2">
        <v>45406.708449074074</v>
      </c>
      <c r="I951" s="9">
        <f t="shared" si="130"/>
        <v>45407</v>
      </c>
      <c r="J951" s="2" t="str">
        <f t="shared" si="131"/>
        <v/>
      </c>
      <c r="L951" s="2" t="str">
        <f t="shared" si="132"/>
        <v/>
      </c>
      <c r="N951" s="10" t="str">
        <f t="shared" si="133"/>
        <v/>
      </c>
      <c r="O951" s="2">
        <f t="shared" si="134"/>
        <v>45407</v>
      </c>
      <c r="P951" s="2">
        <v>45412.433657407404</v>
      </c>
      <c r="Q951" s="2">
        <f t="shared" si="135"/>
        <v>45414</v>
      </c>
      <c r="R951" s="2">
        <v>45412.75340277778</v>
      </c>
      <c r="S951">
        <f t="shared" si="136"/>
        <v>0</v>
      </c>
      <c r="T951" s="2">
        <f t="shared" si="137"/>
        <v>45414</v>
      </c>
      <c r="U951" t="str">
        <f t="shared" si="138"/>
        <v>NO PRAZO</v>
      </c>
    </row>
    <row r="952" spans="1:21" hidden="1">
      <c r="A952" s="1">
        <v>17229</v>
      </c>
      <c r="B952" t="s">
        <v>8</v>
      </c>
      <c r="C952" t="s">
        <v>9</v>
      </c>
      <c r="D952" t="s">
        <v>10</v>
      </c>
      <c r="E952" s="1">
        <v>1416</v>
      </c>
      <c r="F952" s="1">
        <v>2024</v>
      </c>
      <c r="G952" t="s">
        <v>11</v>
      </c>
      <c r="H952" s="2">
        <v>45404.791851851849</v>
      </c>
      <c r="I952" s="9">
        <f t="shared" si="130"/>
        <v>45406</v>
      </c>
      <c r="J952" s="2" t="str">
        <f t="shared" si="131"/>
        <v/>
      </c>
      <c r="L952" s="2" t="str">
        <f t="shared" si="132"/>
        <v/>
      </c>
      <c r="N952" s="10" t="str">
        <f t="shared" si="133"/>
        <v/>
      </c>
      <c r="O952" s="2">
        <f t="shared" si="134"/>
        <v>45406</v>
      </c>
      <c r="P952" s="2">
        <v>45406.490081018521</v>
      </c>
      <c r="Q952" s="2">
        <f t="shared" si="135"/>
        <v>45407</v>
      </c>
      <c r="R952" s="2">
        <v>45406.711018518516</v>
      </c>
      <c r="S952">
        <f t="shared" si="136"/>
        <v>0</v>
      </c>
      <c r="T952" s="2">
        <f t="shared" si="137"/>
        <v>45407</v>
      </c>
      <c r="U952" t="str">
        <f t="shared" si="138"/>
        <v>NO PRAZO</v>
      </c>
    </row>
    <row r="953" spans="1:21" hidden="1">
      <c r="A953" s="1">
        <v>17225</v>
      </c>
      <c r="B953" t="s">
        <v>19</v>
      </c>
      <c r="C953" t="s">
        <v>13</v>
      </c>
      <c r="D953" t="s">
        <v>18</v>
      </c>
      <c r="E953" s="1">
        <v>1412</v>
      </c>
      <c r="F953" s="1">
        <v>2024</v>
      </c>
      <c r="G953" t="s">
        <v>11</v>
      </c>
      <c r="H953" s="2">
        <v>45404.708541666667</v>
      </c>
      <c r="I953" s="9">
        <f t="shared" si="130"/>
        <v>45408</v>
      </c>
      <c r="J953" s="2" t="str">
        <f t="shared" si="131"/>
        <v/>
      </c>
      <c r="L953" s="2" t="str">
        <f t="shared" si="132"/>
        <v/>
      </c>
      <c r="N953" s="10" t="str">
        <f t="shared" si="133"/>
        <v/>
      </c>
      <c r="O953" s="2">
        <f t="shared" si="134"/>
        <v>45408</v>
      </c>
      <c r="P953" s="2">
        <v>45408.644953703704</v>
      </c>
      <c r="Q953" s="2">
        <f t="shared" si="135"/>
        <v>45415</v>
      </c>
      <c r="R953" s="2">
        <v>45411.416527777779</v>
      </c>
      <c r="S953">
        <f t="shared" si="136"/>
        <v>0</v>
      </c>
      <c r="T953" s="2">
        <f t="shared" si="137"/>
        <v>45415</v>
      </c>
      <c r="U953" t="str">
        <f t="shared" si="138"/>
        <v>NO PRAZO</v>
      </c>
    </row>
    <row r="954" spans="1:21" hidden="1">
      <c r="A954" s="1">
        <v>17221</v>
      </c>
      <c r="B954" t="s">
        <v>20</v>
      </c>
      <c r="C954" t="s">
        <v>13</v>
      </c>
      <c r="D954" t="s">
        <v>18</v>
      </c>
      <c r="E954" s="1">
        <v>1408</v>
      </c>
      <c r="F954" s="1">
        <v>2024</v>
      </c>
      <c r="G954" t="s">
        <v>11</v>
      </c>
      <c r="H954" s="2">
        <v>45404.66684027778</v>
      </c>
      <c r="I954" s="9">
        <f t="shared" si="130"/>
        <v>45408</v>
      </c>
      <c r="J954" s="2" t="str">
        <f t="shared" si="131"/>
        <v/>
      </c>
      <c r="L954" s="2" t="str">
        <f t="shared" si="132"/>
        <v/>
      </c>
      <c r="N954" s="10" t="str">
        <f t="shared" si="133"/>
        <v/>
      </c>
      <c r="O954" s="2">
        <f t="shared" si="134"/>
        <v>45408</v>
      </c>
      <c r="P954" s="2">
        <v>45406.726226851853</v>
      </c>
      <c r="Q954" s="2">
        <f t="shared" si="135"/>
        <v>45415</v>
      </c>
      <c r="R954" s="2">
        <v>45407.87228009259</v>
      </c>
      <c r="S954">
        <f t="shared" si="136"/>
        <v>0</v>
      </c>
      <c r="T954" s="2">
        <f t="shared" si="137"/>
        <v>45415</v>
      </c>
      <c r="U954" t="str">
        <f t="shared" si="138"/>
        <v>NO PRAZO</v>
      </c>
    </row>
    <row r="955" spans="1:21" hidden="1">
      <c r="A955" s="1">
        <v>17213</v>
      </c>
      <c r="B955" t="s">
        <v>12</v>
      </c>
      <c r="C955" t="s">
        <v>9</v>
      </c>
      <c r="D955" t="s">
        <v>10</v>
      </c>
      <c r="E955" s="1">
        <v>1400</v>
      </c>
      <c r="F955" s="1">
        <v>2024</v>
      </c>
      <c r="G955" t="s">
        <v>11</v>
      </c>
      <c r="H955" s="2">
        <v>45401.708425925928</v>
      </c>
      <c r="I955" s="9">
        <f t="shared" si="130"/>
        <v>45404</v>
      </c>
      <c r="J955" s="2" t="str">
        <f t="shared" si="131"/>
        <v/>
      </c>
      <c r="L955" s="2" t="str">
        <f t="shared" si="132"/>
        <v/>
      </c>
      <c r="N955" s="10" t="str">
        <f t="shared" si="133"/>
        <v/>
      </c>
      <c r="O955" s="2">
        <f t="shared" si="134"/>
        <v>45404</v>
      </c>
      <c r="P955" s="2">
        <v>45404.484363425923</v>
      </c>
      <c r="Q955" s="2">
        <f t="shared" si="135"/>
        <v>45406</v>
      </c>
      <c r="R955" s="2">
        <v>45404.697268518517</v>
      </c>
      <c r="S955">
        <f t="shared" si="136"/>
        <v>0</v>
      </c>
      <c r="T955" s="2">
        <f t="shared" si="137"/>
        <v>45406</v>
      </c>
      <c r="U955" t="str">
        <f t="shared" si="138"/>
        <v>NO PRAZO</v>
      </c>
    </row>
    <row r="956" spans="1:21" hidden="1">
      <c r="A956" s="1">
        <v>17199</v>
      </c>
      <c r="B956" t="s">
        <v>8</v>
      </c>
      <c r="C956" t="s">
        <v>9</v>
      </c>
      <c r="D956" t="s">
        <v>10</v>
      </c>
      <c r="E956" s="1">
        <v>1386</v>
      </c>
      <c r="F956" s="1">
        <v>2024</v>
      </c>
      <c r="G956" t="s">
        <v>11</v>
      </c>
      <c r="H956" s="2">
        <v>45400.583460648151</v>
      </c>
      <c r="I956" s="9">
        <f t="shared" si="130"/>
        <v>45401</v>
      </c>
      <c r="J956" s="2" t="str">
        <f t="shared" si="131"/>
        <v/>
      </c>
      <c r="L956" s="2" t="str">
        <f t="shared" si="132"/>
        <v/>
      </c>
      <c r="N956" s="10" t="str">
        <f t="shared" si="133"/>
        <v/>
      </c>
      <c r="O956" s="2">
        <f t="shared" si="134"/>
        <v>45401</v>
      </c>
      <c r="P956" s="2">
        <v>45404.666250000002</v>
      </c>
      <c r="Q956" s="2">
        <f t="shared" si="135"/>
        <v>45404</v>
      </c>
      <c r="R956" s="2">
        <v>45404.695752314816</v>
      </c>
      <c r="S956">
        <f t="shared" si="136"/>
        <v>0</v>
      </c>
      <c r="T956" s="2">
        <f t="shared" si="137"/>
        <v>45404</v>
      </c>
      <c r="U956" t="str">
        <f t="shared" si="138"/>
        <v>NO PRAZO</v>
      </c>
    </row>
    <row r="957" spans="1:21" hidden="1">
      <c r="A957" s="1">
        <v>17191</v>
      </c>
      <c r="B957" t="s">
        <v>23</v>
      </c>
      <c r="C957" t="s">
        <v>9</v>
      </c>
      <c r="D957" t="s">
        <v>10</v>
      </c>
      <c r="E957" s="1">
        <v>1378</v>
      </c>
      <c r="F957" s="1">
        <v>2024</v>
      </c>
      <c r="G957" t="s">
        <v>11</v>
      </c>
      <c r="H957" s="2">
        <v>45400.417384259257</v>
      </c>
      <c r="I957" s="9">
        <f t="shared" si="130"/>
        <v>45401</v>
      </c>
      <c r="J957" s="2" t="str">
        <f t="shared" si="131"/>
        <v/>
      </c>
      <c r="L957" s="2" t="str">
        <f t="shared" si="132"/>
        <v/>
      </c>
      <c r="N957" s="10" t="str">
        <f t="shared" si="133"/>
        <v/>
      </c>
      <c r="O957" s="2">
        <f t="shared" si="134"/>
        <v>45401</v>
      </c>
      <c r="P957" s="2">
        <v>45400.418749999997</v>
      </c>
      <c r="Q957" s="2">
        <f t="shared" si="135"/>
        <v>45404</v>
      </c>
      <c r="R957" s="2">
        <v>45400.486377314817</v>
      </c>
      <c r="S957">
        <f t="shared" si="136"/>
        <v>0</v>
      </c>
      <c r="T957" s="2">
        <f t="shared" si="137"/>
        <v>45404</v>
      </c>
      <c r="U957" t="str">
        <f t="shared" si="138"/>
        <v>NO PRAZO</v>
      </c>
    </row>
    <row r="958" spans="1:21" hidden="1">
      <c r="A958" s="1">
        <v>17190</v>
      </c>
      <c r="B958" t="s">
        <v>8</v>
      </c>
      <c r="C958" t="s">
        <v>13</v>
      </c>
      <c r="D958" t="s">
        <v>18</v>
      </c>
      <c r="E958" s="1">
        <v>1377</v>
      </c>
      <c r="F958" s="1">
        <v>2024</v>
      </c>
      <c r="G958" t="s">
        <v>11</v>
      </c>
      <c r="H958" s="2">
        <v>45400.375150462962</v>
      </c>
      <c r="I958" s="9">
        <f t="shared" si="130"/>
        <v>45406</v>
      </c>
      <c r="J958" s="2" t="str">
        <f t="shared" si="131"/>
        <v/>
      </c>
      <c r="L958" s="2" t="str">
        <f t="shared" si="132"/>
        <v/>
      </c>
      <c r="N958" s="10" t="str">
        <f t="shared" si="133"/>
        <v/>
      </c>
      <c r="O958" s="2">
        <f t="shared" si="134"/>
        <v>45406</v>
      </c>
      <c r="P958" s="2">
        <v>45401.590891203705</v>
      </c>
      <c r="Q958" s="2">
        <f t="shared" si="135"/>
        <v>45412</v>
      </c>
      <c r="R958" s="2">
        <v>45401.591157407405</v>
      </c>
      <c r="S958">
        <f t="shared" si="136"/>
        <v>0</v>
      </c>
      <c r="T958" s="2">
        <f t="shared" si="137"/>
        <v>45412</v>
      </c>
      <c r="U958" t="str">
        <f t="shared" si="138"/>
        <v>NO PRAZO</v>
      </c>
    </row>
    <row r="959" spans="1:21" hidden="1">
      <c r="A959" s="1">
        <v>17189</v>
      </c>
      <c r="B959" t="s">
        <v>20</v>
      </c>
      <c r="C959" t="s">
        <v>13</v>
      </c>
      <c r="D959" t="s">
        <v>16</v>
      </c>
      <c r="E959" s="1">
        <v>1376</v>
      </c>
      <c r="F959" s="1">
        <v>2024</v>
      </c>
      <c r="G959" t="s">
        <v>11</v>
      </c>
      <c r="H959" s="2">
        <v>45400.375150462962</v>
      </c>
      <c r="I959" s="9">
        <f t="shared" si="130"/>
        <v>45401</v>
      </c>
      <c r="J959" s="2" t="str">
        <f t="shared" si="131"/>
        <v/>
      </c>
      <c r="L959" s="2" t="str">
        <f t="shared" si="132"/>
        <v/>
      </c>
      <c r="N959" s="10" t="str">
        <f t="shared" si="133"/>
        <v/>
      </c>
      <c r="O959" s="2">
        <f t="shared" si="134"/>
        <v>45401</v>
      </c>
      <c r="P959" s="2">
        <v>45401.416192129633</v>
      </c>
      <c r="Q959" s="2">
        <f t="shared" si="135"/>
        <v>45408</v>
      </c>
      <c r="R959" s="2">
        <v>45407.345277777778</v>
      </c>
      <c r="S959">
        <f t="shared" si="136"/>
        <v>0</v>
      </c>
      <c r="T959" s="2">
        <f t="shared" si="137"/>
        <v>45408</v>
      </c>
      <c r="U959" t="str">
        <f t="shared" si="138"/>
        <v>NO PRAZO</v>
      </c>
    </row>
    <row r="960" spans="1:21" hidden="1">
      <c r="A960" s="1">
        <v>17187</v>
      </c>
      <c r="B960" t="s">
        <v>19</v>
      </c>
      <c r="C960" t="s">
        <v>13</v>
      </c>
      <c r="D960" t="s">
        <v>18</v>
      </c>
      <c r="E960" s="1">
        <v>1374</v>
      </c>
      <c r="F960" s="1">
        <v>2024</v>
      </c>
      <c r="G960" t="s">
        <v>11</v>
      </c>
      <c r="H960" s="2">
        <v>45399.79179398148</v>
      </c>
      <c r="I960" s="9">
        <f t="shared" ref="I960:I1023" si="139">IF(OR(D960="ORIENTAÇÃO",D960="BUG IMPEDITIVO",D960="BUG NÃO IMPEDITIVO"),WORKDAY(H960,1,Z$2:Z$500),IF(OR(D960="MELHORIA PEQUENA",D960="MELHORIA MÉDIA"),WORKDAY(H960,3,Z$2:Z$500),""))</f>
        <v>45404</v>
      </c>
      <c r="J960" s="2" t="str">
        <f t="shared" si="131"/>
        <v/>
      </c>
      <c r="L960" s="2" t="str">
        <f t="shared" si="132"/>
        <v/>
      </c>
      <c r="N960" s="10" t="str">
        <f t="shared" si="133"/>
        <v/>
      </c>
      <c r="O960" s="2">
        <f t="shared" si="134"/>
        <v>45404</v>
      </c>
      <c r="P960" s="2">
        <v>45404.500231481485</v>
      </c>
      <c r="Q960" s="2">
        <f t="shared" si="135"/>
        <v>45411</v>
      </c>
      <c r="R960" s="2">
        <v>45404.500381944446</v>
      </c>
      <c r="S960">
        <f t="shared" si="136"/>
        <v>0</v>
      </c>
      <c r="T960" s="2">
        <f t="shared" si="137"/>
        <v>45411</v>
      </c>
      <c r="U960" t="str">
        <f t="shared" si="138"/>
        <v>NO PRAZO</v>
      </c>
    </row>
    <row r="961" spans="1:21" hidden="1">
      <c r="A961" s="1">
        <v>17182</v>
      </c>
      <c r="B961" t="s">
        <v>24</v>
      </c>
      <c r="C961" t="s">
        <v>13</v>
      </c>
      <c r="D961" t="s">
        <v>10</v>
      </c>
      <c r="E961" s="1">
        <v>1369</v>
      </c>
      <c r="F961" s="1">
        <v>2024</v>
      </c>
      <c r="G961" t="s">
        <v>11</v>
      </c>
      <c r="H961" s="2">
        <v>45399.500150462962</v>
      </c>
      <c r="I961" s="9">
        <f t="shared" si="139"/>
        <v>45400</v>
      </c>
      <c r="J961" s="2" t="str">
        <f t="shared" si="131"/>
        <v/>
      </c>
      <c r="L961" s="2" t="str">
        <f t="shared" si="132"/>
        <v/>
      </c>
      <c r="N961" s="10" t="str">
        <f t="shared" si="133"/>
        <v/>
      </c>
      <c r="O961" s="2">
        <f t="shared" si="134"/>
        <v>45400</v>
      </c>
      <c r="P961" s="2">
        <v>45401.736226851855</v>
      </c>
      <c r="Q961" s="2">
        <f t="shared" si="135"/>
        <v>45401</v>
      </c>
      <c r="R961" s="2">
        <v>45401.73678240741</v>
      </c>
      <c r="S961">
        <f t="shared" si="136"/>
        <v>0</v>
      </c>
      <c r="T961" s="2">
        <f t="shared" si="137"/>
        <v>45401</v>
      </c>
      <c r="U961" t="str">
        <f t="shared" si="138"/>
        <v>NO PRAZO</v>
      </c>
    </row>
    <row r="962" spans="1:21" hidden="1">
      <c r="A962" s="1">
        <v>17178</v>
      </c>
      <c r="B962" t="s">
        <v>24</v>
      </c>
      <c r="C962" t="s">
        <v>13</v>
      </c>
      <c r="D962" t="s">
        <v>10</v>
      </c>
      <c r="E962" s="1">
        <v>1365</v>
      </c>
      <c r="F962" s="1">
        <v>2024</v>
      </c>
      <c r="G962" t="s">
        <v>11</v>
      </c>
      <c r="H962" s="2">
        <v>45399.458402777775</v>
      </c>
      <c r="I962" s="9">
        <f t="shared" si="139"/>
        <v>45400</v>
      </c>
      <c r="J962" s="2" t="str">
        <f t="shared" si="131"/>
        <v/>
      </c>
      <c r="L962" s="2" t="str">
        <f t="shared" si="132"/>
        <v/>
      </c>
      <c r="N962" s="10" t="str">
        <f t="shared" si="133"/>
        <v/>
      </c>
      <c r="O962" s="2">
        <f t="shared" si="134"/>
        <v>45400</v>
      </c>
      <c r="P962" s="2">
        <v>45400.569803240738</v>
      </c>
      <c r="Q962" s="2">
        <f t="shared" si="135"/>
        <v>45401</v>
      </c>
      <c r="R962" s="2">
        <v>45400.681828703702</v>
      </c>
      <c r="S962">
        <f t="shared" si="136"/>
        <v>0</v>
      </c>
      <c r="T962" s="2">
        <f t="shared" si="137"/>
        <v>45401</v>
      </c>
      <c r="U962" t="str">
        <f t="shared" si="138"/>
        <v>NO PRAZO</v>
      </c>
    </row>
    <row r="963" spans="1:21">
      <c r="A963" s="1">
        <v>17167</v>
      </c>
      <c r="B963" t="s">
        <v>22</v>
      </c>
      <c r="C963" t="s">
        <v>13</v>
      </c>
      <c r="D963" t="s">
        <v>10</v>
      </c>
      <c r="E963" s="1">
        <v>1354</v>
      </c>
      <c r="F963" s="1">
        <v>2024</v>
      </c>
      <c r="G963" t="s">
        <v>11</v>
      </c>
      <c r="H963" s="2">
        <v>45398.666805555556</v>
      </c>
      <c r="I963" s="9">
        <f t="shared" si="139"/>
        <v>45399</v>
      </c>
      <c r="J963" s="2" t="str">
        <f t="shared" ref="J963:J1026" si="140">IF(K963&lt;&gt;"",I963,"")</f>
        <v/>
      </c>
      <c r="L963" s="2" t="str">
        <f t="shared" ref="L963:L1026" si="141">IF(J963="","",WORKDAY(J963,14,Z$2:Z$500))</f>
        <v/>
      </c>
      <c r="N963" s="10" t="str">
        <f t="shared" ref="N963:N1026" si="142">IF(M963="","",MAX(0,INT(M963)-INT(L963)))</f>
        <v/>
      </c>
      <c r="O963" s="2">
        <f t="shared" ref="O963:O1026" si="143">IF(L963="",I963,WORKDAY(L963,1,Z$2:Z$500))</f>
        <v>45399</v>
      </c>
      <c r="P963" s="2">
        <v>45441.422592592593</v>
      </c>
      <c r="Q963" s="2">
        <f t="shared" ref="Q963:Q1026" si="144">IF(OR(D963="ORIENTAÇÃO",D963="BUG IMPEDITIVO"),WORKDAY(O963,1,Z$2:Z$500),IF(OR(D963="MELHORIA PEQUENA",D963="BUG NÃO IMPEDITIVO"),WORKDAY(O963,4,Z$2:Z$500),IF(D963="MELHORIA MÉDIA",WORKDAY(O963,19,Z$2:Z$500),"")))</f>
        <v>45400</v>
      </c>
      <c r="R963" s="2">
        <v>45441.712627314817</v>
      </c>
      <c r="S963">
        <f t="shared" ref="S963:S1026" si="145">MAX(0,INT(R963)-INT(Q963))</f>
        <v>41</v>
      </c>
      <c r="T963" s="2">
        <f t="shared" ref="T963:T1026" si="146">IF(D963="MELHORIA MÉDIA",IF(K963&lt;&gt;"",WORKDAY(I963,34,$Z$2:$Z$1000),WORKDAY(I963,19,$Z$2:$Z$1000)),IF(OR(D963="MELHORIA PEQUENA",D963="BUG NÃO IMPEDITIVO"),WORKDAY(I963,4,$Z$2:$Z$1000),IF(OR(D963="ORIENTAÇÃO",D963="BUG IMPEDITIVO"),WORKDAY(I963,1,$Z$2:$Z$1000),"")))</f>
        <v>45400</v>
      </c>
      <c r="U963" t="str">
        <f t="shared" ref="U963:U1026" si="147">IF(INT(R963)&lt;=INT(T963),"NO PRAZO","ATRASO")</f>
        <v>ATRASO</v>
      </c>
    </row>
    <row r="964" spans="1:21" hidden="1">
      <c r="A964" s="1">
        <v>17161</v>
      </c>
      <c r="B964" t="s">
        <v>19</v>
      </c>
      <c r="C964" t="s">
        <v>13</v>
      </c>
      <c r="D964" t="s">
        <v>18</v>
      </c>
      <c r="E964" s="1">
        <v>1348</v>
      </c>
      <c r="F964" s="1">
        <v>2024</v>
      </c>
      <c r="G964" t="s">
        <v>11</v>
      </c>
      <c r="H964" s="2">
        <v>45398.500115740739</v>
      </c>
      <c r="I964" s="9">
        <f t="shared" si="139"/>
        <v>45401</v>
      </c>
      <c r="J964" s="2" t="str">
        <f t="shared" si="140"/>
        <v/>
      </c>
      <c r="L964" s="2" t="str">
        <f t="shared" si="141"/>
        <v/>
      </c>
      <c r="N964" s="10" t="str">
        <f t="shared" si="142"/>
        <v/>
      </c>
      <c r="O964" s="2">
        <f t="shared" si="143"/>
        <v>45401</v>
      </c>
      <c r="P964" s="2">
        <v>45406.658912037034</v>
      </c>
      <c r="Q964" s="2">
        <f t="shared" si="144"/>
        <v>45408</v>
      </c>
      <c r="R964" s="2">
        <v>45406.659062500003</v>
      </c>
      <c r="S964">
        <f t="shared" si="145"/>
        <v>0</v>
      </c>
      <c r="T964" s="2">
        <f t="shared" si="146"/>
        <v>45408</v>
      </c>
      <c r="U964" t="str">
        <f t="shared" si="147"/>
        <v>NO PRAZO</v>
      </c>
    </row>
    <row r="965" spans="1:21" hidden="1">
      <c r="A965" s="1">
        <v>17155</v>
      </c>
      <c r="B965" t="s">
        <v>8</v>
      </c>
      <c r="C965" t="s">
        <v>9</v>
      </c>
      <c r="D965" t="s">
        <v>10</v>
      </c>
      <c r="E965" s="1">
        <v>1342</v>
      </c>
      <c r="F965" s="1">
        <v>2024</v>
      </c>
      <c r="G965" t="s">
        <v>11</v>
      </c>
      <c r="H965" s="2">
        <v>45397.583495370367</v>
      </c>
      <c r="I965" s="9">
        <f t="shared" si="139"/>
        <v>45398</v>
      </c>
      <c r="J965" s="2" t="str">
        <f t="shared" si="140"/>
        <v/>
      </c>
      <c r="L965" s="2" t="str">
        <f t="shared" si="141"/>
        <v/>
      </c>
      <c r="N965" s="10" t="str">
        <f t="shared" si="142"/>
        <v/>
      </c>
      <c r="O965" s="2">
        <f t="shared" si="143"/>
        <v>45398</v>
      </c>
      <c r="P965" s="2">
        <v>45397.656886574077</v>
      </c>
      <c r="Q965" s="2">
        <f t="shared" si="144"/>
        <v>45399</v>
      </c>
      <c r="R965" s="2">
        <v>45398.468807870369</v>
      </c>
      <c r="S965">
        <f t="shared" si="145"/>
        <v>0</v>
      </c>
      <c r="T965" s="2">
        <f t="shared" si="146"/>
        <v>45399</v>
      </c>
      <c r="U965" t="str">
        <f t="shared" si="147"/>
        <v>NO PRAZO</v>
      </c>
    </row>
    <row r="966" spans="1:21" hidden="1">
      <c r="A966" s="1">
        <v>17152</v>
      </c>
      <c r="B966" t="s">
        <v>23</v>
      </c>
      <c r="C966" t="s">
        <v>13</v>
      </c>
      <c r="D966" t="s">
        <v>10</v>
      </c>
      <c r="E966" s="1">
        <v>1339</v>
      </c>
      <c r="F966" s="1">
        <v>2024</v>
      </c>
      <c r="G966" t="s">
        <v>11</v>
      </c>
      <c r="H966" s="2">
        <v>45397.500127314815</v>
      </c>
      <c r="I966" s="9">
        <f t="shared" si="139"/>
        <v>45398</v>
      </c>
      <c r="J966" s="2" t="str">
        <f t="shared" si="140"/>
        <v/>
      </c>
      <c r="L966" s="2" t="str">
        <f t="shared" si="141"/>
        <v/>
      </c>
      <c r="N966" s="10" t="str">
        <f t="shared" si="142"/>
        <v/>
      </c>
      <c r="O966" s="2">
        <f t="shared" si="143"/>
        <v>45398</v>
      </c>
      <c r="P966" s="2">
        <v>45397.65960648148</v>
      </c>
      <c r="Q966" s="2">
        <f t="shared" si="144"/>
        <v>45399</v>
      </c>
      <c r="R966" s="2">
        <v>45397.71539351852</v>
      </c>
      <c r="S966">
        <f t="shared" si="145"/>
        <v>0</v>
      </c>
      <c r="T966" s="2">
        <f t="shared" si="146"/>
        <v>45399</v>
      </c>
      <c r="U966" t="str">
        <f t="shared" si="147"/>
        <v>NO PRAZO</v>
      </c>
    </row>
    <row r="967" spans="1:21" hidden="1">
      <c r="A967" s="1">
        <v>17147</v>
      </c>
      <c r="B967" t="s">
        <v>12</v>
      </c>
      <c r="C967" t="s">
        <v>13</v>
      </c>
      <c r="D967" t="s">
        <v>16</v>
      </c>
      <c r="E967" s="1">
        <v>1334</v>
      </c>
      <c r="F967" s="1">
        <v>2024</v>
      </c>
      <c r="G967" t="s">
        <v>11</v>
      </c>
      <c r="H967" s="2">
        <v>45394.708344907405</v>
      </c>
      <c r="I967" s="9">
        <f t="shared" si="139"/>
        <v>45397</v>
      </c>
      <c r="J967" s="2" t="str">
        <f t="shared" si="140"/>
        <v/>
      </c>
      <c r="L967" s="2" t="str">
        <f t="shared" si="141"/>
        <v/>
      </c>
      <c r="N967" s="10" t="str">
        <f t="shared" si="142"/>
        <v/>
      </c>
      <c r="O967" s="2">
        <f t="shared" si="143"/>
        <v>45397</v>
      </c>
      <c r="P967" s="2">
        <v>45397.407013888886</v>
      </c>
      <c r="Q967" s="2">
        <f t="shared" si="144"/>
        <v>45401</v>
      </c>
      <c r="R967" s="2">
        <v>45397.745659722219</v>
      </c>
      <c r="S967">
        <f t="shared" si="145"/>
        <v>0</v>
      </c>
      <c r="T967" s="2">
        <f t="shared" si="146"/>
        <v>45401</v>
      </c>
      <c r="U967" t="str">
        <f t="shared" si="147"/>
        <v>NO PRAZO</v>
      </c>
    </row>
    <row r="968" spans="1:21" hidden="1">
      <c r="A968" s="1">
        <v>17146</v>
      </c>
      <c r="B968" t="s">
        <v>12</v>
      </c>
      <c r="C968" t="s">
        <v>13</v>
      </c>
      <c r="D968" t="s">
        <v>21</v>
      </c>
      <c r="E968" s="1">
        <v>1333</v>
      </c>
      <c r="F968" s="1">
        <v>2024</v>
      </c>
      <c r="G968" t="s">
        <v>11</v>
      </c>
      <c r="H968" s="2">
        <v>45394.666689814818</v>
      </c>
      <c r="I968" s="9">
        <f t="shared" si="139"/>
        <v>45399</v>
      </c>
      <c r="J968" s="2">
        <f t="shared" si="140"/>
        <v>45399</v>
      </c>
      <c r="K968" s="2">
        <v>45412.5003125</v>
      </c>
      <c r="L968" s="2">
        <f t="shared" si="141"/>
        <v>45421</v>
      </c>
      <c r="M968" s="2">
        <v>45432.675902777781</v>
      </c>
      <c r="N968" s="10">
        <f t="shared" si="142"/>
        <v>11</v>
      </c>
      <c r="O968" s="2">
        <f t="shared" si="143"/>
        <v>45422</v>
      </c>
      <c r="P968" s="2">
        <v>45421.424456018518</v>
      </c>
      <c r="Q968" s="2">
        <f t="shared" si="144"/>
        <v>45450</v>
      </c>
      <c r="R968" s="2">
        <v>45448.505613425928</v>
      </c>
      <c r="S968">
        <f t="shared" si="145"/>
        <v>0</v>
      </c>
      <c r="T968" s="2">
        <f t="shared" si="146"/>
        <v>45450</v>
      </c>
      <c r="U968" t="str">
        <f t="shared" si="147"/>
        <v>NO PRAZO</v>
      </c>
    </row>
    <row r="969" spans="1:21" hidden="1">
      <c r="A969" s="1">
        <v>17145</v>
      </c>
      <c r="B969" t="s">
        <v>17</v>
      </c>
      <c r="C969" t="s">
        <v>9</v>
      </c>
      <c r="D969" t="s">
        <v>18</v>
      </c>
      <c r="E969" s="1">
        <v>1332</v>
      </c>
      <c r="F969" s="1">
        <v>2024</v>
      </c>
      <c r="G969" t="s">
        <v>11</v>
      </c>
      <c r="H969" s="2">
        <v>45394.666689814818</v>
      </c>
      <c r="I969" s="9">
        <f t="shared" si="139"/>
        <v>45399</v>
      </c>
      <c r="J969" s="2" t="str">
        <f t="shared" si="140"/>
        <v/>
      </c>
      <c r="L969" s="2" t="str">
        <f t="shared" si="141"/>
        <v/>
      </c>
      <c r="N969" s="10" t="str">
        <f t="shared" si="142"/>
        <v/>
      </c>
      <c r="O969" s="2">
        <f t="shared" si="143"/>
        <v>45399</v>
      </c>
      <c r="P969" s="2">
        <v>45398.377372685187</v>
      </c>
      <c r="Q969" s="2">
        <f t="shared" si="144"/>
        <v>45406</v>
      </c>
      <c r="R969" s="2">
        <v>45398.407048611109</v>
      </c>
      <c r="S969">
        <f t="shared" si="145"/>
        <v>0</v>
      </c>
      <c r="T969" s="2">
        <f t="shared" si="146"/>
        <v>45406</v>
      </c>
      <c r="U969" t="str">
        <f t="shared" si="147"/>
        <v>NO PRAZO</v>
      </c>
    </row>
    <row r="970" spans="1:21" hidden="1">
      <c r="A970" s="1">
        <v>17144</v>
      </c>
      <c r="B970" t="s">
        <v>22</v>
      </c>
      <c r="C970" t="s">
        <v>13</v>
      </c>
      <c r="D970" t="s">
        <v>10</v>
      </c>
      <c r="E970" s="1">
        <v>1331</v>
      </c>
      <c r="F970" s="1">
        <v>2024</v>
      </c>
      <c r="G970" t="s">
        <v>11</v>
      </c>
      <c r="H970" s="2">
        <v>45394.666689814818</v>
      </c>
      <c r="I970" s="9">
        <f t="shared" si="139"/>
        <v>45397</v>
      </c>
      <c r="J970" s="2" t="str">
        <f t="shared" si="140"/>
        <v/>
      </c>
      <c r="L970" s="2" t="str">
        <f t="shared" si="141"/>
        <v/>
      </c>
      <c r="N970" s="10" t="str">
        <f t="shared" si="142"/>
        <v/>
      </c>
      <c r="O970" s="2">
        <f t="shared" si="143"/>
        <v>45397</v>
      </c>
      <c r="P970" s="2">
        <v>45398.596828703703</v>
      </c>
      <c r="Q970" s="2">
        <f t="shared" si="144"/>
        <v>45398</v>
      </c>
      <c r="R970" s="2">
        <v>45398.931377314817</v>
      </c>
      <c r="S970">
        <f t="shared" si="145"/>
        <v>0</v>
      </c>
      <c r="T970" s="2">
        <f t="shared" si="146"/>
        <v>45398</v>
      </c>
      <c r="U970" t="str">
        <f t="shared" si="147"/>
        <v>NO PRAZO</v>
      </c>
    </row>
    <row r="971" spans="1:21" hidden="1">
      <c r="A971" s="1">
        <v>17135</v>
      </c>
      <c r="B971" t="s">
        <v>20</v>
      </c>
      <c r="C971" t="s">
        <v>13</v>
      </c>
      <c r="D971" t="s">
        <v>10</v>
      </c>
      <c r="E971" s="1">
        <v>1322</v>
      </c>
      <c r="F971" s="1">
        <v>2024</v>
      </c>
      <c r="G971" t="s">
        <v>11</v>
      </c>
      <c r="H971" s="2">
        <v>45394.458321759259</v>
      </c>
      <c r="I971" s="9">
        <f t="shared" si="139"/>
        <v>45397</v>
      </c>
      <c r="J971" s="2" t="str">
        <f t="shared" si="140"/>
        <v/>
      </c>
      <c r="L971" s="2" t="str">
        <f t="shared" si="141"/>
        <v/>
      </c>
      <c r="N971" s="10" t="str">
        <f t="shared" si="142"/>
        <v/>
      </c>
      <c r="O971" s="2">
        <f t="shared" si="143"/>
        <v>45397</v>
      </c>
      <c r="P971" s="2">
        <v>45398.634398148148</v>
      </c>
      <c r="Q971" s="2">
        <f t="shared" si="144"/>
        <v>45398</v>
      </c>
      <c r="R971" s="2">
        <v>45398.931030092594</v>
      </c>
      <c r="S971">
        <f t="shared" si="145"/>
        <v>0</v>
      </c>
      <c r="T971" s="2">
        <f t="shared" si="146"/>
        <v>45398</v>
      </c>
      <c r="U971" t="str">
        <f t="shared" si="147"/>
        <v>NO PRAZO</v>
      </c>
    </row>
    <row r="972" spans="1:21" hidden="1">
      <c r="A972" s="1">
        <v>17126</v>
      </c>
      <c r="B972" t="s">
        <v>19</v>
      </c>
      <c r="C972" t="s">
        <v>13</v>
      </c>
      <c r="D972" t="s">
        <v>21</v>
      </c>
      <c r="E972" s="1">
        <v>1313</v>
      </c>
      <c r="F972" s="1">
        <v>2024</v>
      </c>
      <c r="G972" t="s">
        <v>11</v>
      </c>
      <c r="H972" s="2">
        <v>45393.666678240741</v>
      </c>
      <c r="I972" s="9">
        <f t="shared" si="139"/>
        <v>45398</v>
      </c>
      <c r="J972" s="2" t="str">
        <f t="shared" si="140"/>
        <v/>
      </c>
      <c r="L972" s="2" t="str">
        <f t="shared" si="141"/>
        <v/>
      </c>
      <c r="N972" s="10" t="str">
        <f t="shared" si="142"/>
        <v/>
      </c>
      <c r="O972" s="2">
        <f t="shared" si="143"/>
        <v>45398</v>
      </c>
      <c r="P972" s="2">
        <v>45404.612245370372</v>
      </c>
      <c r="Q972" s="2">
        <f t="shared" si="144"/>
        <v>45427</v>
      </c>
      <c r="R972" s="2">
        <v>45404.61273148148</v>
      </c>
      <c r="S972">
        <f t="shared" si="145"/>
        <v>0</v>
      </c>
      <c r="T972" s="2">
        <f t="shared" si="146"/>
        <v>45427</v>
      </c>
      <c r="U972" t="str">
        <f t="shared" si="147"/>
        <v>NO PRAZO</v>
      </c>
    </row>
    <row r="973" spans="1:21" hidden="1">
      <c r="A973" s="1">
        <v>17121</v>
      </c>
      <c r="B973" t="s">
        <v>20</v>
      </c>
      <c r="C973" t="s">
        <v>13</v>
      </c>
      <c r="D973" t="s">
        <v>18</v>
      </c>
      <c r="E973" s="1">
        <v>1308</v>
      </c>
      <c r="F973" s="1">
        <v>2024</v>
      </c>
      <c r="G973" t="s">
        <v>11</v>
      </c>
      <c r="H973" s="2">
        <v>45393.583333333336</v>
      </c>
      <c r="I973" s="9">
        <f t="shared" si="139"/>
        <v>45398</v>
      </c>
      <c r="J973" s="2" t="str">
        <f t="shared" si="140"/>
        <v/>
      </c>
      <c r="L973" s="2" t="str">
        <f t="shared" si="141"/>
        <v/>
      </c>
      <c r="N973" s="10" t="str">
        <f t="shared" si="142"/>
        <v/>
      </c>
      <c r="O973" s="2">
        <f t="shared" si="143"/>
        <v>45398</v>
      </c>
      <c r="P973" s="2">
        <v>45400.684988425928</v>
      </c>
      <c r="Q973" s="2">
        <f t="shared" si="144"/>
        <v>45404</v>
      </c>
      <c r="R973" s="2">
        <v>45400.688842592594</v>
      </c>
      <c r="S973">
        <f t="shared" si="145"/>
        <v>0</v>
      </c>
      <c r="T973" s="2">
        <f t="shared" si="146"/>
        <v>45404</v>
      </c>
      <c r="U973" t="str">
        <f t="shared" si="147"/>
        <v>NO PRAZO</v>
      </c>
    </row>
    <row r="974" spans="1:21" hidden="1">
      <c r="A974" s="1">
        <v>17111</v>
      </c>
      <c r="B974" t="s">
        <v>23</v>
      </c>
      <c r="C974" t="s">
        <v>9</v>
      </c>
      <c r="D974" t="s">
        <v>18</v>
      </c>
      <c r="E974" s="1">
        <v>1298</v>
      </c>
      <c r="F974" s="1">
        <v>2024</v>
      </c>
      <c r="G974" t="s">
        <v>11</v>
      </c>
      <c r="H974" s="2">
        <v>45393.458379629628</v>
      </c>
      <c r="I974" s="9">
        <f t="shared" si="139"/>
        <v>45398</v>
      </c>
      <c r="J974" s="2" t="str">
        <f t="shared" si="140"/>
        <v/>
      </c>
      <c r="L974" s="2" t="str">
        <f t="shared" si="141"/>
        <v/>
      </c>
      <c r="N974" s="10" t="str">
        <f t="shared" si="142"/>
        <v/>
      </c>
      <c r="O974" s="2">
        <f t="shared" si="143"/>
        <v>45398</v>
      </c>
      <c r="P974" s="2">
        <v>45394.671273148146</v>
      </c>
      <c r="Q974" s="2">
        <f t="shared" si="144"/>
        <v>45404</v>
      </c>
      <c r="R974" s="2">
        <v>45394.707997685182</v>
      </c>
      <c r="S974">
        <f t="shared" si="145"/>
        <v>0</v>
      </c>
      <c r="T974" s="2">
        <f t="shared" si="146"/>
        <v>45404</v>
      </c>
      <c r="U974" t="str">
        <f t="shared" si="147"/>
        <v>NO PRAZO</v>
      </c>
    </row>
    <row r="975" spans="1:21" hidden="1">
      <c r="A975" s="1">
        <v>17087</v>
      </c>
      <c r="B975" t="s">
        <v>20</v>
      </c>
      <c r="C975" t="s">
        <v>13</v>
      </c>
      <c r="D975" t="s">
        <v>18</v>
      </c>
      <c r="E975" s="1">
        <v>1274</v>
      </c>
      <c r="F975" s="1">
        <v>2024</v>
      </c>
      <c r="G975" t="s">
        <v>11</v>
      </c>
      <c r="H975" s="2">
        <v>45392.750023148146</v>
      </c>
      <c r="I975" s="9">
        <f t="shared" si="139"/>
        <v>45397</v>
      </c>
      <c r="J975" s="2" t="str">
        <f t="shared" si="140"/>
        <v/>
      </c>
      <c r="L975" s="2" t="str">
        <f t="shared" si="141"/>
        <v/>
      </c>
      <c r="N975" s="10" t="str">
        <f t="shared" si="142"/>
        <v/>
      </c>
      <c r="O975" s="2">
        <f t="shared" si="143"/>
        <v>45397</v>
      </c>
      <c r="P975" s="2">
        <v>45398.540486111109</v>
      </c>
      <c r="Q975" s="2">
        <f t="shared" si="144"/>
        <v>45401</v>
      </c>
      <c r="R975" s="2">
        <v>45398.930659722224</v>
      </c>
      <c r="S975">
        <f t="shared" si="145"/>
        <v>0</v>
      </c>
      <c r="T975" s="2">
        <f t="shared" si="146"/>
        <v>45401</v>
      </c>
      <c r="U975" t="str">
        <f t="shared" si="147"/>
        <v>NO PRAZO</v>
      </c>
    </row>
    <row r="976" spans="1:21" hidden="1">
      <c r="A976" s="1">
        <v>17086</v>
      </c>
      <c r="B976" t="s">
        <v>20</v>
      </c>
      <c r="C976" t="s">
        <v>13</v>
      </c>
      <c r="D976" t="s">
        <v>18</v>
      </c>
      <c r="E976" s="1">
        <v>1273</v>
      </c>
      <c r="F976" s="1">
        <v>2024</v>
      </c>
      <c r="G976" t="s">
        <v>11</v>
      </c>
      <c r="H976" s="2">
        <v>45392.750023148146</v>
      </c>
      <c r="I976" s="9">
        <f t="shared" si="139"/>
        <v>45397</v>
      </c>
      <c r="J976" s="2" t="str">
        <f t="shared" si="140"/>
        <v/>
      </c>
      <c r="L976" s="2" t="str">
        <f t="shared" si="141"/>
        <v/>
      </c>
      <c r="N976" s="10" t="str">
        <f t="shared" si="142"/>
        <v/>
      </c>
      <c r="O976" s="2">
        <f t="shared" si="143"/>
        <v>45397</v>
      </c>
      <c r="P976" s="2">
        <v>45398.524942129632</v>
      </c>
      <c r="Q976" s="2">
        <f t="shared" si="144"/>
        <v>45401</v>
      </c>
      <c r="R976" s="2">
        <v>45398.930625000001</v>
      </c>
      <c r="S976">
        <f t="shared" si="145"/>
        <v>0</v>
      </c>
      <c r="T976" s="2">
        <f t="shared" si="146"/>
        <v>45401</v>
      </c>
      <c r="U976" t="str">
        <f t="shared" si="147"/>
        <v>NO PRAZO</v>
      </c>
    </row>
    <row r="977" spans="1:21" hidden="1">
      <c r="A977" s="1">
        <v>17082</v>
      </c>
      <c r="B977" t="s">
        <v>22</v>
      </c>
      <c r="C977" t="s">
        <v>13</v>
      </c>
      <c r="D977" t="s">
        <v>14</v>
      </c>
      <c r="E977" s="1">
        <v>1269</v>
      </c>
      <c r="F977" s="1">
        <v>2024</v>
      </c>
      <c r="G977" t="s">
        <v>11</v>
      </c>
      <c r="H977" s="2">
        <v>45392.708344907405</v>
      </c>
      <c r="I977" s="9">
        <f t="shared" si="139"/>
        <v>45393</v>
      </c>
      <c r="J977" s="2" t="str">
        <f t="shared" si="140"/>
        <v/>
      </c>
      <c r="L977" s="2" t="str">
        <f t="shared" si="141"/>
        <v/>
      </c>
      <c r="N977" s="10" t="str">
        <f t="shared" si="142"/>
        <v/>
      </c>
      <c r="O977" s="2">
        <f t="shared" si="143"/>
        <v>45393</v>
      </c>
      <c r="P977" s="2">
        <v>45394.739560185182</v>
      </c>
      <c r="Q977" s="2">
        <f t="shared" si="144"/>
        <v>45394</v>
      </c>
      <c r="R977" s="2">
        <v>45394.740011574075</v>
      </c>
      <c r="S977">
        <f t="shared" si="145"/>
        <v>0</v>
      </c>
      <c r="T977" s="2">
        <f t="shared" si="146"/>
        <v>45394</v>
      </c>
      <c r="U977" t="str">
        <f t="shared" si="147"/>
        <v>NO PRAZO</v>
      </c>
    </row>
    <row r="978" spans="1:21" hidden="1">
      <c r="A978" s="1">
        <v>17057</v>
      </c>
      <c r="B978" t="s">
        <v>17</v>
      </c>
      <c r="C978" t="s">
        <v>9</v>
      </c>
      <c r="D978" t="s">
        <v>18</v>
      </c>
      <c r="E978" s="1">
        <v>1244</v>
      </c>
      <c r="F978" s="1">
        <v>2024</v>
      </c>
      <c r="G978" t="s">
        <v>11</v>
      </c>
      <c r="H978" s="2">
        <v>45391.583391203705</v>
      </c>
      <c r="I978" s="9">
        <f t="shared" si="139"/>
        <v>45394</v>
      </c>
      <c r="J978" s="2" t="str">
        <f t="shared" si="140"/>
        <v/>
      </c>
      <c r="L978" s="2" t="str">
        <f t="shared" si="141"/>
        <v/>
      </c>
      <c r="N978" s="10" t="str">
        <f t="shared" si="142"/>
        <v/>
      </c>
      <c r="O978" s="2">
        <f t="shared" si="143"/>
        <v>45394</v>
      </c>
      <c r="P978" s="2">
        <v>45393.371261574073</v>
      </c>
      <c r="Q978" s="2">
        <f t="shared" si="144"/>
        <v>45400</v>
      </c>
      <c r="R978" s="2">
        <v>45393.617974537039</v>
      </c>
      <c r="S978">
        <f t="shared" si="145"/>
        <v>0</v>
      </c>
      <c r="T978" s="2">
        <f t="shared" si="146"/>
        <v>45400</v>
      </c>
      <c r="U978" t="str">
        <f t="shared" si="147"/>
        <v>NO PRAZO</v>
      </c>
    </row>
    <row r="979" spans="1:21" hidden="1">
      <c r="A979" s="1">
        <v>17056</v>
      </c>
      <c r="B979" t="s">
        <v>8</v>
      </c>
      <c r="C979" t="s">
        <v>13</v>
      </c>
      <c r="D979" t="s">
        <v>10</v>
      </c>
      <c r="E979" s="1">
        <v>1243</v>
      </c>
      <c r="F979" s="1">
        <v>2024</v>
      </c>
      <c r="G979" t="s">
        <v>11</v>
      </c>
      <c r="H979" s="2">
        <v>45391.583391203705</v>
      </c>
      <c r="I979" s="9">
        <f t="shared" si="139"/>
        <v>45392</v>
      </c>
      <c r="J979" s="2" t="str">
        <f t="shared" si="140"/>
        <v/>
      </c>
      <c r="L979" s="2" t="str">
        <f t="shared" si="141"/>
        <v/>
      </c>
      <c r="N979" s="10" t="str">
        <f t="shared" si="142"/>
        <v/>
      </c>
      <c r="O979" s="2">
        <f t="shared" si="143"/>
        <v>45392</v>
      </c>
      <c r="P979" s="2">
        <v>45392.707881944443</v>
      </c>
      <c r="Q979" s="2">
        <f t="shared" si="144"/>
        <v>45393</v>
      </c>
      <c r="R979" s="2">
        <v>45392.722951388889</v>
      </c>
      <c r="S979">
        <f t="shared" si="145"/>
        <v>0</v>
      </c>
      <c r="T979" s="2">
        <f t="shared" si="146"/>
        <v>45393</v>
      </c>
      <c r="U979" t="str">
        <f t="shared" si="147"/>
        <v>NO PRAZO</v>
      </c>
    </row>
    <row r="980" spans="1:21" hidden="1">
      <c r="A980" s="1">
        <v>17052</v>
      </c>
      <c r="B980" t="s">
        <v>8</v>
      </c>
      <c r="C980" t="s">
        <v>9</v>
      </c>
      <c r="D980" t="s">
        <v>18</v>
      </c>
      <c r="E980" s="1">
        <v>1239</v>
      </c>
      <c r="F980" s="1">
        <v>2024</v>
      </c>
      <c r="G980" t="s">
        <v>11</v>
      </c>
      <c r="H980" s="2">
        <v>45391.500011574077</v>
      </c>
      <c r="I980" s="9">
        <f t="shared" si="139"/>
        <v>45394</v>
      </c>
      <c r="J980" s="2" t="str">
        <f t="shared" si="140"/>
        <v/>
      </c>
      <c r="L980" s="2" t="str">
        <f t="shared" si="141"/>
        <v/>
      </c>
      <c r="N980" s="10" t="str">
        <f t="shared" si="142"/>
        <v/>
      </c>
      <c r="O980" s="2">
        <f t="shared" si="143"/>
        <v>45394</v>
      </c>
      <c r="P980" s="2">
        <v>45391.618159722224</v>
      </c>
      <c r="Q980" s="2">
        <f t="shared" si="144"/>
        <v>45400</v>
      </c>
      <c r="R980" s="2">
        <v>45391.710625</v>
      </c>
      <c r="S980">
        <f t="shared" si="145"/>
        <v>0</v>
      </c>
      <c r="T980" s="2">
        <f t="shared" si="146"/>
        <v>45400</v>
      </c>
      <c r="U980" t="str">
        <f t="shared" si="147"/>
        <v>NO PRAZO</v>
      </c>
    </row>
    <row r="981" spans="1:21" hidden="1">
      <c r="A981" s="1">
        <v>17051</v>
      </c>
      <c r="B981" t="s">
        <v>12</v>
      </c>
      <c r="C981" t="s">
        <v>13</v>
      </c>
      <c r="D981" t="s">
        <v>10</v>
      </c>
      <c r="E981" s="1">
        <v>1238</v>
      </c>
      <c r="F981" s="1">
        <v>2024</v>
      </c>
      <c r="G981" t="s">
        <v>11</v>
      </c>
      <c r="H981" s="2">
        <v>45391.500011574077</v>
      </c>
      <c r="I981" s="9">
        <f t="shared" si="139"/>
        <v>45392</v>
      </c>
      <c r="J981" s="2" t="str">
        <f t="shared" si="140"/>
        <v/>
      </c>
      <c r="L981" s="2" t="str">
        <f t="shared" si="141"/>
        <v/>
      </c>
      <c r="N981" s="10" t="str">
        <f t="shared" si="142"/>
        <v/>
      </c>
      <c r="O981" s="2">
        <f t="shared" si="143"/>
        <v>45392</v>
      </c>
      <c r="P981" s="2">
        <v>45392.61210648148</v>
      </c>
      <c r="Q981" s="2">
        <f t="shared" si="144"/>
        <v>45393</v>
      </c>
      <c r="R981" s="2">
        <v>45392.723194444443</v>
      </c>
      <c r="S981">
        <f t="shared" si="145"/>
        <v>0</v>
      </c>
      <c r="T981" s="2">
        <f t="shared" si="146"/>
        <v>45393</v>
      </c>
      <c r="U981" t="str">
        <f t="shared" si="147"/>
        <v>NO PRAZO</v>
      </c>
    </row>
    <row r="982" spans="1:21" hidden="1">
      <c r="A982" s="1">
        <v>17043</v>
      </c>
      <c r="B982" t="s">
        <v>20</v>
      </c>
      <c r="C982" t="s">
        <v>13</v>
      </c>
      <c r="D982" t="s">
        <v>18</v>
      </c>
      <c r="E982" s="1">
        <v>1230</v>
      </c>
      <c r="F982" s="1">
        <v>2024</v>
      </c>
      <c r="G982" t="s">
        <v>11</v>
      </c>
      <c r="H982" s="2">
        <v>45391.375</v>
      </c>
      <c r="I982" s="9">
        <f t="shared" si="139"/>
        <v>45394</v>
      </c>
      <c r="J982" s="2" t="str">
        <f t="shared" si="140"/>
        <v/>
      </c>
      <c r="L982" s="2" t="str">
        <f t="shared" si="141"/>
        <v/>
      </c>
      <c r="N982" s="10" t="str">
        <f t="shared" si="142"/>
        <v/>
      </c>
      <c r="O982" s="2">
        <f t="shared" si="143"/>
        <v>45394</v>
      </c>
      <c r="P982" s="2">
        <v>45398.50953703704</v>
      </c>
      <c r="Q982" s="2">
        <f t="shared" si="144"/>
        <v>45400</v>
      </c>
      <c r="R982" s="2">
        <v>45398.511157407411</v>
      </c>
      <c r="S982">
        <f t="shared" si="145"/>
        <v>0</v>
      </c>
      <c r="T982" s="2">
        <f t="shared" si="146"/>
        <v>45400</v>
      </c>
      <c r="U982" t="str">
        <f t="shared" si="147"/>
        <v>NO PRAZO</v>
      </c>
    </row>
    <row r="983" spans="1:21" hidden="1">
      <c r="A983" s="1">
        <v>17042</v>
      </c>
      <c r="B983" t="s">
        <v>20</v>
      </c>
      <c r="C983" t="s">
        <v>13</v>
      </c>
      <c r="D983" t="s">
        <v>18</v>
      </c>
      <c r="E983" s="1">
        <v>1229</v>
      </c>
      <c r="F983" s="1">
        <v>2024</v>
      </c>
      <c r="G983" t="s">
        <v>11</v>
      </c>
      <c r="H983" s="2">
        <v>45391.375</v>
      </c>
      <c r="I983" s="9">
        <f t="shared" si="139"/>
        <v>45394</v>
      </c>
      <c r="J983" s="2" t="str">
        <f t="shared" si="140"/>
        <v/>
      </c>
      <c r="L983" s="2" t="str">
        <f t="shared" si="141"/>
        <v/>
      </c>
      <c r="N983" s="10" t="str">
        <f t="shared" si="142"/>
        <v/>
      </c>
      <c r="O983" s="2">
        <f t="shared" si="143"/>
        <v>45394</v>
      </c>
      <c r="P983" s="2">
        <v>45394.400543981479</v>
      </c>
      <c r="Q983" s="2">
        <f t="shared" si="144"/>
        <v>45400</v>
      </c>
      <c r="R983" s="2">
        <v>45398.511192129627</v>
      </c>
      <c r="S983">
        <f t="shared" si="145"/>
        <v>0</v>
      </c>
      <c r="T983" s="2">
        <f t="shared" si="146"/>
        <v>45400</v>
      </c>
      <c r="U983" t="str">
        <f t="shared" si="147"/>
        <v>NO PRAZO</v>
      </c>
    </row>
    <row r="984" spans="1:21" hidden="1">
      <c r="A984" s="1">
        <v>17037</v>
      </c>
      <c r="B984" t="s">
        <v>20</v>
      </c>
      <c r="C984" t="s">
        <v>9</v>
      </c>
      <c r="D984" t="s">
        <v>18</v>
      </c>
      <c r="E984" s="1">
        <v>1224</v>
      </c>
      <c r="F984" s="1">
        <v>2024</v>
      </c>
      <c r="G984" t="s">
        <v>11</v>
      </c>
      <c r="H984" s="2">
        <v>45390.583379629628</v>
      </c>
      <c r="I984" s="9">
        <f t="shared" si="139"/>
        <v>45393</v>
      </c>
      <c r="J984" s="2" t="str">
        <f t="shared" si="140"/>
        <v/>
      </c>
      <c r="L984" s="2" t="str">
        <f t="shared" si="141"/>
        <v/>
      </c>
      <c r="N984" s="10" t="str">
        <f t="shared" si="142"/>
        <v/>
      </c>
      <c r="O984" s="2">
        <f t="shared" si="143"/>
        <v>45393</v>
      </c>
      <c r="P984" s="2">
        <v>45394.581192129626</v>
      </c>
      <c r="Q984" s="2">
        <f t="shared" si="144"/>
        <v>45399</v>
      </c>
      <c r="R984" s="2">
        <v>45394.581412037034</v>
      </c>
      <c r="S984">
        <f t="shared" si="145"/>
        <v>0</v>
      </c>
      <c r="T984" s="2">
        <f t="shared" si="146"/>
        <v>45399</v>
      </c>
      <c r="U984" t="str">
        <f t="shared" si="147"/>
        <v>NO PRAZO</v>
      </c>
    </row>
    <row r="985" spans="1:21" hidden="1">
      <c r="A985" s="1">
        <v>17036</v>
      </c>
      <c r="B985" t="s">
        <v>12</v>
      </c>
      <c r="C985" t="s">
        <v>13</v>
      </c>
      <c r="D985" t="s">
        <v>18</v>
      </c>
      <c r="E985" s="1">
        <v>1223</v>
      </c>
      <c r="F985" s="1">
        <v>2024</v>
      </c>
      <c r="G985" t="s">
        <v>11</v>
      </c>
      <c r="H985" s="2">
        <v>45390.583379629628</v>
      </c>
      <c r="I985" s="9">
        <f t="shared" si="139"/>
        <v>45393</v>
      </c>
      <c r="J985" s="2" t="str">
        <f t="shared" si="140"/>
        <v/>
      </c>
      <c r="L985" s="2" t="str">
        <f t="shared" si="141"/>
        <v/>
      </c>
      <c r="N985" s="10" t="str">
        <f t="shared" si="142"/>
        <v/>
      </c>
      <c r="O985" s="2">
        <f t="shared" si="143"/>
        <v>45393</v>
      </c>
      <c r="P985" s="2">
        <v>45392.433888888889</v>
      </c>
      <c r="Q985" s="2">
        <f t="shared" si="144"/>
        <v>45399</v>
      </c>
      <c r="R985" s="2">
        <v>45392.434074074074</v>
      </c>
      <c r="S985">
        <f t="shared" si="145"/>
        <v>0</v>
      </c>
      <c r="T985" s="2">
        <f t="shared" si="146"/>
        <v>45399</v>
      </c>
      <c r="U985" t="str">
        <f t="shared" si="147"/>
        <v>NO PRAZO</v>
      </c>
    </row>
    <row r="986" spans="1:21" hidden="1">
      <c r="A986" s="1">
        <v>17024</v>
      </c>
      <c r="B986" t="s">
        <v>23</v>
      </c>
      <c r="C986" t="s">
        <v>9</v>
      </c>
      <c r="D986" t="s">
        <v>18</v>
      </c>
      <c r="E986" s="1">
        <v>1211</v>
      </c>
      <c r="F986" s="1">
        <v>2024</v>
      </c>
      <c r="G986" t="s">
        <v>11</v>
      </c>
      <c r="H986" s="2">
        <v>45390.403182870374</v>
      </c>
      <c r="I986" s="9">
        <f t="shared" si="139"/>
        <v>45393</v>
      </c>
      <c r="J986" s="2" t="str">
        <f t="shared" si="140"/>
        <v/>
      </c>
      <c r="L986" s="2" t="str">
        <f t="shared" si="141"/>
        <v/>
      </c>
      <c r="N986" s="10" t="str">
        <f t="shared" si="142"/>
        <v/>
      </c>
      <c r="O986" s="2">
        <f t="shared" si="143"/>
        <v>45393</v>
      </c>
      <c r="P986" s="2">
        <v>45390.404386574075</v>
      </c>
      <c r="Q986" s="2">
        <f t="shared" si="144"/>
        <v>45399</v>
      </c>
      <c r="R986" s="2">
        <v>45390.501006944447</v>
      </c>
      <c r="S986">
        <f t="shared" si="145"/>
        <v>0</v>
      </c>
      <c r="T986" s="2">
        <f t="shared" si="146"/>
        <v>45399</v>
      </c>
      <c r="U986" t="str">
        <f t="shared" si="147"/>
        <v>NO PRAZO</v>
      </c>
    </row>
    <row r="987" spans="1:21" hidden="1">
      <c r="A987" s="1">
        <v>17019</v>
      </c>
      <c r="B987" t="s">
        <v>12</v>
      </c>
      <c r="C987" t="s">
        <v>13</v>
      </c>
      <c r="D987" t="s">
        <v>10</v>
      </c>
      <c r="E987" s="1">
        <v>1206</v>
      </c>
      <c r="F987" s="1">
        <v>2024</v>
      </c>
      <c r="G987" t="s">
        <v>11</v>
      </c>
      <c r="H987" s="2">
        <v>45387.666828703703</v>
      </c>
      <c r="I987" s="9">
        <f t="shared" si="139"/>
        <v>45390</v>
      </c>
      <c r="J987" s="2" t="str">
        <f t="shared" si="140"/>
        <v/>
      </c>
      <c r="L987" s="2" t="str">
        <f t="shared" si="141"/>
        <v/>
      </c>
      <c r="N987" s="10" t="str">
        <f t="shared" si="142"/>
        <v/>
      </c>
      <c r="O987" s="2">
        <f t="shared" si="143"/>
        <v>45390</v>
      </c>
      <c r="P987" s="2">
        <v>45391.499351851853</v>
      </c>
      <c r="Q987" s="2">
        <f t="shared" si="144"/>
        <v>45391</v>
      </c>
      <c r="R987" s="2">
        <v>45391.594699074078</v>
      </c>
      <c r="S987">
        <f t="shared" si="145"/>
        <v>0</v>
      </c>
      <c r="T987" s="2">
        <f t="shared" si="146"/>
        <v>45391</v>
      </c>
      <c r="U987" t="str">
        <f t="shared" si="147"/>
        <v>NO PRAZO</v>
      </c>
    </row>
    <row r="988" spans="1:21">
      <c r="A988" s="1">
        <v>17014</v>
      </c>
      <c r="B988" t="s">
        <v>19</v>
      </c>
      <c r="C988" t="s">
        <v>13</v>
      </c>
      <c r="D988" t="s">
        <v>10</v>
      </c>
      <c r="E988" s="1">
        <v>1201</v>
      </c>
      <c r="F988" s="1">
        <v>2024</v>
      </c>
      <c r="G988" t="s">
        <v>11</v>
      </c>
      <c r="H988" s="2">
        <v>45387.458449074074</v>
      </c>
      <c r="I988" s="9">
        <f t="shared" si="139"/>
        <v>45390</v>
      </c>
      <c r="J988" s="2" t="str">
        <f t="shared" si="140"/>
        <v/>
      </c>
      <c r="L988" s="2" t="str">
        <f t="shared" si="141"/>
        <v/>
      </c>
      <c r="N988" s="10" t="str">
        <f t="shared" si="142"/>
        <v/>
      </c>
      <c r="O988" s="2">
        <f t="shared" si="143"/>
        <v>45390</v>
      </c>
      <c r="P988" s="2">
        <v>45404.467812499999</v>
      </c>
      <c r="Q988" s="2">
        <f t="shared" si="144"/>
        <v>45391</v>
      </c>
      <c r="R988" s="2">
        <v>45404.472453703704</v>
      </c>
      <c r="S988">
        <f t="shared" si="145"/>
        <v>13</v>
      </c>
      <c r="T988" s="2">
        <f t="shared" si="146"/>
        <v>45391</v>
      </c>
      <c r="U988" t="str">
        <f t="shared" si="147"/>
        <v>ATRASO</v>
      </c>
    </row>
    <row r="989" spans="1:21" hidden="1">
      <c r="A989" s="1">
        <v>17008</v>
      </c>
      <c r="B989" t="s">
        <v>20</v>
      </c>
      <c r="C989" t="s">
        <v>13</v>
      </c>
      <c r="D989" t="s">
        <v>18</v>
      </c>
      <c r="E989" s="1">
        <v>1195</v>
      </c>
      <c r="F989" s="1">
        <v>2024</v>
      </c>
      <c r="G989" t="s">
        <v>11</v>
      </c>
      <c r="H989" s="2">
        <v>45386.66679398148</v>
      </c>
      <c r="I989" s="9">
        <f t="shared" si="139"/>
        <v>45391</v>
      </c>
      <c r="J989" s="2" t="str">
        <f t="shared" si="140"/>
        <v/>
      </c>
      <c r="L989" s="2" t="str">
        <f t="shared" si="141"/>
        <v/>
      </c>
      <c r="N989" s="10" t="str">
        <f t="shared" si="142"/>
        <v/>
      </c>
      <c r="O989" s="2">
        <f t="shared" si="143"/>
        <v>45391</v>
      </c>
      <c r="P989" s="2">
        <v>45392.575532407405</v>
      </c>
      <c r="Q989" s="2">
        <f t="shared" si="144"/>
        <v>45397</v>
      </c>
      <c r="R989" s="2">
        <v>45392.575671296298</v>
      </c>
      <c r="S989">
        <f t="shared" si="145"/>
        <v>0</v>
      </c>
      <c r="T989" s="2">
        <f t="shared" si="146"/>
        <v>45397</v>
      </c>
      <c r="U989" t="str">
        <f t="shared" si="147"/>
        <v>NO PRAZO</v>
      </c>
    </row>
    <row r="990" spans="1:21" hidden="1">
      <c r="A990" s="1">
        <v>17003</v>
      </c>
      <c r="B990" t="s">
        <v>24</v>
      </c>
      <c r="C990" t="s">
        <v>13</v>
      </c>
      <c r="D990" t="s">
        <v>10</v>
      </c>
      <c r="E990" s="1">
        <v>1190</v>
      </c>
      <c r="F990" s="1">
        <v>2024</v>
      </c>
      <c r="G990" t="s">
        <v>11</v>
      </c>
      <c r="H990" s="2">
        <v>45386.583472222221</v>
      </c>
      <c r="I990" s="9">
        <f t="shared" si="139"/>
        <v>45387</v>
      </c>
      <c r="J990" s="2" t="str">
        <f t="shared" si="140"/>
        <v/>
      </c>
      <c r="L990" s="2" t="str">
        <f t="shared" si="141"/>
        <v/>
      </c>
      <c r="N990" s="10" t="str">
        <f t="shared" si="142"/>
        <v/>
      </c>
      <c r="O990" s="2">
        <f t="shared" si="143"/>
        <v>45387</v>
      </c>
      <c r="P990" s="2">
        <v>45390.573379629626</v>
      </c>
      <c r="Q990" s="2">
        <f t="shared" si="144"/>
        <v>45390</v>
      </c>
      <c r="R990" s="2">
        <v>45390.619745370372</v>
      </c>
      <c r="S990">
        <f t="shared" si="145"/>
        <v>0</v>
      </c>
      <c r="T990" s="2">
        <f t="shared" si="146"/>
        <v>45390</v>
      </c>
      <c r="U990" t="str">
        <f t="shared" si="147"/>
        <v>NO PRAZO</v>
      </c>
    </row>
    <row r="991" spans="1:21" hidden="1">
      <c r="A991" s="1">
        <v>16993</v>
      </c>
      <c r="B991" t="s">
        <v>8</v>
      </c>
      <c r="C991" t="s">
        <v>9</v>
      </c>
      <c r="D991" t="s">
        <v>10</v>
      </c>
      <c r="E991" s="1">
        <v>1180</v>
      </c>
      <c r="F991" s="1">
        <v>2024</v>
      </c>
      <c r="G991" t="s">
        <v>11</v>
      </c>
      <c r="H991" s="2">
        <v>45385.375162037039</v>
      </c>
      <c r="I991" s="9">
        <f t="shared" si="139"/>
        <v>45386</v>
      </c>
      <c r="J991" s="2" t="str">
        <f t="shared" si="140"/>
        <v/>
      </c>
      <c r="L991" s="2" t="str">
        <f t="shared" si="141"/>
        <v/>
      </c>
      <c r="N991" s="10" t="str">
        <f t="shared" si="142"/>
        <v/>
      </c>
      <c r="O991" s="2">
        <f t="shared" si="143"/>
        <v>45386</v>
      </c>
      <c r="P991" s="2">
        <v>45386.383275462962</v>
      </c>
      <c r="Q991" s="2">
        <f t="shared" si="144"/>
        <v>45387</v>
      </c>
      <c r="R991" s="2">
        <v>45386.466168981482</v>
      </c>
      <c r="S991">
        <f t="shared" si="145"/>
        <v>0</v>
      </c>
      <c r="T991" s="2">
        <f t="shared" si="146"/>
        <v>45387</v>
      </c>
      <c r="U991" t="str">
        <f t="shared" si="147"/>
        <v>NO PRAZO</v>
      </c>
    </row>
    <row r="992" spans="1:21" hidden="1">
      <c r="A992" s="1">
        <v>16991</v>
      </c>
      <c r="B992" t="s">
        <v>8</v>
      </c>
      <c r="C992" t="s">
        <v>9</v>
      </c>
      <c r="D992" t="s">
        <v>10</v>
      </c>
      <c r="E992" s="1">
        <v>1178</v>
      </c>
      <c r="F992" s="1">
        <v>2024</v>
      </c>
      <c r="G992" t="s">
        <v>11</v>
      </c>
      <c r="H992" s="2">
        <v>45384.666805555556</v>
      </c>
      <c r="I992" s="9">
        <f t="shared" si="139"/>
        <v>45385</v>
      </c>
      <c r="J992" s="2" t="str">
        <f t="shared" si="140"/>
        <v/>
      </c>
      <c r="L992" s="2" t="str">
        <f t="shared" si="141"/>
        <v/>
      </c>
      <c r="N992" s="10" t="str">
        <f t="shared" si="142"/>
        <v/>
      </c>
      <c r="O992" s="2">
        <f t="shared" si="143"/>
        <v>45385</v>
      </c>
      <c r="P992" s="2">
        <v>45386.467187499999</v>
      </c>
      <c r="Q992" s="2">
        <f t="shared" si="144"/>
        <v>45386</v>
      </c>
      <c r="R992" s="2">
        <v>45386.74491898148</v>
      </c>
      <c r="S992">
        <f t="shared" si="145"/>
        <v>0</v>
      </c>
      <c r="T992" s="2">
        <f t="shared" si="146"/>
        <v>45386</v>
      </c>
      <c r="U992" t="str">
        <f t="shared" si="147"/>
        <v>NO PRAZO</v>
      </c>
    </row>
    <row r="993" spans="1:21">
      <c r="A993" s="1">
        <v>16990</v>
      </c>
      <c r="B993" t="s">
        <v>19</v>
      </c>
      <c r="C993" t="s">
        <v>13</v>
      </c>
      <c r="D993" t="s">
        <v>18</v>
      </c>
      <c r="E993" s="1">
        <v>1177</v>
      </c>
      <c r="F993" s="1">
        <v>2024</v>
      </c>
      <c r="G993" t="s">
        <v>11</v>
      </c>
      <c r="H993" s="2">
        <v>45384.625127314815</v>
      </c>
      <c r="I993" s="9">
        <f t="shared" si="139"/>
        <v>45387</v>
      </c>
      <c r="J993" s="2" t="str">
        <f t="shared" si="140"/>
        <v/>
      </c>
      <c r="L993" s="2" t="str">
        <f t="shared" si="141"/>
        <v/>
      </c>
      <c r="N993" s="10" t="str">
        <f t="shared" si="142"/>
        <v/>
      </c>
      <c r="O993" s="2">
        <f t="shared" si="143"/>
        <v>45387</v>
      </c>
      <c r="P993" s="2">
        <v>45385.408391203702</v>
      </c>
      <c r="Q993" s="2">
        <f t="shared" si="144"/>
        <v>45393</v>
      </c>
      <c r="R993" s="2">
        <v>45397.715046296296</v>
      </c>
      <c r="S993">
        <f t="shared" si="145"/>
        <v>4</v>
      </c>
      <c r="T993" s="2">
        <f t="shared" si="146"/>
        <v>45393</v>
      </c>
      <c r="U993" t="str">
        <f t="shared" si="147"/>
        <v>ATRASO</v>
      </c>
    </row>
    <row r="994" spans="1:21" hidden="1">
      <c r="A994" s="1">
        <v>16989</v>
      </c>
      <c r="B994" t="s">
        <v>17</v>
      </c>
      <c r="C994" t="s">
        <v>9</v>
      </c>
      <c r="D994" t="s">
        <v>18</v>
      </c>
      <c r="E994" s="1">
        <v>1176</v>
      </c>
      <c r="F994" s="1">
        <v>2024</v>
      </c>
      <c r="G994" t="s">
        <v>11</v>
      </c>
      <c r="H994" s="2">
        <v>45384.625127314815</v>
      </c>
      <c r="I994" s="9">
        <f t="shared" si="139"/>
        <v>45387</v>
      </c>
      <c r="J994" s="2" t="str">
        <f t="shared" si="140"/>
        <v/>
      </c>
      <c r="L994" s="2" t="str">
        <f t="shared" si="141"/>
        <v/>
      </c>
      <c r="N994" s="10" t="str">
        <f t="shared" si="142"/>
        <v/>
      </c>
      <c r="O994" s="2">
        <f t="shared" si="143"/>
        <v>45387</v>
      </c>
      <c r="P994" s="2">
        <v>45390.389097222222</v>
      </c>
      <c r="Q994" s="2">
        <f t="shared" si="144"/>
        <v>45393</v>
      </c>
      <c r="R994" s="2">
        <v>45390.390138888892</v>
      </c>
      <c r="S994">
        <f t="shared" si="145"/>
        <v>0</v>
      </c>
      <c r="T994" s="2">
        <f t="shared" si="146"/>
        <v>45393</v>
      </c>
      <c r="U994" t="str">
        <f t="shared" si="147"/>
        <v>NO PRAZO</v>
      </c>
    </row>
    <row r="995" spans="1:21" hidden="1">
      <c r="A995" s="1">
        <v>16983</v>
      </c>
      <c r="B995" t="s">
        <v>22</v>
      </c>
      <c r="C995" t="s">
        <v>13</v>
      </c>
      <c r="D995" t="s">
        <v>14</v>
      </c>
      <c r="E995" s="1">
        <v>1170</v>
      </c>
      <c r="F995" s="1">
        <v>2024</v>
      </c>
      <c r="G995" t="s">
        <v>11</v>
      </c>
      <c r="H995" s="2">
        <v>45384.583483796298</v>
      </c>
      <c r="I995" s="9">
        <f t="shared" si="139"/>
        <v>45385</v>
      </c>
      <c r="J995" s="2" t="str">
        <f t="shared" si="140"/>
        <v/>
      </c>
      <c r="L995" s="2" t="str">
        <f t="shared" si="141"/>
        <v/>
      </c>
      <c r="N995" s="10" t="str">
        <f t="shared" si="142"/>
        <v/>
      </c>
      <c r="O995" s="2">
        <f t="shared" si="143"/>
        <v>45385</v>
      </c>
      <c r="P995" s="2">
        <v>45385.454409722224</v>
      </c>
      <c r="Q995" s="2">
        <f t="shared" si="144"/>
        <v>45386</v>
      </c>
      <c r="R995" s="2">
        <v>45385.651886574073</v>
      </c>
      <c r="S995">
        <f t="shared" si="145"/>
        <v>0</v>
      </c>
      <c r="T995" s="2">
        <f t="shared" si="146"/>
        <v>45386</v>
      </c>
      <c r="U995" t="str">
        <f t="shared" si="147"/>
        <v>NO PRAZO</v>
      </c>
    </row>
    <row r="996" spans="1:21" hidden="1">
      <c r="A996" s="1">
        <v>16982</v>
      </c>
      <c r="B996" t="s">
        <v>22</v>
      </c>
      <c r="C996" t="s">
        <v>13</v>
      </c>
      <c r="D996" t="s">
        <v>14</v>
      </c>
      <c r="E996" s="1">
        <v>1169</v>
      </c>
      <c r="F996" s="1">
        <v>2024</v>
      </c>
      <c r="G996" t="s">
        <v>11</v>
      </c>
      <c r="H996" s="2">
        <v>45384.583483796298</v>
      </c>
      <c r="I996" s="9">
        <f t="shared" si="139"/>
        <v>45385</v>
      </c>
      <c r="J996" s="2" t="str">
        <f t="shared" si="140"/>
        <v/>
      </c>
      <c r="L996" s="2" t="str">
        <f t="shared" si="141"/>
        <v/>
      </c>
      <c r="N996" s="10" t="str">
        <f t="shared" si="142"/>
        <v/>
      </c>
      <c r="O996" s="2">
        <f t="shared" si="143"/>
        <v>45385</v>
      </c>
      <c r="P996" s="2">
        <v>45386.640752314815</v>
      </c>
      <c r="Q996" s="2">
        <f t="shared" si="144"/>
        <v>45386</v>
      </c>
      <c r="R996" s="2">
        <v>45386.665949074071</v>
      </c>
      <c r="S996">
        <f t="shared" si="145"/>
        <v>0</v>
      </c>
      <c r="T996" s="2">
        <f t="shared" si="146"/>
        <v>45386</v>
      </c>
      <c r="U996" t="str">
        <f t="shared" si="147"/>
        <v>NO PRAZO</v>
      </c>
    </row>
    <row r="997" spans="1:21" hidden="1">
      <c r="A997" s="1">
        <v>16981</v>
      </c>
      <c r="B997" t="s">
        <v>12</v>
      </c>
      <c r="C997" t="s">
        <v>13</v>
      </c>
      <c r="D997" t="s">
        <v>10</v>
      </c>
      <c r="E997" s="1">
        <v>1168</v>
      </c>
      <c r="F997" s="1">
        <v>2024</v>
      </c>
      <c r="G997" t="s">
        <v>11</v>
      </c>
      <c r="H997" s="2">
        <v>45384.583483796298</v>
      </c>
      <c r="I997" s="9">
        <f t="shared" si="139"/>
        <v>45385</v>
      </c>
      <c r="J997" s="2" t="str">
        <f t="shared" si="140"/>
        <v/>
      </c>
      <c r="L997" s="2" t="str">
        <f t="shared" si="141"/>
        <v/>
      </c>
      <c r="N997" s="10" t="str">
        <f t="shared" si="142"/>
        <v/>
      </c>
      <c r="O997" s="2">
        <f t="shared" si="143"/>
        <v>45385</v>
      </c>
      <c r="P997" s="2">
        <v>45385.873333333337</v>
      </c>
      <c r="Q997" s="2">
        <f t="shared" si="144"/>
        <v>45386</v>
      </c>
      <c r="R997" s="2">
        <v>45386.472280092596</v>
      </c>
      <c r="S997">
        <f t="shared" si="145"/>
        <v>0</v>
      </c>
      <c r="T997" s="2">
        <f t="shared" si="146"/>
        <v>45386</v>
      </c>
      <c r="U997" t="str">
        <f t="shared" si="147"/>
        <v>NO PRAZO</v>
      </c>
    </row>
    <row r="998" spans="1:21" hidden="1">
      <c r="A998" s="1">
        <v>16973</v>
      </c>
      <c r="B998" t="s">
        <v>23</v>
      </c>
      <c r="C998" t="s">
        <v>9</v>
      </c>
      <c r="D998" t="s">
        <v>10</v>
      </c>
      <c r="E998" s="1">
        <v>1160</v>
      </c>
      <c r="F998" s="1">
        <v>2024</v>
      </c>
      <c r="G998" t="s">
        <v>11</v>
      </c>
      <c r="H998" s="2">
        <v>45384.487766203703</v>
      </c>
      <c r="I998" s="9">
        <f t="shared" si="139"/>
        <v>45385</v>
      </c>
      <c r="J998" s="2" t="str">
        <f t="shared" si="140"/>
        <v/>
      </c>
      <c r="L998" s="2" t="str">
        <f t="shared" si="141"/>
        <v/>
      </c>
      <c r="N998" s="10" t="str">
        <f t="shared" si="142"/>
        <v/>
      </c>
      <c r="O998" s="2">
        <f t="shared" si="143"/>
        <v>45385</v>
      </c>
      <c r="P998" s="2">
        <v>45384.489178240743</v>
      </c>
      <c r="Q998" s="2">
        <f t="shared" si="144"/>
        <v>45386</v>
      </c>
      <c r="R998" s="2">
        <v>45384.492997685185</v>
      </c>
      <c r="S998">
        <f t="shared" si="145"/>
        <v>0</v>
      </c>
      <c r="T998" s="2">
        <f t="shared" si="146"/>
        <v>45386</v>
      </c>
      <c r="U998" t="str">
        <f t="shared" si="147"/>
        <v>NO PRAZO</v>
      </c>
    </row>
    <row r="999" spans="1:21" hidden="1">
      <c r="A999" s="1">
        <v>16956</v>
      </c>
      <c r="B999" t="s">
        <v>22</v>
      </c>
      <c r="C999" t="s">
        <v>13</v>
      </c>
      <c r="D999" t="s">
        <v>14</v>
      </c>
      <c r="E999" s="1">
        <v>1143</v>
      </c>
      <c r="F999" s="1">
        <v>2024</v>
      </c>
      <c r="G999" t="s">
        <v>11</v>
      </c>
      <c r="H999" s="2">
        <v>45383.500138888892</v>
      </c>
      <c r="I999" s="9">
        <f t="shared" si="139"/>
        <v>45384</v>
      </c>
      <c r="J999" s="2" t="str">
        <f t="shared" si="140"/>
        <v/>
      </c>
      <c r="L999" s="2" t="str">
        <f t="shared" si="141"/>
        <v/>
      </c>
      <c r="N999" s="10" t="str">
        <f t="shared" si="142"/>
        <v/>
      </c>
      <c r="O999" s="2">
        <f t="shared" si="143"/>
        <v>45384</v>
      </c>
      <c r="P999" s="2">
        <v>45385.684340277781</v>
      </c>
      <c r="Q999" s="2">
        <f t="shared" si="144"/>
        <v>45385</v>
      </c>
      <c r="R999" s="2">
        <v>45385.684502314813</v>
      </c>
      <c r="S999">
        <f t="shared" si="145"/>
        <v>0</v>
      </c>
      <c r="T999" s="2">
        <f t="shared" si="146"/>
        <v>45385</v>
      </c>
      <c r="U999" t="str">
        <f t="shared" si="147"/>
        <v>NO PRAZO</v>
      </c>
    </row>
    <row r="1000" spans="1:21" hidden="1">
      <c r="A1000" s="1">
        <v>16954</v>
      </c>
      <c r="B1000" t="s">
        <v>22</v>
      </c>
      <c r="C1000" t="s">
        <v>13</v>
      </c>
      <c r="D1000" t="s">
        <v>14</v>
      </c>
      <c r="E1000" s="1">
        <v>1141</v>
      </c>
      <c r="F1000" s="1">
        <v>2024</v>
      </c>
      <c r="G1000" t="s">
        <v>11</v>
      </c>
      <c r="H1000" s="2">
        <v>45383.41679398148</v>
      </c>
      <c r="I1000" s="9">
        <f t="shared" si="139"/>
        <v>45384</v>
      </c>
      <c r="J1000" s="2" t="str">
        <f t="shared" si="140"/>
        <v/>
      </c>
      <c r="L1000" s="2" t="str">
        <f t="shared" si="141"/>
        <v/>
      </c>
      <c r="N1000" s="10" t="str">
        <f t="shared" si="142"/>
        <v/>
      </c>
      <c r="O1000" s="2">
        <f t="shared" si="143"/>
        <v>45384</v>
      </c>
      <c r="P1000" s="2">
        <v>45385.683472222219</v>
      </c>
      <c r="Q1000" s="2">
        <f t="shared" si="144"/>
        <v>45385</v>
      </c>
      <c r="R1000" s="2">
        <v>45385.683807870373</v>
      </c>
      <c r="S1000">
        <f t="shared" si="145"/>
        <v>0</v>
      </c>
      <c r="T1000" s="2">
        <f t="shared" si="146"/>
        <v>45385</v>
      </c>
      <c r="U1000" t="str">
        <f t="shared" si="147"/>
        <v>NO PRAZO</v>
      </c>
    </row>
    <row r="1001" spans="1:21" hidden="1">
      <c r="A1001" s="1">
        <v>16945</v>
      </c>
      <c r="B1001" t="s">
        <v>19</v>
      </c>
      <c r="C1001" t="s">
        <v>13</v>
      </c>
      <c r="D1001" t="s">
        <v>10</v>
      </c>
      <c r="E1001" s="1">
        <v>1132</v>
      </c>
      <c r="F1001" s="1">
        <v>2024</v>
      </c>
      <c r="G1001" t="s">
        <v>11</v>
      </c>
      <c r="H1001" s="2">
        <v>45379.625150462962</v>
      </c>
      <c r="I1001" s="9">
        <f t="shared" si="139"/>
        <v>45383</v>
      </c>
      <c r="J1001" s="2" t="str">
        <f t="shared" si="140"/>
        <v/>
      </c>
      <c r="L1001" s="2" t="str">
        <f t="shared" si="141"/>
        <v/>
      </c>
      <c r="N1001" s="10" t="str">
        <f t="shared" si="142"/>
        <v/>
      </c>
      <c r="O1001" s="2">
        <f t="shared" si="143"/>
        <v>45383</v>
      </c>
      <c r="P1001" s="2">
        <v>45384.876458333332</v>
      </c>
      <c r="Q1001" s="2">
        <f t="shared" si="144"/>
        <v>45384</v>
      </c>
      <c r="R1001" s="2">
        <v>45384.878784722219</v>
      </c>
      <c r="S1001">
        <f t="shared" si="145"/>
        <v>0</v>
      </c>
      <c r="T1001" s="2">
        <f t="shared" si="146"/>
        <v>45384</v>
      </c>
      <c r="U1001" t="str">
        <f t="shared" si="147"/>
        <v>NO PRAZO</v>
      </c>
    </row>
    <row r="1002" spans="1:21" hidden="1">
      <c r="A1002" s="1">
        <v>16932</v>
      </c>
      <c r="B1002" t="s">
        <v>12</v>
      </c>
      <c r="C1002" t="s">
        <v>9</v>
      </c>
      <c r="D1002" t="s">
        <v>18</v>
      </c>
      <c r="E1002" s="1">
        <v>1119</v>
      </c>
      <c r="F1002" s="1">
        <v>2024</v>
      </c>
      <c r="G1002" t="s">
        <v>11</v>
      </c>
      <c r="H1002" s="2">
        <v>45378.750150462962</v>
      </c>
      <c r="I1002" s="9">
        <f t="shared" si="139"/>
        <v>45384</v>
      </c>
      <c r="J1002" s="2" t="str">
        <f t="shared" si="140"/>
        <v/>
      </c>
      <c r="L1002" s="2" t="str">
        <f t="shared" si="141"/>
        <v/>
      </c>
      <c r="N1002" s="10" t="str">
        <f t="shared" si="142"/>
        <v/>
      </c>
      <c r="O1002" s="2">
        <f t="shared" si="143"/>
        <v>45384</v>
      </c>
      <c r="P1002" s="2">
        <v>45383.470138888886</v>
      </c>
      <c r="Q1002" s="2">
        <f t="shared" si="144"/>
        <v>45390</v>
      </c>
      <c r="R1002" s="2">
        <v>45383.470300925925</v>
      </c>
      <c r="S1002">
        <f t="shared" si="145"/>
        <v>0</v>
      </c>
      <c r="T1002" s="2">
        <f t="shared" si="146"/>
        <v>45390</v>
      </c>
      <c r="U1002" t="str">
        <f t="shared" si="147"/>
        <v>NO PRAZO</v>
      </c>
    </row>
    <row r="1003" spans="1:21" hidden="1">
      <c r="A1003" s="1">
        <v>16928</v>
      </c>
      <c r="B1003" t="s">
        <v>12</v>
      </c>
      <c r="C1003" t="s">
        <v>13</v>
      </c>
      <c r="D1003" t="s">
        <v>18</v>
      </c>
      <c r="E1003" s="1">
        <v>1115</v>
      </c>
      <c r="F1003" s="1">
        <v>2024</v>
      </c>
      <c r="G1003" t="s">
        <v>11</v>
      </c>
      <c r="H1003" s="2">
        <v>45378.708449074074</v>
      </c>
      <c r="I1003" s="9">
        <f t="shared" si="139"/>
        <v>45384</v>
      </c>
      <c r="J1003" s="2" t="str">
        <f t="shared" si="140"/>
        <v/>
      </c>
      <c r="L1003" s="2" t="str">
        <f t="shared" si="141"/>
        <v/>
      </c>
      <c r="N1003" s="10" t="str">
        <f t="shared" si="142"/>
        <v/>
      </c>
      <c r="O1003" s="2">
        <f t="shared" si="143"/>
        <v>45384</v>
      </c>
      <c r="P1003" s="2">
        <v>45378.731516203705</v>
      </c>
      <c r="Q1003" s="2">
        <f t="shared" si="144"/>
        <v>45390</v>
      </c>
      <c r="R1003" s="2">
        <v>45379.460185185184</v>
      </c>
      <c r="S1003">
        <f t="shared" si="145"/>
        <v>0</v>
      </c>
      <c r="T1003" s="2">
        <f t="shared" si="146"/>
        <v>45390</v>
      </c>
      <c r="U1003" t="str">
        <f t="shared" si="147"/>
        <v>NO PRAZO</v>
      </c>
    </row>
    <row r="1004" spans="1:21" hidden="1">
      <c r="A1004" s="1">
        <v>16925</v>
      </c>
      <c r="B1004" t="s">
        <v>12</v>
      </c>
      <c r="C1004" t="s">
        <v>13</v>
      </c>
      <c r="D1004" t="s">
        <v>21</v>
      </c>
      <c r="E1004" s="1">
        <v>1112</v>
      </c>
      <c r="F1004" s="1">
        <v>2024</v>
      </c>
      <c r="G1004" t="s">
        <v>11</v>
      </c>
      <c r="H1004" s="2">
        <v>45378.65011574074</v>
      </c>
      <c r="I1004" s="9">
        <f t="shared" si="139"/>
        <v>45384</v>
      </c>
      <c r="J1004" s="2" t="str">
        <f t="shared" si="140"/>
        <v/>
      </c>
      <c r="L1004" s="2" t="str">
        <f t="shared" si="141"/>
        <v/>
      </c>
      <c r="N1004" s="10" t="str">
        <f t="shared" si="142"/>
        <v/>
      </c>
      <c r="O1004" s="2">
        <f t="shared" si="143"/>
        <v>45384</v>
      </c>
      <c r="P1004" s="2">
        <v>45384.493495370371</v>
      </c>
      <c r="Q1004" s="2">
        <f t="shared" si="144"/>
        <v>45412</v>
      </c>
      <c r="R1004" s="2">
        <v>45387.464432870373</v>
      </c>
      <c r="S1004">
        <f t="shared" si="145"/>
        <v>0</v>
      </c>
      <c r="T1004" s="2">
        <f t="shared" si="146"/>
        <v>45412</v>
      </c>
      <c r="U1004" t="str">
        <f t="shared" si="147"/>
        <v>NO PRAZO</v>
      </c>
    </row>
    <row r="1005" spans="1:21" hidden="1">
      <c r="A1005" s="1">
        <v>16921</v>
      </c>
      <c r="B1005" t="s">
        <v>20</v>
      </c>
      <c r="C1005" t="s">
        <v>13</v>
      </c>
      <c r="D1005" t="s">
        <v>18</v>
      </c>
      <c r="E1005" s="1">
        <v>1108</v>
      </c>
      <c r="F1005" s="1">
        <v>2024</v>
      </c>
      <c r="G1005" t="s">
        <v>11</v>
      </c>
      <c r="H1005" s="2">
        <v>45378.625115740739</v>
      </c>
      <c r="I1005" s="9">
        <f t="shared" si="139"/>
        <v>45384</v>
      </c>
      <c r="J1005" s="2" t="str">
        <f t="shared" si="140"/>
        <v/>
      </c>
      <c r="L1005" s="2" t="str">
        <f t="shared" si="141"/>
        <v/>
      </c>
      <c r="N1005" s="10" t="str">
        <f t="shared" si="142"/>
        <v/>
      </c>
      <c r="O1005" s="2">
        <f t="shared" si="143"/>
        <v>45384</v>
      </c>
      <c r="P1005" s="2">
        <v>45383.638969907406</v>
      </c>
      <c r="Q1005" s="2">
        <f t="shared" si="144"/>
        <v>45390</v>
      </c>
      <c r="R1005" s="2">
        <v>45383.639398148145</v>
      </c>
      <c r="S1005">
        <f t="shared" si="145"/>
        <v>0</v>
      </c>
      <c r="T1005" s="2">
        <f t="shared" si="146"/>
        <v>45390</v>
      </c>
      <c r="U1005" t="str">
        <f t="shared" si="147"/>
        <v>NO PRAZO</v>
      </c>
    </row>
    <row r="1006" spans="1:21" hidden="1">
      <c r="A1006" s="1">
        <v>16914</v>
      </c>
      <c r="B1006" t="s">
        <v>8</v>
      </c>
      <c r="C1006" t="s">
        <v>9</v>
      </c>
      <c r="D1006" t="s">
        <v>10</v>
      </c>
      <c r="E1006" s="1">
        <v>1101</v>
      </c>
      <c r="F1006" s="1">
        <v>2024</v>
      </c>
      <c r="G1006" t="s">
        <v>11</v>
      </c>
      <c r="H1006" s="2">
        <v>45378.375115740739</v>
      </c>
      <c r="I1006" s="9">
        <f t="shared" si="139"/>
        <v>45379</v>
      </c>
      <c r="J1006" s="2" t="str">
        <f t="shared" si="140"/>
        <v/>
      </c>
      <c r="L1006" s="2" t="str">
        <f t="shared" si="141"/>
        <v/>
      </c>
      <c r="N1006" s="10" t="str">
        <f t="shared" si="142"/>
        <v/>
      </c>
      <c r="O1006" s="2">
        <f t="shared" si="143"/>
        <v>45379</v>
      </c>
      <c r="P1006" s="2">
        <v>45383.526562500003</v>
      </c>
      <c r="Q1006" s="2">
        <f t="shared" si="144"/>
        <v>45383</v>
      </c>
      <c r="R1006" s="2">
        <v>45383.661122685182</v>
      </c>
      <c r="S1006">
        <f t="shared" si="145"/>
        <v>0</v>
      </c>
      <c r="T1006" s="2">
        <f t="shared" si="146"/>
        <v>45383</v>
      </c>
      <c r="U1006" t="str">
        <f t="shared" si="147"/>
        <v>NO PRAZO</v>
      </c>
    </row>
    <row r="1007" spans="1:21" hidden="1">
      <c r="A1007" s="1">
        <v>16913</v>
      </c>
      <c r="B1007" t="s">
        <v>17</v>
      </c>
      <c r="C1007" t="s">
        <v>9</v>
      </c>
      <c r="D1007" t="s">
        <v>18</v>
      </c>
      <c r="E1007" s="1">
        <v>1100</v>
      </c>
      <c r="F1007" s="1">
        <v>2024</v>
      </c>
      <c r="G1007" t="s">
        <v>11</v>
      </c>
      <c r="H1007" s="2">
        <v>45377.708425925928</v>
      </c>
      <c r="I1007" s="9">
        <f t="shared" si="139"/>
        <v>45383</v>
      </c>
      <c r="J1007" s="2" t="str">
        <f t="shared" si="140"/>
        <v/>
      </c>
      <c r="L1007" s="2" t="str">
        <f t="shared" si="141"/>
        <v/>
      </c>
      <c r="N1007" s="10" t="str">
        <f t="shared" si="142"/>
        <v/>
      </c>
      <c r="O1007" s="2">
        <f t="shared" si="143"/>
        <v>45383</v>
      </c>
      <c r="P1007" s="2">
        <v>45379.500451388885</v>
      </c>
      <c r="Q1007" s="2">
        <f t="shared" si="144"/>
        <v>45387</v>
      </c>
      <c r="R1007" s="2">
        <v>45379.502164351848</v>
      </c>
      <c r="S1007">
        <f t="shared" si="145"/>
        <v>0</v>
      </c>
      <c r="T1007" s="2">
        <f t="shared" si="146"/>
        <v>45387</v>
      </c>
      <c r="U1007" t="str">
        <f t="shared" si="147"/>
        <v>NO PRAZO</v>
      </c>
    </row>
    <row r="1008" spans="1:21" hidden="1">
      <c r="A1008" s="1">
        <v>16888</v>
      </c>
      <c r="B1008" t="s">
        <v>17</v>
      </c>
      <c r="C1008" t="s">
        <v>9</v>
      </c>
      <c r="D1008" t="s">
        <v>18</v>
      </c>
      <c r="E1008" s="1">
        <v>1075</v>
      </c>
      <c r="F1008" s="1">
        <v>2024</v>
      </c>
      <c r="G1008" t="s">
        <v>11</v>
      </c>
      <c r="H1008" s="2">
        <v>45373.666770833333</v>
      </c>
      <c r="I1008" s="9">
        <f t="shared" si="139"/>
        <v>45378</v>
      </c>
      <c r="J1008" s="2" t="str">
        <f t="shared" si="140"/>
        <v/>
      </c>
      <c r="L1008" s="2" t="str">
        <f t="shared" si="141"/>
        <v/>
      </c>
      <c r="N1008" s="10" t="str">
        <f t="shared" si="142"/>
        <v/>
      </c>
      <c r="O1008" s="2">
        <f t="shared" si="143"/>
        <v>45378</v>
      </c>
      <c r="P1008" s="2">
        <v>45379.49359953704</v>
      </c>
      <c r="Q1008" s="2">
        <f t="shared" si="144"/>
        <v>45385</v>
      </c>
      <c r="R1008" s="2">
        <v>45379.500289351854</v>
      </c>
      <c r="S1008">
        <f t="shared" si="145"/>
        <v>0</v>
      </c>
      <c r="T1008" s="2">
        <f t="shared" si="146"/>
        <v>45385</v>
      </c>
      <c r="U1008" t="str">
        <f t="shared" si="147"/>
        <v>NO PRAZO</v>
      </c>
    </row>
    <row r="1009" spans="1:21" hidden="1">
      <c r="A1009" s="1">
        <v>16882</v>
      </c>
      <c r="B1009" t="s">
        <v>12</v>
      </c>
      <c r="C1009" t="s">
        <v>13</v>
      </c>
      <c r="D1009" t="s">
        <v>10</v>
      </c>
      <c r="E1009" s="1">
        <v>1069</v>
      </c>
      <c r="F1009" s="1">
        <v>2024</v>
      </c>
      <c r="G1009" t="s">
        <v>11</v>
      </c>
      <c r="H1009" s="2">
        <v>45373.583437499998</v>
      </c>
      <c r="I1009" s="9">
        <f t="shared" si="139"/>
        <v>45376</v>
      </c>
      <c r="J1009" s="2" t="str">
        <f t="shared" si="140"/>
        <v/>
      </c>
      <c r="L1009" s="2" t="str">
        <f t="shared" si="141"/>
        <v/>
      </c>
      <c r="N1009" s="10" t="str">
        <f t="shared" si="142"/>
        <v/>
      </c>
      <c r="O1009" s="2">
        <f t="shared" si="143"/>
        <v>45376</v>
      </c>
      <c r="P1009" s="2">
        <v>45376.605312500003</v>
      </c>
      <c r="Q1009" s="2">
        <f t="shared" si="144"/>
        <v>45377</v>
      </c>
      <c r="R1009" s="2">
        <v>45376.784039351849</v>
      </c>
      <c r="S1009">
        <f t="shared" si="145"/>
        <v>0</v>
      </c>
      <c r="T1009" s="2">
        <f t="shared" si="146"/>
        <v>45377</v>
      </c>
      <c r="U1009" t="str">
        <f t="shared" si="147"/>
        <v>NO PRAZO</v>
      </c>
    </row>
    <row r="1010" spans="1:21" hidden="1">
      <c r="A1010" s="1">
        <v>16876</v>
      </c>
      <c r="B1010" t="s">
        <v>20</v>
      </c>
      <c r="C1010" t="s">
        <v>13</v>
      </c>
      <c r="D1010" t="s">
        <v>18</v>
      </c>
      <c r="E1010" s="1">
        <v>1063</v>
      </c>
      <c r="F1010" s="1">
        <v>2024</v>
      </c>
      <c r="G1010" t="s">
        <v>11</v>
      </c>
      <c r="H1010" s="2">
        <v>45373.421261574076</v>
      </c>
      <c r="I1010" s="9">
        <f t="shared" si="139"/>
        <v>45378</v>
      </c>
      <c r="J1010" s="2" t="str">
        <f t="shared" si="140"/>
        <v/>
      </c>
      <c r="L1010" s="2" t="str">
        <f t="shared" si="141"/>
        <v/>
      </c>
      <c r="N1010" s="10" t="str">
        <f t="shared" si="142"/>
        <v/>
      </c>
      <c r="O1010" s="2">
        <f t="shared" si="143"/>
        <v>45378</v>
      </c>
      <c r="P1010" s="2">
        <v>45373.59915509259</v>
      </c>
      <c r="Q1010" s="2">
        <f t="shared" si="144"/>
        <v>45385</v>
      </c>
      <c r="R1010" s="2">
        <v>45377.677337962959</v>
      </c>
      <c r="S1010">
        <f t="shared" si="145"/>
        <v>0</v>
      </c>
      <c r="T1010" s="2">
        <f t="shared" si="146"/>
        <v>45385</v>
      </c>
      <c r="U1010" t="str">
        <f t="shared" si="147"/>
        <v>NO PRAZO</v>
      </c>
    </row>
    <row r="1011" spans="1:21" hidden="1">
      <c r="A1011" s="1">
        <v>16851</v>
      </c>
      <c r="B1011" t="s">
        <v>19</v>
      </c>
      <c r="C1011" t="s">
        <v>13</v>
      </c>
      <c r="D1011" t="s">
        <v>18</v>
      </c>
      <c r="E1011" s="1">
        <v>1038</v>
      </c>
      <c r="F1011" s="1">
        <v>2024</v>
      </c>
      <c r="G1011" t="s">
        <v>11</v>
      </c>
      <c r="H1011" s="2">
        <v>45371.666724537034</v>
      </c>
      <c r="I1011" s="9">
        <f t="shared" si="139"/>
        <v>45376</v>
      </c>
      <c r="J1011" s="2" t="str">
        <f t="shared" si="140"/>
        <v/>
      </c>
      <c r="L1011" s="2" t="str">
        <f t="shared" si="141"/>
        <v/>
      </c>
      <c r="N1011" s="10" t="str">
        <f t="shared" si="142"/>
        <v/>
      </c>
      <c r="O1011" s="2">
        <f t="shared" si="143"/>
        <v>45376</v>
      </c>
      <c r="P1011" s="2">
        <v>45373.716180555559</v>
      </c>
      <c r="Q1011" s="2">
        <f t="shared" si="144"/>
        <v>45383</v>
      </c>
      <c r="R1011" s="2">
        <v>45373.716956018521</v>
      </c>
      <c r="S1011">
        <f t="shared" si="145"/>
        <v>0</v>
      </c>
      <c r="T1011" s="2">
        <f t="shared" si="146"/>
        <v>45383</v>
      </c>
      <c r="U1011" t="str">
        <f t="shared" si="147"/>
        <v>NO PRAZO</v>
      </c>
    </row>
    <row r="1012" spans="1:21" hidden="1">
      <c r="A1012" s="1">
        <v>16849</v>
      </c>
      <c r="B1012" t="s">
        <v>19</v>
      </c>
      <c r="C1012" t="s">
        <v>13</v>
      </c>
      <c r="D1012" t="s">
        <v>18</v>
      </c>
      <c r="E1012" s="1">
        <v>1036</v>
      </c>
      <c r="F1012" s="1">
        <v>2024</v>
      </c>
      <c r="G1012" t="s">
        <v>11</v>
      </c>
      <c r="H1012" s="2">
        <v>45371.6250462963</v>
      </c>
      <c r="I1012" s="9">
        <f t="shared" si="139"/>
        <v>45376</v>
      </c>
      <c r="J1012" s="2" t="str">
        <f t="shared" si="140"/>
        <v/>
      </c>
      <c r="L1012" s="2" t="str">
        <f t="shared" si="141"/>
        <v/>
      </c>
      <c r="N1012" s="10" t="str">
        <f t="shared" si="142"/>
        <v/>
      </c>
      <c r="O1012" s="2">
        <f t="shared" si="143"/>
        <v>45376</v>
      </c>
      <c r="P1012" s="2">
        <v>45373.713912037034</v>
      </c>
      <c r="Q1012" s="2">
        <f t="shared" si="144"/>
        <v>45383</v>
      </c>
      <c r="R1012" s="2">
        <v>45373.714305555557</v>
      </c>
      <c r="S1012">
        <f t="shared" si="145"/>
        <v>0</v>
      </c>
      <c r="T1012" s="2">
        <f t="shared" si="146"/>
        <v>45383</v>
      </c>
      <c r="U1012" t="str">
        <f t="shared" si="147"/>
        <v>NO PRAZO</v>
      </c>
    </row>
    <row r="1013" spans="1:21" hidden="1">
      <c r="A1013" s="1">
        <v>16847</v>
      </c>
      <c r="B1013" t="s">
        <v>24</v>
      </c>
      <c r="C1013" t="s">
        <v>13</v>
      </c>
      <c r="D1013" t="s">
        <v>18</v>
      </c>
      <c r="E1013" s="1">
        <v>1034</v>
      </c>
      <c r="F1013" s="1">
        <v>2024</v>
      </c>
      <c r="G1013" t="s">
        <v>11</v>
      </c>
      <c r="H1013" s="2">
        <v>45371.583414351851</v>
      </c>
      <c r="I1013" s="9">
        <f t="shared" si="139"/>
        <v>45376</v>
      </c>
      <c r="J1013" s="2" t="str">
        <f t="shared" si="140"/>
        <v/>
      </c>
      <c r="L1013" s="2" t="str">
        <f t="shared" si="141"/>
        <v/>
      </c>
      <c r="N1013" s="10" t="str">
        <f t="shared" si="142"/>
        <v/>
      </c>
      <c r="O1013" s="2">
        <f t="shared" si="143"/>
        <v>45376</v>
      </c>
      <c r="P1013" s="2">
        <v>45376.487986111111</v>
      </c>
      <c r="Q1013" s="2">
        <f t="shared" si="144"/>
        <v>45383</v>
      </c>
      <c r="R1013" s="2">
        <v>45376.489594907405</v>
      </c>
      <c r="S1013">
        <f t="shared" si="145"/>
        <v>0</v>
      </c>
      <c r="T1013" s="2">
        <f t="shared" si="146"/>
        <v>45383</v>
      </c>
      <c r="U1013" t="str">
        <f t="shared" si="147"/>
        <v>NO PRAZO</v>
      </c>
    </row>
    <row r="1014" spans="1:21" hidden="1">
      <c r="A1014" s="1">
        <v>16822</v>
      </c>
      <c r="B1014" t="s">
        <v>20</v>
      </c>
      <c r="C1014" t="s">
        <v>13</v>
      </c>
      <c r="D1014" t="s">
        <v>16</v>
      </c>
      <c r="E1014" s="1">
        <v>1009</v>
      </c>
      <c r="F1014" s="1">
        <v>2024</v>
      </c>
      <c r="G1014" t="s">
        <v>11</v>
      </c>
      <c r="H1014" s="2">
        <v>45370.708391203705</v>
      </c>
      <c r="I1014" s="9">
        <f t="shared" si="139"/>
        <v>45371</v>
      </c>
      <c r="J1014" s="2" t="str">
        <f t="shared" si="140"/>
        <v/>
      </c>
      <c r="L1014" s="2" t="str">
        <f t="shared" si="141"/>
        <v/>
      </c>
      <c r="N1014" s="10" t="str">
        <f t="shared" si="142"/>
        <v/>
      </c>
      <c r="O1014" s="2">
        <f t="shared" si="143"/>
        <v>45371</v>
      </c>
      <c r="P1014" s="2">
        <v>45376.421041666668</v>
      </c>
      <c r="Q1014" s="2">
        <f t="shared" si="144"/>
        <v>45377</v>
      </c>
      <c r="R1014" s="2">
        <v>45376.421180555553</v>
      </c>
      <c r="S1014">
        <f t="shared" si="145"/>
        <v>0</v>
      </c>
      <c r="T1014" s="2">
        <f t="shared" si="146"/>
        <v>45377</v>
      </c>
      <c r="U1014" t="str">
        <f t="shared" si="147"/>
        <v>NO PRAZO</v>
      </c>
    </row>
    <row r="1015" spans="1:21" hidden="1">
      <c r="A1015" s="1">
        <v>16816</v>
      </c>
      <c r="B1015" t="s">
        <v>17</v>
      </c>
      <c r="C1015" t="s">
        <v>9</v>
      </c>
      <c r="D1015" t="s">
        <v>18</v>
      </c>
      <c r="E1015" s="1">
        <v>1003</v>
      </c>
      <c r="F1015" s="1">
        <v>2024</v>
      </c>
      <c r="G1015" t="s">
        <v>11</v>
      </c>
      <c r="H1015" s="2">
        <v>45370.583391203705</v>
      </c>
      <c r="I1015" s="9">
        <f t="shared" si="139"/>
        <v>45373</v>
      </c>
      <c r="J1015" s="2" t="str">
        <f t="shared" si="140"/>
        <v/>
      </c>
      <c r="L1015" s="2" t="str">
        <f t="shared" si="141"/>
        <v/>
      </c>
      <c r="N1015" s="10" t="str">
        <f t="shared" si="142"/>
        <v/>
      </c>
      <c r="O1015" s="2">
        <f t="shared" si="143"/>
        <v>45373</v>
      </c>
      <c r="P1015" s="2">
        <v>45372.468414351853</v>
      </c>
      <c r="Q1015" s="2">
        <f t="shared" si="144"/>
        <v>45379</v>
      </c>
      <c r="R1015" s="2">
        <v>45372.502766203703</v>
      </c>
      <c r="S1015">
        <f t="shared" si="145"/>
        <v>0</v>
      </c>
      <c r="T1015" s="2">
        <f t="shared" si="146"/>
        <v>45379</v>
      </c>
      <c r="U1015" t="str">
        <f t="shared" si="147"/>
        <v>NO PRAZO</v>
      </c>
    </row>
    <row r="1016" spans="1:21" hidden="1">
      <c r="A1016" s="1">
        <v>16812</v>
      </c>
      <c r="B1016" t="s">
        <v>20</v>
      </c>
      <c r="C1016" t="s">
        <v>13</v>
      </c>
      <c r="D1016" t="s">
        <v>18</v>
      </c>
      <c r="E1016" s="1">
        <v>999</v>
      </c>
      <c r="F1016" s="1">
        <v>2024</v>
      </c>
      <c r="G1016" t="s">
        <v>11</v>
      </c>
      <c r="H1016" s="2">
        <v>45370.416724537034</v>
      </c>
      <c r="I1016" s="9">
        <f t="shared" si="139"/>
        <v>45373</v>
      </c>
      <c r="J1016" s="2" t="str">
        <f t="shared" si="140"/>
        <v/>
      </c>
      <c r="L1016" s="2" t="str">
        <f t="shared" si="141"/>
        <v/>
      </c>
      <c r="N1016" s="10" t="str">
        <f t="shared" si="142"/>
        <v/>
      </c>
      <c r="O1016" s="2">
        <f t="shared" si="143"/>
        <v>45373</v>
      </c>
      <c r="P1016" s="2">
        <v>45370.43172453704</v>
      </c>
      <c r="Q1016" s="2">
        <f t="shared" si="144"/>
        <v>45379</v>
      </c>
      <c r="R1016" s="2">
        <v>45370.496423611112</v>
      </c>
      <c r="S1016">
        <f t="shared" si="145"/>
        <v>0</v>
      </c>
      <c r="T1016" s="2">
        <f t="shared" si="146"/>
        <v>45379</v>
      </c>
      <c r="U1016" t="str">
        <f t="shared" si="147"/>
        <v>NO PRAZO</v>
      </c>
    </row>
    <row r="1017" spans="1:21" hidden="1">
      <c r="A1017" s="1">
        <v>16774</v>
      </c>
      <c r="B1017" t="s">
        <v>20</v>
      </c>
      <c r="C1017" t="s">
        <v>13</v>
      </c>
      <c r="D1017" t="s">
        <v>18</v>
      </c>
      <c r="E1017" s="1">
        <v>961</v>
      </c>
      <c r="F1017" s="1">
        <v>2024</v>
      </c>
      <c r="G1017" t="s">
        <v>11</v>
      </c>
      <c r="H1017" s="2">
        <v>45366.791759259257</v>
      </c>
      <c r="I1017" s="9">
        <f t="shared" si="139"/>
        <v>45371</v>
      </c>
      <c r="J1017" s="2" t="str">
        <f t="shared" si="140"/>
        <v/>
      </c>
      <c r="L1017" s="2" t="str">
        <f t="shared" si="141"/>
        <v/>
      </c>
      <c r="N1017" s="10" t="str">
        <f t="shared" si="142"/>
        <v/>
      </c>
      <c r="O1017" s="2">
        <f t="shared" si="143"/>
        <v>45371</v>
      </c>
      <c r="P1017" s="2">
        <v>45369.43822916667</v>
      </c>
      <c r="Q1017" s="2">
        <f t="shared" si="144"/>
        <v>45377</v>
      </c>
      <c r="R1017" s="2">
        <v>45372.4687037037</v>
      </c>
      <c r="S1017">
        <f t="shared" si="145"/>
        <v>0</v>
      </c>
      <c r="T1017" s="2">
        <f t="shared" si="146"/>
        <v>45377</v>
      </c>
      <c r="U1017" t="str">
        <f t="shared" si="147"/>
        <v>NO PRAZO</v>
      </c>
    </row>
    <row r="1018" spans="1:21" hidden="1">
      <c r="A1018" s="1">
        <v>16764</v>
      </c>
      <c r="B1018" t="s">
        <v>12</v>
      </c>
      <c r="C1018" t="s">
        <v>13</v>
      </c>
      <c r="D1018" t="s">
        <v>18</v>
      </c>
      <c r="E1018" s="1">
        <v>951</v>
      </c>
      <c r="F1018" s="1">
        <v>2024</v>
      </c>
      <c r="G1018" t="s">
        <v>11</v>
      </c>
      <c r="H1018" s="2">
        <v>45366.666770833333</v>
      </c>
      <c r="I1018" s="9">
        <f t="shared" si="139"/>
        <v>45371</v>
      </c>
      <c r="J1018" s="2" t="str">
        <f t="shared" si="140"/>
        <v/>
      </c>
      <c r="L1018" s="2" t="str">
        <f t="shared" si="141"/>
        <v/>
      </c>
      <c r="N1018" s="10" t="str">
        <f t="shared" si="142"/>
        <v/>
      </c>
      <c r="O1018" s="2">
        <f t="shared" si="143"/>
        <v>45371</v>
      </c>
      <c r="P1018" s="2">
        <v>45372.424502314818</v>
      </c>
      <c r="Q1018" s="2">
        <f t="shared" si="144"/>
        <v>45377</v>
      </c>
      <c r="R1018" s="2">
        <v>45372.42528935185</v>
      </c>
      <c r="S1018">
        <f t="shared" si="145"/>
        <v>0</v>
      </c>
      <c r="T1018" s="2">
        <f t="shared" si="146"/>
        <v>45377</v>
      </c>
      <c r="U1018" t="str">
        <f t="shared" si="147"/>
        <v>NO PRAZO</v>
      </c>
    </row>
    <row r="1019" spans="1:21" hidden="1">
      <c r="A1019" s="1">
        <v>16756</v>
      </c>
      <c r="B1019" t="s">
        <v>20</v>
      </c>
      <c r="C1019" t="s">
        <v>13</v>
      </c>
      <c r="D1019" t="s">
        <v>14</v>
      </c>
      <c r="E1019" s="1">
        <v>943</v>
      </c>
      <c r="F1019" s="1">
        <v>2024</v>
      </c>
      <c r="G1019" t="s">
        <v>11</v>
      </c>
      <c r="H1019" s="2">
        <v>45365.66678240741</v>
      </c>
      <c r="I1019" s="9">
        <f t="shared" si="139"/>
        <v>45366</v>
      </c>
      <c r="J1019" s="2" t="str">
        <f t="shared" si="140"/>
        <v/>
      </c>
      <c r="L1019" s="2" t="str">
        <f t="shared" si="141"/>
        <v/>
      </c>
      <c r="N1019" s="10" t="str">
        <f t="shared" si="142"/>
        <v/>
      </c>
      <c r="O1019" s="2">
        <f t="shared" si="143"/>
        <v>45366</v>
      </c>
      <c r="P1019" s="2">
        <v>45366.436307870368</v>
      </c>
      <c r="Q1019" s="2">
        <f t="shared" si="144"/>
        <v>45369</v>
      </c>
      <c r="R1019" s="2">
        <v>45369.757430555554</v>
      </c>
      <c r="S1019">
        <f t="shared" si="145"/>
        <v>0</v>
      </c>
      <c r="T1019" s="2">
        <f t="shared" si="146"/>
        <v>45369</v>
      </c>
      <c r="U1019" t="str">
        <f t="shared" si="147"/>
        <v>NO PRAZO</v>
      </c>
    </row>
    <row r="1020" spans="1:21" hidden="1">
      <c r="A1020" s="1">
        <v>16751</v>
      </c>
      <c r="B1020" t="s">
        <v>8</v>
      </c>
      <c r="C1020" t="s">
        <v>9</v>
      </c>
      <c r="D1020" t="s">
        <v>18</v>
      </c>
      <c r="E1020" s="1">
        <v>938</v>
      </c>
      <c r="F1020" s="1">
        <v>2024</v>
      </c>
      <c r="G1020" t="s">
        <v>11</v>
      </c>
      <c r="H1020" s="2">
        <v>45365.583414351851</v>
      </c>
      <c r="I1020" s="9">
        <f t="shared" si="139"/>
        <v>45370</v>
      </c>
      <c r="J1020" s="2" t="str">
        <f t="shared" si="140"/>
        <v/>
      </c>
      <c r="L1020" s="2" t="str">
        <f t="shared" si="141"/>
        <v/>
      </c>
      <c r="N1020" s="10" t="str">
        <f t="shared" si="142"/>
        <v/>
      </c>
      <c r="O1020" s="2">
        <f t="shared" si="143"/>
        <v>45370</v>
      </c>
      <c r="P1020" s="2">
        <v>45370.641238425924</v>
      </c>
      <c r="Q1020" s="2">
        <f t="shared" si="144"/>
        <v>45376</v>
      </c>
      <c r="R1020" s="2">
        <v>45370.642592592594</v>
      </c>
      <c r="S1020">
        <f t="shared" si="145"/>
        <v>0</v>
      </c>
      <c r="T1020" s="2">
        <f t="shared" si="146"/>
        <v>45376</v>
      </c>
      <c r="U1020" t="str">
        <f t="shared" si="147"/>
        <v>NO PRAZO</v>
      </c>
    </row>
    <row r="1021" spans="1:21" hidden="1">
      <c r="A1021" s="1">
        <v>16701</v>
      </c>
      <c r="B1021" t="s">
        <v>12</v>
      </c>
      <c r="C1021" t="s">
        <v>13</v>
      </c>
      <c r="D1021" t="s">
        <v>14</v>
      </c>
      <c r="E1021" s="1">
        <v>888</v>
      </c>
      <c r="F1021" s="1">
        <v>2024</v>
      </c>
      <c r="G1021" t="s">
        <v>11</v>
      </c>
      <c r="H1021" s="2">
        <v>45364.500081018516</v>
      </c>
      <c r="I1021" s="9">
        <f t="shared" si="139"/>
        <v>45365</v>
      </c>
      <c r="J1021" s="2" t="str">
        <f t="shared" si="140"/>
        <v/>
      </c>
      <c r="L1021" s="2" t="str">
        <f t="shared" si="141"/>
        <v/>
      </c>
      <c r="N1021" s="10" t="str">
        <f t="shared" si="142"/>
        <v/>
      </c>
      <c r="O1021" s="2">
        <f t="shared" si="143"/>
        <v>45365</v>
      </c>
      <c r="P1021" s="2">
        <v>45366.659826388888</v>
      </c>
      <c r="Q1021" s="2">
        <f t="shared" si="144"/>
        <v>45366</v>
      </c>
      <c r="R1021" s="2">
        <v>45366.673634259256</v>
      </c>
      <c r="S1021">
        <f t="shared" si="145"/>
        <v>0</v>
      </c>
      <c r="T1021" s="2">
        <f t="shared" si="146"/>
        <v>45366</v>
      </c>
      <c r="U1021" t="str">
        <f t="shared" si="147"/>
        <v>NO PRAZO</v>
      </c>
    </row>
    <row r="1022" spans="1:21" hidden="1">
      <c r="A1022" s="1">
        <v>16700</v>
      </c>
      <c r="B1022" t="s">
        <v>20</v>
      </c>
      <c r="C1022" t="s">
        <v>13</v>
      </c>
      <c r="D1022" t="s">
        <v>18</v>
      </c>
      <c r="E1022" s="1">
        <v>887</v>
      </c>
      <c r="F1022" s="1">
        <v>2024</v>
      </c>
      <c r="G1022" t="s">
        <v>11</v>
      </c>
      <c r="H1022" s="2">
        <v>45364.458425925928</v>
      </c>
      <c r="I1022" s="9">
        <f t="shared" si="139"/>
        <v>45369</v>
      </c>
      <c r="J1022" s="2" t="str">
        <f t="shared" si="140"/>
        <v/>
      </c>
      <c r="L1022" s="2" t="str">
        <f t="shared" si="141"/>
        <v/>
      </c>
      <c r="N1022" s="10" t="str">
        <f t="shared" si="142"/>
        <v/>
      </c>
      <c r="O1022" s="2">
        <f t="shared" si="143"/>
        <v>45369</v>
      </c>
      <c r="P1022" s="2">
        <v>45365.730138888888</v>
      </c>
      <c r="Q1022" s="2">
        <f t="shared" si="144"/>
        <v>45373</v>
      </c>
      <c r="R1022" s="2">
        <v>45365.730358796296</v>
      </c>
      <c r="S1022">
        <f t="shared" si="145"/>
        <v>0</v>
      </c>
      <c r="T1022" s="2">
        <f t="shared" si="146"/>
        <v>45373</v>
      </c>
      <c r="U1022" t="str">
        <f t="shared" si="147"/>
        <v>NO PRAZO</v>
      </c>
    </row>
    <row r="1023" spans="1:21" hidden="1">
      <c r="A1023" s="1">
        <v>16692</v>
      </c>
      <c r="B1023" t="s">
        <v>20</v>
      </c>
      <c r="C1023" t="s">
        <v>13</v>
      </c>
      <c r="D1023" t="s">
        <v>18</v>
      </c>
      <c r="E1023" s="1">
        <v>879</v>
      </c>
      <c r="F1023" s="1">
        <v>2024</v>
      </c>
      <c r="G1023" t="s">
        <v>11</v>
      </c>
      <c r="H1023" s="2">
        <v>45363.708391203705</v>
      </c>
      <c r="I1023" s="9">
        <f t="shared" si="139"/>
        <v>45366</v>
      </c>
      <c r="J1023" s="2" t="str">
        <f t="shared" si="140"/>
        <v/>
      </c>
      <c r="L1023" s="2" t="str">
        <f t="shared" si="141"/>
        <v/>
      </c>
      <c r="N1023" s="10" t="str">
        <f t="shared" si="142"/>
        <v/>
      </c>
      <c r="O1023" s="2">
        <f t="shared" si="143"/>
        <v>45366</v>
      </c>
      <c r="P1023" s="2">
        <v>45370.319571759261</v>
      </c>
      <c r="Q1023" s="2">
        <f t="shared" si="144"/>
        <v>45372</v>
      </c>
      <c r="R1023" s="2">
        <v>45370.319756944446</v>
      </c>
      <c r="S1023">
        <f t="shared" si="145"/>
        <v>0</v>
      </c>
      <c r="T1023" s="2">
        <f t="shared" si="146"/>
        <v>45372</v>
      </c>
      <c r="U1023" t="str">
        <f t="shared" si="147"/>
        <v>NO PRAZO</v>
      </c>
    </row>
    <row r="1024" spans="1:21" hidden="1">
      <c r="A1024" s="1">
        <v>16689</v>
      </c>
      <c r="B1024" t="s">
        <v>12</v>
      </c>
      <c r="C1024" t="s">
        <v>13</v>
      </c>
      <c r="D1024" t="s">
        <v>10</v>
      </c>
      <c r="E1024" s="1">
        <v>876</v>
      </c>
      <c r="F1024" s="1">
        <v>2024</v>
      </c>
      <c r="G1024" t="s">
        <v>11</v>
      </c>
      <c r="H1024" s="2">
        <v>45363.625092592592</v>
      </c>
      <c r="I1024" s="9">
        <f t="shared" ref="I1024:I1087" si="148">IF(OR(D1024="ORIENTAÇÃO",D1024="BUG IMPEDITIVO",D1024="BUG NÃO IMPEDITIVO"),WORKDAY(H1024,1,Z$2:Z$500),IF(OR(D1024="MELHORIA PEQUENA",D1024="MELHORIA MÉDIA"),WORKDAY(H1024,3,Z$2:Z$500),""))</f>
        <v>45364</v>
      </c>
      <c r="J1024" s="2" t="str">
        <f t="shared" si="140"/>
        <v/>
      </c>
      <c r="L1024" s="2" t="str">
        <f t="shared" si="141"/>
        <v/>
      </c>
      <c r="N1024" s="10" t="str">
        <f t="shared" si="142"/>
        <v/>
      </c>
      <c r="O1024" s="2">
        <f t="shared" si="143"/>
        <v>45364</v>
      </c>
      <c r="P1024" s="2">
        <v>45364.58556712963</v>
      </c>
      <c r="Q1024" s="2">
        <f t="shared" si="144"/>
        <v>45365</v>
      </c>
      <c r="R1024" s="2">
        <v>45364.751770833333</v>
      </c>
      <c r="S1024">
        <f t="shared" si="145"/>
        <v>0</v>
      </c>
      <c r="T1024" s="2">
        <f t="shared" si="146"/>
        <v>45365</v>
      </c>
      <c r="U1024" t="str">
        <f t="shared" si="147"/>
        <v>NO PRAZO</v>
      </c>
    </row>
    <row r="1025" spans="1:21" hidden="1">
      <c r="A1025" s="1">
        <v>16687</v>
      </c>
      <c r="B1025" t="s">
        <v>17</v>
      </c>
      <c r="C1025" t="s">
        <v>9</v>
      </c>
      <c r="D1025" t="s">
        <v>18</v>
      </c>
      <c r="E1025" s="1">
        <v>874</v>
      </c>
      <c r="F1025" s="1">
        <v>2024</v>
      </c>
      <c r="G1025" t="s">
        <v>11</v>
      </c>
      <c r="H1025" s="2">
        <v>45363.583414351851</v>
      </c>
      <c r="I1025" s="9">
        <f t="shared" si="148"/>
        <v>45366</v>
      </c>
      <c r="J1025" s="2" t="str">
        <f t="shared" si="140"/>
        <v/>
      </c>
      <c r="L1025" s="2" t="str">
        <f t="shared" si="141"/>
        <v/>
      </c>
      <c r="N1025" s="10" t="str">
        <f t="shared" si="142"/>
        <v/>
      </c>
      <c r="O1025" s="2">
        <f t="shared" si="143"/>
        <v>45366</v>
      </c>
      <c r="P1025" s="2">
        <v>45365.415972222225</v>
      </c>
      <c r="Q1025" s="2">
        <f t="shared" si="144"/>
        <v>45372</v>
      </c>
      <c r="R1025" s="2">
        <v>45365.432071759256</v>
      </c>
      <c r="S1025">
        <f t="shared" si="145"/>
        <v>0</v>
      </c>
      <c r="T1025" s="2">
        <f t="shared" si="146"/>
        <v>45372</v>
      </c>
      <c r="U1025" t="str">
        <f t="shared" si="147"/>
        <v>NO PRAZO</v>
      </c>
    </row>
    <row r="1026" spans="1:21" hidden="1">
      <c r="A1026" s="1">
        <v>16686</v>
      </c>
      <c r="B1026" t="s">
        <v>17</v>
      </c>
      <c r="C1026" t="s">
        <v>9</v>
      </c>
      <c r="D1026" t="s">
        <v>18</v>
      </c>
      <c r="E1026" s="1">
        <v>873</v>
      </c>
      <c r="F1026" s="1">
        <v>2024</v>
      </c>
      <c r="G1026" t="s">
        <v>11</v>
      </c>
      <c r="H1026" s="2">
        <v>45363.583414351851</v>
      </c>
      <c r="I1026" s="9">
        <f t="shared" si="148"/>
        <v>45366</v>
      </c>
      <c r="J1026" s="2" t="str">
        <f t="shared" si="140"/>
        <v/>
      </c>
      <c r="L1026" s="2" t="str">
        <f t="shared" si="141"/>
        <v/>
      </c>
      <c r="N1026" s="10" t="str">
        <f t="shared" si="142"/>
        <v/>
      </c>
      <c r="O1026" s="2">
        <f t="shared" si="143"/>
        <v>45366</v>
      </c>
      <c r="P1026" s="2">
        <v>45364.421956018516</v>
      </c>
      <c r="Q1026" s="2">
        <f t="shared" si="144"/>
        <v>45372</v>
      </c>
      <c r="R1026" s="2">
        <v>45365.432118055556</v>
      </c>
      <c r="S1026">
        <f t="shared" si="145"/>
        <v>0</v>
      </c>
      <c r="T1026" s="2">
        <f t="shared" si="146"/>
        <v>45372</v>
      </c>
      <c r="U1026" t="str">
        <f t="shared" si="147"/>
        <v>NO PRAZO</v>
      </c>
    </row>
    <row r="1027" spans="1:21">
      <c r="A1027" s="1">
        <v>16684</v>
      </c>
      <c r="B1027" t="s">
        <v>12</v>
      </c>
      <c r="C1027" t="s">
        <v>13</v>
      </c>
      <c r="D1027" t="s">
        <v>16</v>
      </c>
      <c r="E1027" s="1">
        <v>871</v>
      </c>
      <c r="F1027" s="1">
        <v>2024</v>
      </c>
      <c r="G1027" t="s">
        <v>11</v>
      </c>
      <c r="H1027" s="2">
        <v>45363.458425925928</v>
      </c>
      <c r="I1027" s="9">
        <f t="shared" si="148"/>
        <v>45364</v>
      </c>
      <c r="J1027" s="2" t="str">
        <f t="shared" ref="J1027:J1090" si="149">IF(K1027&lt;&gt;"",I1027,"")</f>
        <v/>
      </c>
      <c r="L1027" s="2" t="str">
        <f t="shared" ref="L1027:L1090" si="150">IF(J1027="","",WORKDAY(J1027,14,Z$2:Z$500))</f>
        <v/>
      </c>
      <c r="N1027" s="10" t="str">
        <f t="shared" ref="N1027:N1090" si="151">IF(M1027="","",MAX(0,INT(M1027)-INT(L1027)))</f>
        <v/>
      </c>
      <c r="O1027" s="2">
        <f t="shared" ref="O1027:O1090" si="152">IF(L1027="",I1027,WORKDAY(L1027,1,Z$2:Z$500))</f>
        <v>45364</v>
      </c>
      <c r="P1027" s="2">
        <v>45369.396608796298</v>
      </c>
      <c r="Q1027" s="2">
        <f t="shared" ref="Q1027:Q1090" si="153">IF(OR(D1027="ORIENTAÇÃO",D1027="BUG IMPEDITIVO"),WORKDAY(O1027,1,Z$2:Z$500),IF(OR(D1027="MELHORIA PEQUENA",D1027="BUG NÃO IMPEDITIVO"),WORKDAY(O1027,4,Z$2:Z$500),IF(D1027="MELHORIA MÉDIA",WORKDAY(O1027,19,Z$2:Z$500),"")))</f>
        <v>45370</v>
      </c>
      <c r="R1027" s="2">
        <v>45386.765543981484</v>
      </c>
      <c r="S1027">
        <f t="shared" ref="S1027:S1090" si="154">MAX(0,INT(R1027)-INT(Q1027))</f>
        <v>16</v>
      </c>
      <c r="T1027" s="2">
        <f t="shared" ref="T1027:T1090" si="155">IF(D1027="MELHORIA MÉDIA",IF(K1027&lt;&gt;"",WORKDAY(I1027,34,$Z$2:$Z$1000),WORKDAY(I1027,19,$Z$2:$Z$1000)),IF(OR(D1027="MELHORIA PEQUENA",D1027="BUG NÃO IMPEDITIVO"),WORKDAY(I1027,4,$Z$2:$Z$1000),IF(OR(D1027="ORIENTAÇÃO",D1027="BUG IMPEDITIVO"),WORKDAY(I1027,1,$Z$2:$Z$1000),"")))</f>
        <v>45370</v>
      </c>
      <c r="U1027" t="str">
        <f t="shared" ref="U1027:U1090" si="156">IF(INT(R1027)&lt;=INT(T1027),"NO PRAZO","ATRASO")</f>
        <v>ATRASO</v>
      </c>
    </row>
    <row r="1028" spans="1:21" hidden="1">
      <c r="A1028" s="1">
        <v>16683</v>
      </c>
      <c r="B1028" t="s">
        <v>12</v>
      </c>
      <c r="C1028" t="s">
        <v>13</v>
      </c>
      <c r="D1028" t="s">
        <v>14</v>
      </c>
      <c r="E1028" s="1">
        <v>870</v>
      </c>
      <c r="F1028" s="1">
        <v>2024</v>
      </c>
      <c r="G1028" t="s">
        <v>11</v>
      </c>
      <c r="H1028" s="2">
        <v>45363.458425925928</v>
      </c>
      <c r="I1028" s="9">
        <f t="shared" si="148"/>
        <v>45364</v>
      </c>
      <c r="J1028" s="2" t="str">
        <f t="shared" si="149"/>
        <v/>
      </c>
      <c r="L1028" s="2" t="str">
        <f t="shared" si="150"/>
        <v/>
      </c>
      <c r="N1028" s="10" t="str">
        <f t="shared" si="151"/>
        <v/>
      </c>
      <c r="O1028" s="2">
        <f t="shared" si="152"/>
        <v>45364</v>
      </c>
      <c r="P1028" s="2">
        <v>45364.875023148146</v>
      </c>
      <c r="Q1028" s="2">
        <f t="shared" si="153"/>
        <v>45365</v>
      </c>
      <c r="R1028" s="2">
        <v>45365.4299537037</v>
      </c>
      <c r="S1028">
        <f t="shared" si="154"/>
        <v>0</v>
      </c>
      <c r="T1028" s="2">
        <f t="shared" si="155"/>
        <v>45365</v>
      </c>
      <c r="U1028" t="str">
        <f t="shared" si="156"/>
        <v>NO PRAZO</v>
      </c>
    </row>
    <row r="1029" spans="1:21" hidden="1">
      <c r="A1029" s="1">
        <v>16681</v>
      </c>
      <c r="B1029" t="s">
        <v>19</v>
      </c>
      <c r="C1029" t="s">
        <v>13</v>
      </c>
      <c r="D1029" t="s">
        <v>16</v>
      </c>
      <c r="E1029" s="1">
        <v>868</v>
      </c>
      <c r="F1029" s="1">
        <v>2024</v>
      </c>
      <c r="G1029" t="s">
        <v>11</v>
      </c>
      <c r="H1029" s="2">
        <v>45363.416759259257</v>
      </c>
      <c r="I1029" s="9">
        <f t="shared" si="148"/>
        <v>45364</v>
      </c>
      <c r="J1029" s="2" t="str">
        <f t="shared" si="149"/>
        <v/>
      </c>
      <c r="L1029" s="2" t="str">
        <f t="shared" si="150"/>
        <v/>
      </c>
      <c r="N1029" s="10" t="str">
        <f t="shared" si="151"/>
        <v/>
      </c>
      <c r="O1029" s="2">
        <f t="shared" si="152"/>
        <v>45364</v>
      </c>
      <c r="P1029" s="2">
        <v>45366.673229166663</v>
      </c>
      <c r="Q1029" s="2">
        <f t="shared" si="153"/>
        <v>45370</v>
      </c>
      <c r="R1029" s="2">
        <v>45366.673761574071</v>
      </c>
      <c r="S1029">
        <f t="shared" si="154"/>
        <v>0</v>
      </c>
      <c r="T1029" s="2">
        <f t="shared" si="155"/>
        <v>45370</v>
      </c>
      <c r="U1029" t="str">
        <f t="shared" si="156"/>
        <v>NO PRAZO</v>
      </c>
    </row>
    <row r="1030" spans="1:21" hidden="1">
      <c r="A1030" s="1">
        <v>16679</v>
      </c>
      <c r="B1030" t="s">
        <v>12</v>
      </c>
      <c r="C1030" t="s">
        <v>13</v>
      </c>
      <c r="D1030" t="s">
        <v>10</v>
      </c>
      <c r="E1030" s="1">
        <v>866</v>
      </c>
      <c r="F1030" s="1">
        <v>2024</v>
      </c>
      <c r="G1030" t="s">
        <v>11</v>
      </c>
      <c r="H1030" s="2">
        <v>45362.875127314815</v>
      </c>
      <c r="I1030" s="9">
        <f t="shared" si="148"/>
        <v>45363</v>
      </c>
      <c r="J1030" s="2" t="str">
        <f t="shared" si="149"/>
        <v/>
      </c>
      <c r="L1030" s="2" t="str">
        <f t="shared" si="150"/>
        <v/>
      </c>
      <c r="N1030" s="10" t="str">
        <f t="shared" si="151"/>
        <v/>
      </c>
      <c r="O1030" s="2">
        <f t="shared" si="152"/>
        <v>45363</v>
      </c>
      <c r="P1030" s="2">
        <v>45363.732905092591</v>
      </c>
      <c r="Q1030" s="2">
        <f t="shared" si="153"/>
        <v>45364</v>
      </c>
      <c r="R1030" s="2">
        <v>45364.662303240744</v>
      </c>
      <c r="S1030">
        <f t="shared" si="154"/>
        <v>0</v>
      </c>
      <c r="T1030" s="2">
        <f t="shared" si="155"/>
        <v>45364</v>
      </c>
      <c r="U1030" t="str">
        <f t="shared" si="156"/>
        <v>NO PRAZO</v>
      </c>
    </row>
    <row r="1031" spans="1:21" hidden="1">
      <c r="A1031" s="1">
        <v>16678</v>
      </c>
      <c r="B1031" t="s">
        <v>19</v>
      </c>
      <c r="C1031" t="s">
        <v>13</v>
      </c>
      <c r="D1031" t="s">
        <v>18</v>
      </c>
      <c r="E1031" s="1">
        <v>865</v>
      </c>
      <c r="F1031" s="1">
        <v>2024</v>
      </c>
      <c r="G1031" t="s">
        <v>11</v>
      </c>
      <c r="H1031" s="2">
        <v>45362.741319444445</v>
      </c>
      <c r="I1031" s="9">
        <f t="shared" si="148"/>
        <v>45365</v>
      </c>
      <c r="J1031" s="2" t="str">
        <f t="shared" si="149"/>
        <v/>
      </c>
      <c r="L1031" s="2" t="str">
        <f t="shared" si="150"/>
        <v/>
      </c>
      <c r="N1031" s="10" t="str">
        <f t="shared" si="151"/>
        <v/>
      </c>
      <c r="O1031" s="2">
        <f t="shared" si="152"/>
        <v>45365</v>
      </c>
      <c r="P1031" s="2">
        <v>45362.743148148147</v>
      </c>
      <c r="Q1031" s="2">
        <f t="shared" si="153"/>
        <v>45371</v>
      </c>
      <c r="R1031" s="2">
        <v>45362.743576388886</v>
      </c>
      <c r="S1031">
        <f t="shared" si="154"/>
        <v>0</v>
      </c>
      <c r="T1031" s="2">
        <f t="shared" si="155"/>
        <v>45371</v>
      </c>
      <c r="U1031" t="str">
        <f t="shared" si="156"/>
        <v>NO PRAZO</v>
      </c>
    </row>
    <row r="1032" spans="1:21" hidden="1">
      <c r="A1032" s="1">
        <v>16676</v>
      </c>
      <c r="B1032" t="s">
        <v>19</v>
      </c>
      <c r="C1032" t="s">
        <v>13</v>
      </c>
      <c r="D1032" t="s">
        <v>18</v>
      </c>
      <c r="E1032" s="1">
        <v>863</v>
      </c>
      <c r="F1032" s="1">
        <v>2024</v>
      </c>
      <c r="G1032" t="s">
        <v>11</v>
      </c>
      <c r="H1032" s="2">
        <v>45362.708402777775</v>
      </c>
      <c r="I1032" s="9">
        <f t="shared" si="148"/>
        <v>45365</v>
      </c>
      <c r="J1032" s="2" t="str">
        <f t="shared" si="149"/>
        <v/>
      </c>
      <c r="L1032" s="2" t="str">
        <f t="shared" si="150"/>
        <v/>
      </c>
      <c r="N1032" s="10" t="str">
        <f t="shared" si="151"/>
        <v/>
      </c>
      <c r="O1032" s="2">
        <f t="shared" si="152"/>
        <v>45365</v>
      </c>
      <c r="P1032" s="2">
        <v>45364.727893518517</v>
      </c>
      <c r="Q1032" s="2">
        <f t="shared" si="153"/>
        <v>45371</v>
      </c>
      <c r="R1032" s="2">
        <v>45364.728310185186</v>
      </c>
      <c r="S1032">
        <f t="shared" si="154"/>
        <v>0</v>
      </c>
      <c r="T1032" s="2">
        <f t="shared" si="155"/>
        <v>45371</v>
      </c>
      <c r="U1032" t="str">
        <f t="shared" si="156"/>
        <v>NO PRAZO</v>
      </c>
    </row>
    <row r="1033" spans="1:21" hidden="1">
      <c r="A1033" s="1">
        <v>16670</v>
      </c>
      <c r="B1033" t="s">
        <v>12</v>
      </c>
      <c r="C1033" t="s">
        <v>13</v>
      </c>
      <c r="D1033" t="s">
        <v>16</v>
      </c>
      <c r="E1033" s="1">
        <v>857</v>
      </c>
      <c r="F1033" s="1">
        <v>2024</v>
      </c>
      <c r="G1033" t="s">
        <v>11</v>
      </c>
      <c r="H1033" s="2">
        <v>45362.583391203705</v>
      </c>
      <c r="I1033" s="9">
        <f t="shared" si="148"/>
        <v>45363</v>
      </c>
      <c r="J1033" s="2" t="str">
        <f t="shared" si="149"/>
        <v/>
      </c>
      <c r="L1033" s="2" t="str">
        <f t="shared" si="150"/>
        <v/>
      </c>
      <c r="N1033" s="10" t="str">
        <f t="shared" si="151"/>
        <v/>
      </c>
      <c r="O1033" s="2">
        <f t="shared" si="152"/>
        <v>45363</v>
      </c>
      <c r="P1033" s="2">
        <v>45369.598761574074</v>
      </c>
      <c r="Q1033" s="2">
        <f t="shared" si="153"/>
        <v>45369</v>
      </c>
      <c r="R1033" s="2">
        <v>45369.608240740738</v>
      </c>
      <c r="S1033">
        <f t="shared" si="154"/>
        <v>0</v>
      </c>
      <c r="T1033" s="2">
        <f t="shared" si="155"/>
        <v>45369</v>
      </c>
      <c r="U1033" t="str">
        <f t="shared" si="156"/>
        <v>NO PRAZO</v>
      </c>
    </row>
    <row r="1034" spans="1:21" hidden="1">
      <c r="A1034" s="1">
        <v>16669</v>
      </c>
      <c r="B1034" t="s">
        <v>12</v>
      </c>
      <c r="C1034" t="s">
        <v>13</v>
      </c>
      <c r="D1034" t="s">
        <v>18</v>
      </c>
      <c r="E1034" s="1">
        <v>856</v>
      </c>
      <c r="F1034" s="1">
        <v>2024</v>
      </c>
      <c r="G1034" t="s">
        <v>11</v>
      </c>
      <c r="H1034" s="2">
        <v>45362.500092592592</v>
      </c>
      <c r="I1034" s="9">
        <f t="shared" si="148"/>
        <v>45365</v>
      </c>
      <c r="J1034" s="2" t="str">
        <f t="shared" si="149"/>
        <v/>
      </c>
      <c r="L1034" s="2" t="str">
        <f t="shared" si="150"/>
        <v/>
      </c>
      <c r="N1034" s="10" t="str">
        <f t="shared" si="151"/>
        <v/>
      </c>
      <c r="O1034" s="2">
        <f t="shared" si="152"/>
        <v>45365</v>
      </c>
      <c r="P1034" s="2">
        <v>45364.496099537035</v>
      </c>
      <c r="Q1034" s="2">
        <f t="shared" si="153"/>
        <v>45371</v>
      </c>
      <c r="R1034" s="2">
        <v>45364.496921296297</v>
      </c>
      <c r="S1034">
        <f t="shared" si="154"/>
        <v>0</v>
      </c>
      <c r="T1034" s="2">
        <f t="shared" si="155"/>
        <v>45371</v>
      </c>
      <c r="U1034" t="str">
        <f t="shared" si="156"/>
        <v>NO PRAZO</v>
      </c>
    </row>
    <row r="1035" spans="1:21" hidden="1">
      <c r="A1035" s="1">
        <v>16664</v>
      </c>
      <c r="B1035" t="s">
        <v>17</v>
      </c>
      <c r="C1035" t="s">
        <v>9</v>
      </c>
      <c r="D1035" t="s">
        <v>18</v>
      </c>
      <c r="E1035" s="1">
        <v>851</v>
      </c>
      <c r="F1035" s="1">
        <v>2024</v>
      </c>
      <c r="G1035" t="s">
        <v>11</v>
      </c>
      <c r="H1035" s="2">
        <v>45362.375081018516</v>
      </c>
      <c r="I1035" s="9">
        <f t="shared" si="148"/>
        <v>45365</v>
      </c>
      <c r="J1035" s="2" t="str">
        <f t="shared" si="149"/>
        <v/>
      </c>
      <c r="L1035" s="2" t="str">
        <f t="shared" si="150"/>
        <v/>
      </c>
      <c r="N1035" s="10" t="str">
        <f t="shared" si="151"/>
        <v/>
      </c>
      <c r="O1035" s="2">
        <f t="shared" si="152"/>
        <v>45365</v>
      </c>
      <c r="P1035" s="2">
        <v>45362.760057870371</v>
      </c>
      <c r="Q1035" s="2">
        <f t="shared" si="153"/>
        <v>45371</v>
      </c>
      <c r="R1035" s="2">
        <v>45362.77002314815</v>
      </c>
      <c r="S1035">
        <f t="shared" si="154"/>
        <v>0</v>
      </c>
      <c r="T1035" s="2">
        <f t="shared" si="155"/>
        <v>45371</v>
      </c>
      <c r="U1035" t="str">
        <f t="shared" si="156"/>
        <v>NO PRAZO</v>
      </c>
    </row>
    <row r="1036" spans="1:21" hidden="1">
      <c r="A1036" s="1">
        <v>16634</v>
      </c>
      <c r="B1036" t="s">
        <v>12</v>
      </c>
      <c r="C1036" t="s">
        <v>9</v>
      </c>
      <c r="D1036" t="s">
        <v>18</v>
      </c>
      <c r="E1036" s="1">
        <v>821</v>
      </c>
      <c r="F1036" s="1">
        <v>2024</v>
      </c>
      <c r="G1036" t="s">
        <v>11</v>
      </c>
      <c r="H1036" s="2">
        <v>45358.625104166669</v>
      </c>
      <c r="I1036" s="9">
        <f t="shared" si="148"/>
        <v>45363</v>
      </c>
      <c r="J1036" s="2" t="str">
        <f t="shared" si="149"/>
        <v/>
      </c>
      <c r="L1036" s="2" t="str">
        <f t="shared" si="150"/>
        <v/>
      </c>
      <c r="N1036" s="10" t="str">
        <f t="shared" si="151"/>
        <v/>
      </c>
      <c r="O1036" s="2">
        <f t="shared" si="152"/>
        <v>45363</v>
      </c>
      <c r="P1036" s="2">
        <v>45359.43822916667</v>
      </c>
      <c r="Q1036" s="2">
        <f t="shared" si="153"/>
        <v>45369</v>
      </c>
      <c r="R1036" s="2">
        <v>45364.491087962961</v>
      </c>
      <c r="S1036">
        <f t="shared" si="154"/>
        <v>0</v>
      </c>
      <c r="T1036" s="2">
        <f t="shared" si="155"/>
        <v>45369</v>
      </c>
      <c r="U1036" t="str">
        <f t="shared" si="156"/>
        <v>NO PRAZO</v>
      </c>
    </row>
    <row r="1037" spans="1:21" hidden="1">
      <c r="A1037" s="1">
        <v>16617</v>
      </c>
      <c r="B1037" t="s">
        <v>20</v>
      </c>
      <c r="C1037" t="s">
        <v>13</v>
      </c>
      <c r="D1037" t="s">
        <v>16</v>
      </c>
      <c r="E1037" s="1">
        <v>804</v>
      </c>
      <c r="F1037" s="1">
        <v>2024</v>
      </c>
      <c r="G1037" t="s">
        <v>11</v>
      </c>
      <c r="H1037" s="2">
        <v>45357.750104166669</v>
      </c>
      <c r="I1037" s="9">
        <f t="shared" si="148"/>
        <v>45358</v>
      </c>
      <c r="J1037" s="2" t="str">
        <f t="shared" si="149"/>
        <v/>
      </c>
      <c r="L1037" s="2" t="str">
        <f t="shared" si="150"/>
        <v/>
      </c>
      <c r="N1037" s="10" t="str">
        <f t="shared" si="151"/>
        <v/>
      </c>
      <c r="O1037" s="2">
        <f t="shared" si="152"/>
        <v>45358</v>
      </c>
      <c r="P1037" s="2">
        <v>45359.410162037035</v>
      </c>
      <c r="Q1037" s="2">
        <f t="shared" si="153"/>
        <v>45364</v>
      </c>
      <c r="R1037" s="2">
        <v>45363.902222222219</v>
      </c>
      <c r="S1037">
        <f t="shared" si="154"/>
        <v>0</v>
      </c>
      <c r="T1037" s="2">
        <f t="shared" si="155"/>
        <v>45364</v>
      </c>
      <c r="U1037" t="str">
        <f t="shared" si="156"/>
        <v>NO PRAZO</v>
      </c>
    </row>
    <row r="1038" spans="1:21" hidden="1">
      <c r="A1038" s="1">
        <v>16600</v>
      </c>
      <c r="B1038" t="s">
        <v>17</v>
      </c>
      <c r="C1038" t="s">
        <v>9</v>
      </c>
      <c r="D1038" t="s">
        <v>18</v>
      </c>
      <c r="E1038" s="1">
        <v>787</v>
      </c>
      <c r="F1038" s="1">
        <v>2024</v>
      </c>
      <c r="G1038" t="s">
        <v>11</v>
      </c>
      <c r="H1038" s="2">
        <v>45356.666770833333</v>
      </c>
      <c r="I1038" s="9">
        <f t="shared" si="148"/>
        <v>45359</v>
      </c>
      <c r="J1038" s="2" t="str">
        <f t="shared" si="149"/>
        <v/>
      </c>
      <c r="L1038" s="2" t="str">
        <f t="shared" si="150"/>
        <v/>
      </c>
      <c r="N1038" s="10" t="str">
        <f t="shared" si="151"/>
        <v/>
      </c>
      <c r="O1038" s="2">
        <f t="shared" si="152"/>
        <v>45359</v>
      </c>
      <c r="P1038" s="2">
        <v>45358.431273148148</v>
      </c>
      <c r="Q1038" s="2">
        <f t="shared" si="153"/>
        <v>45365</v>
      </c>
      <c r="R1038" s="2">
        <v>45358.528182870374</v>
      </c>
      <c r="S1038">
        <f t="shared" si="154"/>
        <v>0</v>
      </c>
      <c r="T1038" s="2">
        <f t="shared" si="155"/>
        <v>45365</v>
      </c>
      <c r="U1038" t="str">
        <f t="shared" si="156"/>
        <v>NO PRAZO</v>
      </c>
    </row>
    <row r="1039" spans="1:21" hidden="1">
      <c r="A1039" s="1">
        <v>16596</v>
      </c>
      <c r="B1039" t="s">
        <v>20</v>
      </c>
      <c r="C1039" t="s">
        <v>13</v>
      </c>
      <c r="D1039" t="s">
        <v>21</v>
      </c>
      <c r="E1039" s="1">
        <v>783</v>
      </c>
      <c r="F1039" s="1">
        <v>2024</v>
      </c>
      <c r="G1039" t="s">
        <v>11</v>
      </c>
      <c r="H1039" s="2">
        <v>45356.625081018516</v>
      </c>
      <c r="I1039" s="9">
        <f t="shared" si="148"/>
        <v>45359</v>
      </c>
      <c r="J1039" s="2" t="str">
        <f t="shared" si="149"/>
        <v/>
      </c>
      <c r="L1039" s="2" t="str">
        <f t="shared" si="150"/>
        <v/>
      </c>
      <c r="N1039" s="10" t="str">
        <f t="shared" si="151"/>
        <v/>
      </c>
      <c r="O1039" s="2">
        <f t="shared" si="152"/>
        <v>45359</v>
      </c>
      <c r="P1039" s="2">
        <v>45357.556863425925</v>
      </c>
      <c r="Q1039" s="2">
        <f t="shared" si="153"/>
        <v>45387</v>
      </c>
      <c r="R1039" s="2">
        <v>45362.704675925925</v>
      </c>
      <c r="S1039">
        <f t="shared" si="154"/>
        <v>0</v>
      </c>
      <c r="T1039" s="2">
        <f t="shared" si="155"/>
        <v>45387</v>
      </c>
      <c r="U1039" t="str">
        <f t="shared" si="156"/>
        <v>NO PRAZO</v>
      </c>
    </row>
    <row r="1040" spans="1:21" hidden="1">
      <c r="A1040" s="1">
        <v>16593</v>
      </c>
      <c r="B1040" t="s">
        <v>19</v>
      </c>
      <c r="C1040" t="s">
        <v>13</v>
      </c>
      <c r="D1040" t="s">
        <v>18</v>
      </c>
      <c r="E1040" s="1">
        <v>780</v>
      </c>
      <c r="F1040" s="1">
        <v>2024</v>
      </c>
      <c r="G1040" t="s">
        <v>11</v>
      </c>
      <c r="H1040" s="2">
        <v>45356.583449074074</v>
      </c>
      <c r="I1040" s="9">
        <f t="shared" si="148"/>
        <v>45359</v>
      </c>
      <c r="J1040" s="2" t="str">
        <f t="shared" si="149"/>
        <v/>
      </c>
      <c r="L1040" s="2" t="str">
        <f t="shared" si="150"/>
        <v/>
      </c>
      <c r="N1040" s="10" t="str">
        <f t="shared" si="151"/>
        <v/>
      </c>
      <c r="O1040" s="2">
        <f t="shared" si="152"/>
        <v>45359</v>
      </c>
      <c r="P1040" s="2">
        <v>45358.6409375</v>
      </c>
      <c r="Q1040" s="2">
        <f t="shared" si="153"/>
        <v>45365</v>
      </c>
      <c r="R1040" s="2">
        <v>45358.641053240739</v>
      </c>
      <c r="S1040">
        <f t="shared" si="154"/>
        <v>0</v>
      </c>
      <c r="T1040" s="2">
        <f t="shared" si="155"/>
        <v>45365</v>
      </c>
      <c r="U1040" t="str">
        <f t="shared" si="156"/>
        <v>NO PRAZO</v>
      </c>
    </row>
    <row r="1041" spans="1:21" hidden="1">
      <c r="A1041" s="1">
        <v>16590</v>
      </c>
      <c r="B1041" t="s">
        <v>19</v>
      </c>
      <c r="C1041" t="s">
        <v>13</v>
      </c>
      <c r="D1041" t="s">
        <v>16</v>
      </c>
      <c r="E1041" s="1">
        <v>777</v>
      </c>
      <c r="F1041" s="1">
        <v>2024</v>
      </c>
      <c r="G1041" t="s">
        <v>11</v>
      </c>
      <c r="H1041" s="2">
        <v>45356.500092592592</v>
      </c>
      <c r="I1041" s="9">
        <f t="shared" si="148"/>
        <v>45357</v>
      </c>
      <c r="J1041" s="2" t="str">
        <f t="shared" si="149"/>
        <v/>
      </c>
      <c r="L1041" s="2" t="str">
        <f t="shared" si="150"/>
        <v/>
      </c>
      <c r="N1041" s="10" t="str">
        <f t="shared" si="151"/>
        <v/>
      </c>
      <c r="O1041" s="2">
        <f t="shared" si="152"/>
        <v>45357</v>
      </c>
      <c r="P1041" s="2">
        <v>45358.608310185184</v>
      </c>
      <c r="Q1041" s="2">
        <f t="shared" si="153"/>
        <v>45363</v>
      </c>
      <c r="R1041" s="2">
        <v>45358.608749999999</v>
      </c>
      <c r="S1041">
        <f t="shared" si="154"/>
        <v>0</v>
      </c>
      <c r="T1041" s="2">
        <f t="shared" si="155"/>
        <v>45363</v>
      </c>
      <c r="U1041" t="str">
        <f t="shared" si="156"/>
        <v>NO PRAZO</v>
      </c>
    </row>
    <row r="1042" spans="1:21" hidden="1">
      <c r="A1042" s="1">
        <v>16588</v>
      </c>
      <c r="B1042" t="s">
        <v>19</v>
      </c>
      <c r="C1042" t="s">
        <v>13</v>
      </c>
      <c r="D1042" t="s">
        <v>16</v>
      </c>
      <c r="E1042" s="1">
        <v>775</v>
      </c>
      <c r="F1042" s="1">
        <v>2024</v>
      </c>
      <c r="G1042" t="s">
        <v>11</v>
      </c>
      <c r="H1042" s="2">
        <v>45356.458437499998</v>
      </c>
      <c r="I1042" s="9">
        <f t="shared" si="148"/>
        <v>45357</v>
      </c>
      <c r="J1042" s="2" t="str">
        <f t="shared" si="149"/>
        <v/>
      </c>
      <c r="L1042" s="2" t="str">
        <f t="shared" si="150"/>
        <v/>
      </c>
      <c r="N1042" s="10" t="str">
        <f t="shared" si="151"/>
        <v/>
      </c>
      <c r="O1042" s="2">
        <f t="shared" si="152"/>
        <v>45357</v>
      </c>
      <c r="P1042" s="2">
        <v>45358.609502314815</v>
      </c>
      <c r="Q1042" s="2">
        <f t="shared" si="153"/>
        <v>45363</v>
      </c>
      <c r="R1042" s="2">
        <v>45358.609930555554</v>
      </c>
      <c r="S1042">
        <f t="shared" si="154"/>
        <v>0</v>
      </c>
      <c r="T1042" s="2">
        <f t="shared" si="155"/>
        <v>45363</v>
      </c>
      <c r="U1042" t="str">
        <f t="shared" si="156"/>
        <v>NO PRAZO</v>
      </c>
    </row>
    <row r="1043" spans="1:21" hidden="1">
      <c r="A1043" s="1">
        <v>16587</v>
      </c>
      <c r="B1043" t="s">
        <v>19</v>
      </c>
      <c r="C1043" t="s">
        <v>13</v>
      </c>
      <c r="D1043" t="s">
        <v>18</v>
      </c>
      <c r="E1043" s="1">
        <v>774</v>
      </c>
      <c r="F1043" s="1">
        <v>2024</v>
      </c>
      <c r="G1043" t="s">
        <v>11</v>
      </c>
      <c r="H1043" s="2">
        <v>45356.458437499998</v>
      </c>
      <c r="I1043" s="9">
        <f t="shared" si="148"/>
        <v>45359</v>
      </c>
      <c r="J1043" s="2" t="str">
        <f t="shared" si="149"/>
        <v/>
      </c>
      <c r="L1043" s="2" t="str">
        <f t="shared" si="150"/>
        <v/>
      </c>
      <c r="N1043" s="10" t="str">
        <f t="shared" si="151"/>
        <v/>
      </c>
      <c r="O1043" s="2">
        <f t="shared" si="152"/>
        <v>45359</v>
      </c>
      <c r="P1043" s="2">
        <v>45362.426620370374</v>
      </c>
      <c r="Q1043" s="2">
        <f t="shared" si="153"/>
        <v>45365</v>
      </c>
      <c r="R1043" s="2">
        <v>45362.428067129629</v>
      </c>
      <c r="S1043">
        <f t="shared" si="154"/>
        <v>0</v>
      </c>
      <c r="T1043" s="2">
        <f t="shared" si="155"/>
        <v>45365</v>
      </c>
      <c r="U1043" t="str">
        <f t="shared" si="156"/>
        <v>NO PRAZO</v>
      </c>
    </row>
    <row r="1044" spans="1:21" hidden="1">
      <c r="A1044" s="1">
        <v>16582</v>
      </c>
      <c r="B1044" t="s">
        <v>8</v>
      </c>
      <c r="C1044" t="s">
        <v>13</v>
      </c>
      <c r="D1044" t="s">
        <v>10</v>
      </c>
      <c r="E1044" s="1">
        <v>769</v>
      </c>
      <c r="F1044" s="1">
        <v>2024</v>
      </c>
      <c r="G1044" t="s">
        <v>11</v>
      </c>
      <c r="H1044" s="2">
        <v>45356.375081018516</v>
      </c>
      <c r="I1044" s="9">
        <f t="shared" si="148"/>
        <v>45357</v>
      </c>
      <c r="J1044" s="2" t="str">
        <f t="shared" si="149"/>
        <v/>
      </c>
      <c r="L1044" s="2" t="str">
        <f t="shared" si="150"/>
        <v/>
      </c>
      <c r="N1044" s="10" t="str">
        <f t="shared" si="151"/>
        <v/>
      </c>
      <c r="O1044" s="2">
        <f t="shared" si="152"/>
        <v>45357</v>
      </c>
      <c r="P1044" s="2">
        <v>45358.730462962965</v>
      </c>
      <c r="Q1044" s="2">
        <f t="shared" si="153"/>
        <v>45358</v>
      </c>
      <c r="R1044" s="2">
        <v>45358.740682870368</v>
      </c>
      <c r="S1044">
        <f t="shared" si="154"/>
        <v>0</v>
      </c>
      <c r="T1044" s="2">
        <f t="shared" si="155"/>
        <v>45358</v>
      </c>
      <c r="U1044" t="str">
        <f t="shared" si="156"/>
        <v>NO PRAZO</v>
      </c>
    </row>
    <row r="1045" spans="1:21" hidden="1">
      <c r="A1045" s="1">
        <v>16577</v>
      </c>
      <c r="B1045" t="s">
        <v>20</v>
      </c>
      <c r="C1045" t="s">
        <v>13</v>
      </c>
      <c r="D1045" t="s">
        <v>16</v>
      </c>
      <c r="E1045" s="1">
        <v>764</v>
      </c>
      <c r="F1045" s="1">
        <v>2024</v>
      </c>
      <c r="G1045" t="s">
        <v>11</v>
      </c>
      <c r="H1045" s="2">
        <v>45355.625115740739</v>
      </c>
      <c r="I1045" s="9">
        <f t="shared" si="148"/>
        <v>45356</v>
      </c>
      <c r="J1045" s="2" t="str">
        <f t="shared" si="149"/>
        <v/>
      </c>
      <c r="L1045" s="2" t="str">
        <f t="shared" si="150"/>
        <v/>
      </c>
      <c r="N1045" s="10" t="str">
        <f t="shared" si="151"/>
        <v/>
      </c>
      <c r="O1045" s="2">
        <f t="shared" si="152"/>
        <v>45356</v>
      </c>
      <c r="P1045" s="2">
        <v>45356.743425925924</v>
      </c>
      <c r="Q1045" s="2">
        <f t="shared" si="153"/>
        <v>45362</v>
      </c>
      <c r="R1045" s="2">
        <v>45362.733819444446</v>
      </c>
      <c r="S1045">
        <f t="shared" si="154"/>
        <v>0</v>
      </c>
      <c r="T1045" s="2">
        <f t="shared" si="155"/>
        <v>45362</v>
      </c>
      <c r="U1045" t="str">
        <f t="shared" si="156"/>
        <v>NO PRAZO</v>
      </c>
    </row>
    <row r="1046" spans="1:21" hidden="1">
      <c r="A1046" s="1">
        <v>16576</v>
      </c>
      <c r="B1046" t="s">
        <v>19</v>
      </c>
      <c r="C1046" t="s">
        <v>13</v>
      </c>
      <c r="D1046" t="s">
        <v>18</v>
      </c>
      <c r="E1046" s="1">
        <v>763</v>
      </c>
      <c r="F1046" s="1">
        <v>2024</v>
      </c>
      <c r="G1046" t="s">
        <v>11</v>
      </c>
      <c r="H1046" s="2">
        <v>45355.625115740739</v>
      </c>
      <c r="I1046" s="9">
        <f t="shared" si="148"/>
        <v>45358</v>
      </c>
      <c r="J1046" s="2" t="str">
        <f t="shared" si="149"/>
        <v/>
      </c>
      <c r="L1046" s="2" t="str">
        <f t="shared" si="150"/>
        <v/>
      </c>
      <c r="N1046" s="10" t="str">
        <f t="shared" si="151"/>
        <v/>
      </c>
      <c r="O1046" s="2">
        <f t="shared" si="152"/>
        <v>45358</v>
      </c>
      <c r="P1046" s="2">
        <v>45356.728912037041</v>
      </c>
      <c r="Q1046" s="2">
        <f t="shared" si="153"/>
        <v>45364</v>
      </c>
      <c r="R1046" s="2">
        <v>45356.729027777779</v>
      </c>
      <c r="S1046">
        <f t="shared" si="154"/>
        <v>0</v>
      </c>
      <c r="T1046" s="2">
        <f t="shared" si="155"/>
        <v>45364</v>
      </c>
      <c r="U1046" t="str">
        <f t="shared" si="156"/>
        <v>NO PRAZO</v>
      </c>
    </row>
    <row r="1047" spans="1:21" hidden="1">
      <c r="A1047" s="1">
        <v>16558</v>
      </c>
      <c r="B1047" t="s">
        <v>19</v>
      </c>
      <c r="C1047" t="s">
        <v>13</v>
      </c>
      <c r="D1047" t="s">
        <v>10</v>
      </c>
      <c r="E1047" s="1">
        <v>745</v>
      </c>
      <c r="F1047" s="1">
        <v>2024</v>
      </c>
      <c r="G1047" t="s">
        <v>11</v>
      </c>
      <c r="H1047" s="2">
        <v>45352.583460648151</v>
      </c>
      <c r="I1047" s="9">
        <f t="shared" si="148"/>
        <v>45355</v>
      </c>
      <c r="J1047" s="2" t="str">
        <f t="shared" si="149"/>
        <v/>
      </c>
      <c r="L1047" s="2" t="str">
        <f t="shared" si="150"/>
        <v/>
      </c>
      <c r="N1047" s="10" t="str">
        <f t="shared" si="151"/>
        <v/>
      </c>
      <c r="O1047" s="2">
        <f t="shared" si="152"/>
        <v>45355</v>
      </c>
      <c r="P1047" s="2">
        <v>45355.464756944442</v>
      </c>
      <c r="Q1047" s="2">
        <f t="shared" si="153"/>
        <v>45356</v>
      </c>
      <c r="R1047" s="2">
        <v>45355.958113425928</v>
      </c>
      <c r="S1047">
        <f t="shared" si="154"/>
        <v>0</v>
      </c>
      <c r="T1047" s="2">
        <f t="shared" si="155"/>
        <v>45356</v>
      </c>
      <c r="U1047" t="str">
        <f t="shared" si="156"/>
        <v>NO PRAZO</v>
      </c>
    </row>
    <row r="1048" spans="1:21" hidden="1">
      <c r="A1048" s="1">
        <v>16553</v>
      </c>
      <c r="B1048" t="s">
        <v>12</v>
      </c>
      <c r="C1048" t="s">
        <v>13</v>
      </c>
      <c r="D1048" t="s">
        <v>18</v>
      </c>
      <c r="E1048" s="1">
        <v>740</v>
      </c>
      <c r="F1048" s="1">
        <v>2024</v>
      </c>
      <c r="G1048" t="s">
        <v>11</v>
      </c>
      <c r="H1048" s="2">
        <v>45352.500138888892</v>
      </c>
      <c r="I1048" s="9">
        <f t="shared" si="148"/>
        <v>45357</v>
      </c>
      <c r="J1048" s="2" t="str">
        <f t="shared" si="149"/>
        <v/>
      </c>
      <c r="L1048" s="2" t="str">
        <f t="shared" si="150"/>
        <v/>
      </c>
      <c r="N1048" s="10" t="str">
        <f t="shared" si="151"/>
        <v/>
      </c>
      <c r="O1048" s="2">
        <f t="shared" si="152"/>
        <v>45357</v>
      </c>
      <c r="P1048" s="2">
        <v>45355.521122685182</v>
      </c>
      <c r="Q1048" s="2">
        <f t="shared" si="153"/>
        <v>45363</v>
      </c>
      <c r="R1048" s="2">
        <v>45356.507106481484</v>
      </c>
      <c r="S1048">
        <f t="shared" si="154"/>
        <v>0</v>
      </c>
      <c r="T1048" s="2">
        <f t="shared" si="155"/>
        <v>45363</v>
      </c>
      <c r="U1048" t="str">
        <f t="shared" si="156"/>
        <v>NO PRAZO</v>
      </c>
    </row>
    <row r="1049" spans="1:21" hidden="1">
      <c r="A1049" s="1">
        <v>16546</v>
      </c>
      <c r="B1049" t="s">
        <v>20</v>
      </c>
      <c r="C1049" t="s">
        <v>13</v>
      </c>
      <c r="D1049" t="s">
        <v>18</v>
      </c>
      <c r="E1049" s="1">
        <v>733</v>
      </c>
      <c r="F1049" s="1">
        <v>2024</v>
      </c>
      <c r="G1049" t="s">
        <v>11</v>
      </c>
      <c r="H1049" s="2">
        <v>45351.741967592592</v>
      </c>
      <c r="I1049" s="9">
        <f t="shared" si="148"/>
        <v>45356</v>
      </c>
      <c r="J1049" s="2" t="str">
        <f t="shared" si="149"/>
        <v/>
      </c>
      <c r="L1049" s="2" t="str">
        <f t="shared" si="150"/>
        <v/>
      </c>
      <c r="N1049" s="10" t="str">
        <f t="shared" si="151"/>
        <v/>
      </c>
      <c r="O1049" s="2">
        <f t="shared" si="152"/>
        <v>45356</v>
      </c>
      <c r="P1049" s="2">
        <v>45352.49009259259</v>
      </c>
      <c r="Q1049" s="2">
        <f t="shared" si="153"/>
        <v>45362</v>
      </c>
      <c r="R1049" s="2">
        <v>45352.526562500003</v>
      </c>
      <c r="S1049">
        <f t="shared" si="154"/>
        <v>0</v>
      </c>
      <c r="T1049" s="2">
        <f t="shared" si="155"/>
        <v>45362</v>
      </c>
      <c r="U1049" t="str">
        <f t="shared" si="156"/>
        <v>NO PRAZO</v>
      </c>
    </row>
    <row r="1050" spans="1:21" hidden="1">
      <c r="A1050" s="1">
        <v>16537</v>
      </c>
      <c r="B1050" t="s">
        <v>17</v>
      </c>
      <c r="C1050" t="s">
        <v>9</v>
      </c>
      <c r="D1050" t="s">
        <v>18</v>
      </c>
      <c r="E1050" s="1">
        <v>724</v>
      </c>
      <c r="F1050" s="1">
        <v>2024</v>
      </c>
      <c r="G1050" t="s">
        <v>11</v>
      </c>
      <c r="H1050" s="2">
        <v>45351.500162037039</v>
      </c>
      <c r="I1050" s="9">
        <f t="shared" si="148"/>
        <v>45356</v>
      </c>
      <c r="J1050" s="2" t="str">
        <f t="shared" si="149"/>
        <v/>
      </c>
      <c r="L1050" s="2" t="str">
        <f t="shared" si="150"/>
        <v/>
      </c>
      <c r="N1050" s="10" t="str">
        <f t="shared" si="151"/>
        <v/>
      </c>
      <c r="O1050" s="2">
        <f t="shared" si="152"/>
        <v>45356</v>
      </c>
      <c r="P1050" s="2">
        <v>45355.466631944444</v>
      </c>
      <c r="Q1050" s="2">
        <f t="shared" si="153"/>
        <v>45362</v>
      </c>
      <c r="R1050" s="2">
        <v>45355.477534722224</v>
      </c>
      <c r="S1050">
        <f t="shared" si="154"/>
        <v>0</v>
      </c>
      <c r="T1050" s="2">
        <f t="shared" si="155"/>
        <v>45362</v>
      </c>
      <c r="U1050" t="str">
        <f t="shared" si="156"/>
        <v>NO PRAZO</v>
      </c>
    </row>
    <row r="1051" spans="1:21" hidden="1">
      <c r="A1051" s="1">
        <v>16529</v>
      </c>
      <c r="B1051" t="s">
        <v>19</v>
      </c>
      <c r="C1051" t="s">
        <v>13</v>
      </c>
      <c r="D1051" t="s">
        <v>16</v>
      </c>
      <c r="E1051" s="1">
        <v>716</v>
      </c>
      <c r="F1051" s="1">
        <v>2024</v>
      </c>
      <c r="G1051" t="s">
        <v>11</v>
      </c>
      <c r="H1051" s="2">
        <v>45350.750104166669</v>
      </c>
      <c r="I1051" s="9">
        <f t="shared" si="148"/>
        <v>45351</v>
      </c>
      <c r="J1051" s="2" t="str">
        <f t="shared" si="149"/>
        <v/>
      </c>
      <c r="L1051" s="2" t="str">
        <f t="shared" si="150"/>
        <v/>
      </c>
      <c r="N1051" s="10" t="str">
        <f t="shared" si="151"/>
        <v/>
      </c>
      <c r="O1051" s="2">
        <f t="shared" si="152"/>
        <v>45351</v>
      </c>
      <c r="P1051" s="2">
        <v>45355.706886574073</v>
      </c>
      <c r="Q1051" s="2">
        <f t="shared" si="153"/>
        <v>45357</v>
      </c>
      <c r="R1051" s="2">
        <v>45355.955659722225</v>
      </c>
      <c r="S1051">
        <f t="shared" si="154"/>
        <v>0</v>
      </c>
      <c r="T1051" s="2">
        <f t="shared" si="155"/>
        <v>45357</v>
      </c>
      <c r="U1051" t="str">
        <f t="shared" si="156"/>
        <v>NO PRAZO</v>
      </c>
    </row>
    <row r="1052" spans="1:21" hidden="1">
      <c r="A1052" s="1">
        <v>16522</v>
      </c>
      <c r="B1052" t="s">
        <v>12</v>
      </c>
      <c r="C1052" t="s">
        <v>13</v>
      </c>
      <c r="D1052" t="s">
        <v>18</v>
      </c>
      <c r="E1052" s="1">
        <v>709</v>
      </c>
      <c r="F1052" s="1">
        <v>2024</v>
      </c>
      <c r="G1052" t="s">
        <v>11</v>
      </c>
      <c r="H1052" s="2">
        <v>45350.583425925928</v>
      </c>
      <c r="I1052" s="9">
        <f t="shared" si="148"/>
        <v>45355</v>
      </c>
      <c r="J1052" s="2" t="str">
        <f t="shared" si="149"/>
        <v/>
      </c>
      <c r="L1052" s="2" t="str">
        <f t="shared" si="150"/>
        <v/>
      </c>
      <c r="N1052" s="10" t="str">
        <f t="shared" si="151"/>
        <v/>
      </c>
      <c r="O1052" s="2">
        <f t="shared" si="152"/>
        <v>45355</v>
      </c>
      <c r="P1052" s="2">
        <v>45355.605763888889</v>
      </c>
      <c r="Q1052" s="2">
        <f t="shared" si="153"/>
        <v>45359</v>
      </c>
      <c r="R1052" s="2">
        <v>45355.606319444443</v>
      </c>
      <c r="S1052">
        <f t="shared" si="154"/>
        <v>0</v>
      </c>
      <c r="T1052" s="2">
        <f t="shared" si="155"/>
        <v>45359</v>
      </c>
      <c r="U1052" t="str">
        <f t="shared" si="156"/>
        <v>NO PRAZO</v>
      </c>
    </row>
    <row r="1053" spans="1:21" hidden="1">
      <c r="A1053" s="1">
        <v>16517</v>
      </c>
      <c r="B1053" t="s">
        <v>8</v>
      </c>
      <c r="C1053" t="s">
        <v>9</v>
      </c>
      <c r="D1053" t="s">
        <v>18</v>
      </c>
      <c r="E1053" s="1">
        <v>704</v>
      </c>
      <c r="F1053" s="1">
        <v>2024</v>
      </c>
      <c r="G1053" t="s">
        <v>11</v>
      </c>
      <c r="H1053" s="2">
        <v>45350.458449074074</v>
      </c>
      <c r="I1053" s="9">
        <f t="shared" si="148"/>
        <v>45355</v>
      </c>
      <c r="J1053" s="2" t="str">
        <f t="shared" si="149"/>
        <v/>
      </c>
      <c r="L1053" s="2" t="str">
        <f t="shared" si="150"/>
        <v/>
      </c>
      <c r="N1053" s="10" t="str">
        <f t="shared" si="151"/>
        <v/>
      </c>
      <c r="O1053" s="2">
        <f t="shared" si="152"/>
        <v>45355</v>
      </c>
      <c r="P1053" s="2">
        <v>45351.466412037036</v>
      </c>
      <c r="Q1053" s="2">
        <f t="shared" si="153"/>
        <v>45359</v>
      </c>
      <c r="R1053" s="2">
        <v>45351.470821759256</v>
      </c>
      <c r="S1053">
        <f t="shared" si="154"/>
        <v>0</v>
      </c>
      <c r="T1053" s="2">
        <f t="shared" si="155"/>
        <v>45359</v>
      </c>
      <c r="U1053" t="str">
        <f t="shared" si="156"/>
        <v>NO PRAZO</v>
      </c>
    </row>
    <row r="1054" spans="1:21" hidden="1">
      <c r="A1054" s="1">
        <v>16493</v>
      </c>
      <c r="B1054" t="s">
        <v>24</v>
      </c>
      <c r="C1054" t="s">
        <v>13</v>
      </c>
      <c r="D1054" t="s">
        <v>10</v>
      </c>
      <c r="E1054" s="1">
        <v>680</v>
      </c>
      <c r="F1054" s="1">
        <v>2024</v>
      </c>
      <c r="G1054" t="s">
        <v>11</v>
      </c>
      <c r="H1054" s="2">
        <v>45349.625081018516</v>
      </c>
      <c r="I1054" s="9">
        <f t="shared" si="148"/>
        <v>45350</v>
      </c>
      <c r="J1054" s="2" t="str">
        <f t="shared" si="149"/>
        <v/>
      </c>
      <c r="L1054" s="2" t="str">
        <f t="shared" si="150"/>
        <v/>
      </c>
      <c r="N1054" s="10" t="str">
        <f t="shared" si="151"/>
        <v/>
      </c>
      <c r="O1054" s="2">
        <f t="shared" si="152"/>
        <v>45350</v>
      </c>
      <c r="P1054" s="2">
        <v>45351.585486111115</v>
      </c>
      <c r="Q1054" s="2">
        <f t="shared" si="153"/>
        <v>45351</v>
      </c>
      <c r="R1054" s="2">
        <v>45351.768206018518</v>
      </c>
      <c r="S1054">
        <f t="shared" si="154"/>
        <v>0</v>
      </c>
      <c r="T1054" s="2">
        <f t="shared" si="155"/>
        <v>45351</v>
      </c>
      <c r="U1054" t="str">
        <f t="shared" si="156"/>
        <v>NO PRAZO</v>
      </c>
    </row>
    <row r="1055" spans="1:21" hidden="1">
      <c r="A1055" s="1">
        <v>16468</v>
      </c>
      <c r="B1055" t="s">
        <v>12</v>
      </c>
      <c r="C1055" t="s">
        <v>13</v>
      </c>
      <c r="D1055" t="s">
        <v>18</v>
      </c>
      <c r="E1055" s="1">
        <v>655</v>
      </c>
      <c r="F1055" s="1">
        <v>2024</v>
      </c>
      <c r="G1055" t="s">
        <v>11</v>
      </c>
      <c r="H1055" s="2">
        <v>45348.666724537034</v>
      </c>
      <c r="I1055" s="9">
        <f t="shared" si="148"/>
        <v>45351</v>
      </c>
      <c r="J1055" s="2" t="str">
        <f t="shared" si="149"/>
        <v/>
      </c>
      <c r="L1055" s="2" t="str">
        <f t="shared" si="150"/>
        <v/>
      </c>
      <c r="N1055" s="10" t="str">
        <f t="shared" si="151"/>
        <v/>
      </c>
      <c r="O1055" s="2">
        <f t="shared" si="152"/>
        <v>45351</v>
      </c>
      <c r="P1055" s="2">
        <v>45352.3596875</v>
      </c>
      <c r="Q1055" s="2">
        <f t="shared" si="153"/>
        <v>45357</v>
      </c>
      <c r="R1055" s="2">
        <v>45352.435300925928</v>
      </c>
      <c r="S1055">
        <f t="shared" si="154"/>
        <v>0</v>
      </c>
      <c r="T1055" s="2">
        <f t="shared" si="155"/>
        <v>45357</v>
      </c>
      <c r="U1055" t="str">
        <f t="shared" si="156"/>
        <v>NO PRAZO</v>
      </c>
    </row>
    <row r="1056" spans="1:21" hidden="1">
      <c r="A1056" s="1">
        <v>16467</v>
      </c>
      <c r="B1056" t="s">
        <v>19</v>
      </c>
      <c r="C1056" t="s">
        <v>13</v>
      </c>
      <c r="D1056" t="s">
        <v>14</v>
      </c>
      <c r="E1056" s="1">
        <v>654</v>
      </c>
      <c r="F1056" s="1">
        <v>2024</v>
      </c>
      <c r="G1056" t="s">
        <v>11</v>
      </c>
      <c r="H1056" s="2">
        <v>45348.583437499998</v>
      </c>
      <c r="I1056" s="9">
        <f t="shared" si="148"/>
        <v>45349</v>
      </c>
      <c r="J1056" s="2" t="str">
        <f t="shared" si="149"/>
        <v/>
      </c>
      <c r="L1056" s="2" t="str">
        <f t="shared" si="150"/>
        <v/>
      </c>
      <c r="N1056" s="10" t="str">
        <f t="shared" si="151"/>
        <v/>
      </c>
      <c r="O1056" s="2">
        <f t="shared" si="152"/>
        <v>45349</v>
      </c>
      <c r="P1056" s="2">
        <v>45350.854768518519</v>
      </c>
      <c r="Q1056" s="2">
        <f t="shared" si="153"/>
        <v>45350</v>
      </c>
      <c r="R1056" s="2">
        <v>45350.854930555557</v>
      </c>
      <c r="S1056">
        <f t="shared" si="154"/>
        <v>0</v>
      </c>
      <c r="T1056" s="2">
        <f t="shared" si="155"/>
        <v>45350</v>
      </c>
      <c r="U1056" t="str">
        <f t="shared" si="156"/>
        <v>NO PRAZO</v>
      </c>
    </row>
    <row r="1057" spans="1:21" hidden="1">
      <c r="A1057" s="1">
        <v>16463</v>
      </c>
      <c r="B1057" t="s">
        <v>19</v>
      </c>
      <c r="C1057" t="s">
        <v>13</v>
      </c>
      <c r="D1057" t="s">
        <v>18</v>
      </c>
      <c r="E1057" s="1">
        <v>650</v>
      </c>
      <c r="F1057" s="1">
        <v>2024</v>
      </c>
      <c r="G1057" t="s">
        <v>11</v>
      </c>
      <c r="H1057" s="2">
        <v>45348.458460648151</v>
      </c>
      <c r="I1057" s="9">
        <f t="shared" si="148"/>
        <v>45351</v>
      </c>
      <c r="J1057" s="2" t="str">
        <f t="shared" si="149"/>
        <v/>
      </c>
      <c r="L1057" s="2" t="str">
        <f t="shared" si="150"/>
        <v/>
      </c>
      <c r="N1057" s="10" t="str">
        <f t="shared" si="151"/>
        <v/>
      </c>
      <c r="O1057" s="2">
        <f t="shared" si="152"/>
        <v>45351</v>
      </c>
      <c r="P1057" s="2">
        <v>45355.555706018517</v>
      </c>
      <c r="Q1057" s="2">
        <f t="shared" si="153"/>
        <v>45357</v>
      </c>
      <c r="R1057" s="2">
        <v>45355.557141203702</v>
      </c>
      <c r="S1057">
        <f t="shared" si="154"/>
        <v>0</v>
      </c>
      <c r="T1057" s="2">
        <f t="shared" si="155"/>
        <v>45357</v>
      </c>
      <c r="U1057" t="str">
        <f t="shared" si="156"/>
        <v>NO PRAZO</v>
      </c>
    </row>
    <row r="1058" spans="1:21" hidden="1">
      <c r="A1058" s="1">
        <v>16439</v>
      </c>
      <c r="B1058" t="s">
        <v>24</v>
      </c>
      <c r="C1058" t="s">
        <v>13</v>
      </c>
      <c r="D1058" t="s">
        <v>18</v>
      </c>
      <c r="E1058" s="1">
        <v>626</v>
      </c>
      <c r="F1058" s="1">
        <v>2024</v>
      </c>
      <c r="G1058" t="s">
        <v>11</v>
      </c>
      <c r="H1058" s="2">
        <v>45344.708460648151</v>
      </c>
      <c r="I1058" s="9">
        <f t="shared" si="148"/>
        <v>45349</v>
      </c>
      <c r="J1058" s="2" t="str">
        <f t="shared" si="149"/>
        <v/>
      </c>
      <c r="L1058" s="2" t="str">
        <f t="shared" si="150"/>
        <v/>
      </c>
      <c r="N1058" s="10" t="str">
        <f t="shared" si="151"/>
        <v/>
      </c>
      <c r="O1058" s="2">
        <f t="shared" si="152"/>
        <v>45349</v>
      </c>
      <c r="P1058" s="2">
        <v>45348.549861111111</v>
      </c>
      <c r="Q1058" s="2">
        <f t="shared" si="153"/>
        <v>45355</v>
      </c>
      <c r="R1058" s="2">
        <v>45348.553715277776</v>
      </c>
      <c r="S1058">
        <f t="shared" si="154"/>
        <v>0</v>
      </c>
      <c r="T1058" s="2">
        <f t="shared" si="155"/>
        <v>45355</v>
      </c>
      <c r="U1058" t="str">
        <f t="shared" si="156"/>
        <v>NO PRAZO</v>
      </c>
    </row>
    <row r="1059" spans="1:21" hidden="1">
      <c r="A1059" s="1">
        <v>16422</v>
      </c>
      <c r="B1059" t="s">
        <v>8</v>
      </c>
      <c r="C1059" t="s">
        <v>9</v>
      </c>
      <c r="D1059" t="s">
        <v>10</v>
      </c>
      <c r="E1059" s="1">
        <v>609</v>
      </c>
      <c r="F1059" s="1">
        <v>2024</v>
      </c>
      <c r="G1059" t="s">
        <v>11</v>
      </c>
      <c r="H1059" s="2">
        <v>45344.583472222221</v>
      </c>
      <c r="I1059" s="9">
        <f t="shared" si="148"/>
        <v>45345</v>
      </c>
      <c r="J1059" s="2" t="str">
        <f t="shared" si="149"/>
        <v/>
      </c>
      <c r="L1059" s="2" t="str">
        <f t="shared" si="150"/>
        <v/>
      </c>
      <c r="N1059" s="10" t="str">
        <f t="shared" si="151"/>
        <v/>
      </c>
      <c r="O1059" s="2">
        <f t="shared" si="152"/>
        <v>45345</v>
      </c>
      <c r="P1059" s="2">
        <v>45345.462523148148</v>
      </c>
      <c r="Q1059" s="2">
        <f t="shared" si="153"/>
        <v>45348</v>
      </c>
      <c r="R1059" s="2">
        <v>45345.785532407404</v>
      </c>
      <c r="S1059">
        <f t="shared" si="154"/>
        <v>0</v>
      </c>
      <c r="T1059" s="2">
        <f t="shared" si="155"/>
        <v>45348</v>
      </c>
      <c r="U1059" t="str">
        <f t="shared" si="156"/>
        <v>NO PRAZO</v>
      </c>
    </row>
    <row r="1060" spans="1:21" hidden="1">
      <c r="A1060" s="1">
        <v>16421</v>
      </c>
      <c r="B1060" t="s">
        <v>20</v>
      </c>
      <c r="C1060" t="s">
        <v>13</v>
      </c>
      <c r="D1060" t="s">
        <v>18</v>
      </c>
      <c r="E1060" s="1">
        <v>608</v>
      </c>
      <c r="F1060" s="1">
        <v>2024</v>
      </c>
      <c r="G1060" t="s">
        <v>11</v>
      </c>
      <c r="H1060" s="2">
        <v>45344.583472222221</v>
      </c>
      <c r="I1060" s="9">
        <f t="shared" si="148"/>
        <v>45349</v>
      </c>
      <c r="J1060" s="2" t="str">
        <f t="shared" si="149"/>
        <v/>
      </c>
      <c r="L1060" s="2" t="str">
        <f t="shared" si="150"/>
        <v/>
      </c>
      <c r="N1060" s="10" t="str">
        <f t="shared" si="151"/>
        <v/>
      </c>
      <c r="O1060" s="2">
        <f t="shared" si="152"/>
        <v>45349</v>
      </c>
      <c r="P1060" s="2">
        <v>45345.395243055558</v>
      </c>
      <c r="Q1060" s="2">
        <f t="shared" si="153"/>
        <v>45355</v>
      </c>
      <c r="R1060" s="2">
        <v>45350.665902777779</v>
      </c>
      <c r="S1060">
        <f t="shared" si="154"/>
        <v>0</v>
      </c>
      <c r="T1060" s="2">
        <f t="shared" si="155"/>
        <v>45355</v>
      </c>
      <c r="U1060" t="str">
        <f t="shared" si="156"/>
        <v>NO PRAZO</v>
      </c>
    </row>
    <row r="1061" spans="1:21" hidden="1">
      <c r="A1061" s="1">
        <v>16404</v>
      </c>
      <c r="B1061" t="s">
        <v>12</v>
      </c>
      <c r="C1061" t="s">
        <v>13</v>
      </c>
      <c r="D1061" t="s">
        <v>10</v>
      </c>
      <c r="E1061" s="1">
        <v>591</v>
      </c>
      <c r="F1061" s="1">
        <v>2024</v>
      </c>
      <c r="G1061" t="s">
        <v>11</v>
      </c>
      <c r="H1061" s="2">
        <v>45343.41679398148</v>
      </c>
      <c r="I1061" s="9">
        <f t="shared" si="148"/>
        <v>45344</v>
      </c>
      <c r="J1061" s="2" t="str">
        <f t="shared" si="149"/>
        <v/>
      </c>
      <c r="L1061" s="2" t="str">
        <f t="shared" si="150"/>
        <v/>
      </c>
      <c r="N1061" s="10" t="str">
        <f t="shared" si="151"/>
        <v/>
      </c>
      <c r="O1061" s="2">
        <f t="shared" si="152"/>
        <v>45344</v>
      </c>
      <c r="P1061" s="2">
        <v>45343.602835648147</v>
      </c>
      <c r="Q1061" s="2">
        <f t="shared" si="153"/>
        <v>45345</v>
      </c>
      <c r="R1061" s="2">
        <v>45343.60297453704</v>
      </c>
      <c r="S1061">
        <f t="shared" si="154"/>
        <v>0</v>
      </c>
      <c r="T1061" s="2">
        <f t="shared" si="155"/>
        <v>45345</v>
      </c>
      <c r="U1061" t="str">
        <f t="shared" si="156"/>
        <v>NO PRAZO</v>
      </c>
    </row>
    <row r="1062" spans="1:21" hidden="1">
      <c r="A1062" s="1">
        <v>16401</v>
      </c>
      <c r="B1062" t="s">
        <v>19</v>
      </c>
      <c r="C1062" t="s">
        <v>13</v>
      </c>
      <c r="D1062" t="s">
        <v>18</v>
      </c>
      <c r="E1062" s="1">
        <v>588</v>
      </c>
      <c r="F1062" s="1">
        <v>2024</v>
      </c>
      <c r="G1062" t="s">
        <v>11</v>
      </c>
      <c r="H1062" s="2">
        <v>45342.787326388891</v>
      </c>
      <c r="I1062" s="9">
        <f t="shared" si="148"/>
        <v>45345</v>
      </c>
      <c r="J1062" s="2" t="str">
        <f t="shared" si="149"/>
        <v/>
      </c>
      <c r="L1062" s="2" t="str">
        <f t="shared" si="150"/>
        <v/>
      </c>
      <c r="N1062" s="10" t="str">
        <f t="shared" si="151"/>
        <v/>
      </c>
      <c r="O1062" s="2">
        <f t="shared" si="152"/>
        <v>45345</v>
      </c>
      <c r="P1062" s="2">
        <v>45343.411527777775</v>
      </c>
      <c r="Q1062" s="2">
        <f t="shared" si="153"/>
        <v>45351</v>
      </c>
      <c r="R1062" s="2">
        <v>45345.498206018521</v>
      </c>
      <c r="S1062">
        <f t="shared" si="154"/>
        <v>0</v>
      </c>
      <c r="T1062" s="2">
        <f t="shared" si="155"/>
        <v>45351</v>
      </c>
      <c r="U1062" t="str">
        <f t="shared" si="156"/>
        <v>NO PRAZO</v>
      </c>
    </row>
    <row r="1063" spans="1:21" hidden="1">
      <c r="A1063" s="1">
        <v>16390</v>
      </c>
      <c r="B1063" t="s">
        <v>23</v>
      </c>
      <c r="C1063" t="s">
        <v>13</v>
      </c>
      <c r="D1063" t="s">
        <v>10</v>
      </c>
      <c r="E1063" s="1">
        <v>577</v>
      </c>
      <c r="F1063" s="1">
        <v>2024</v>
      </c>
      <c r="G1063" t="s">
        <v>11</v>
      </c>
      <c r="H1063" s="2">
        <v>45342.583460648151</v>
      </c>
      <c r="I1063" s="9">
        <f t="shared" si="148"/>
        <v>45343</v>
      </c>
      <c r="J1063" s="2" t="str">
        <f t="shared" si="149"/>
        <v/>
      </c>
      <c r="L1063" s="2" t="str">
        <f t="shared" si="150"/>
        <v/>
      </c>
      <c r="N1063" s="10" t="str">
        <f t="shared" si="151"/>
        <v/>
      </c>
      <c r="O1063" s="2">
        <f t="shared" si="152"/>
        <v>45343</v>
      </c>
      <c r="P1063" s="2">
        <v>45342.670127314814</v>
      </c>
      <c r="Q1063" s="2">
        <f t="shared" si="153"/>
        <v>45344</v>
      </c>
      <c r="R1063" s="2">
        <v>45342.796365740738</v>
      </c>
      <c r="S1063">
        <f t="shared" si="154"/>
        <v>0</v>
      </c>
      <c r="T1063" s="2">
        <f t="shared" si="155"/>
        <v>45344</v>
      </c>
      <c r="U1063" t="str">
        <f t="shared" si="156"/>
        <v>NO PRAZO</v>
      </c>
    </row>
    <row r="1064" spans="1:21" hidden="1">
      <c r="A1064" s="1">
        <v>16376</v>
      </c>
      <c r="B1064" t="s">
        <v>17</v>
      </c>
      <c r="C1064" t="s">
        <v>9</v>
      </c>
      <c r="D1064" t="s">
        <v>18</v>
      </c>
      <c r="E1064" s="1">
        <v>563</v>
      </c>
      <c r="F1064" s="1">
        <v>2024</v>
      </c>
      <c r="G1064" t="s">
        <v>11</v>
      </c>
      <c r="H1064" s="2">
        <v>45341.750115740739</v>
      </c>
      <c r="I1064" s="9">
        <f t="shared" si="148"/>
        <v>45344</v>
      </c>
      <c r="J1064" s="2" t="str">
        <f t="shared" si="149"/>
        <v/>
      </c>
      <c r="L1064" s="2" t="str">
        <f t="shared" si="150"/>
        <v/>
      </c>
      <c r="N1064" s="10" t="str">
        <f t="shared" si="151"/>
        <v/>
      </c>
      <c r="O1064" s="2">
        <f t="shared" si="152"/>
        <v>45344</v>
      </c>
      <c r="P1064" s="2">
        <v>45342.690312500003</v>
      </c>
      <c r="Q1064" s="2">
        <f t="shared" si="153"/>
        <v>45350</v>
      </c>
      <c r="R1064" s="2">
        <v>45342.691099537034</v>
      </c>
      <c r="S1064">
        <f t="shared" si="154"/>
        <v>0</v>
      </c>
      <c r="T1064" s="2">
        <f t="shared" si="155"/>
        <v>45350</v>
      </c>
      <c r="U1064" t="str">
        <f t="shared" si="156"/>
        <v>NO PRAZO</v>
      </c>
    </row>
    <row r="1065" spans="1:21" hidden="1">
      <c r="A1065" s="1">
        <v>16321</v>
      </c>
      <c r="B1065" t="s">
        <v>20</v>
      </c>
      <c r="C1065" t="s">
        <v>13</v>
      </c>
      <c r="D1065" t="s">
        <v>18</v>
      </c>
      <c r="E1065" s="1">
        <v>508</v>
      </c>
      <c r="F1065" s="1">
        <v>2024</v>
      </c>
      <c r="G1065" t="s">
        <v>11</v>
      </c>
      <c r="H1065" s="2">
        <v>45337.625208333331</v>
      </c>
      <c r="I1065" s="9">
        <f t="shared" si="148"/>
        <v>45342</v>
      </c>
      <c r="J1065" s="2" t="str">
        <f t="shared" si="149"/>
        <v/>
      </c>
      <c r="L1065" s="2" t="str">
        <f t="shared" si="150"/>
        <v/>
      </c>
      <c r="N1065" s="10" t="str">
        <f t="shared" si="151"/>
        <v/>
      </c>
      <c r="O1065" s="2">
        <f t="shared" si="152"/>
        <v>45342</v>
      </c>
      <c r="P1065" s="2">
        <v>45341.55840277778</v>
      </c>
      <c r="Q1065" s="2">
        <f t="shared" si="153"/>
        <v>45348</v>
      </c>
      <c r="R1065" s="2">
        <v>45341.56045138889</v>
      </c>
      <c r="S1065">
        <f t="shared" si="154"/>
        <v>0</v>
      </c>
      <c r="T1065" s="2">
        <f t="shared" si="155"/>
        <v>45348</v>
      </c>
      <c r="U1065" t="str">
        <f t="shared" si="156"/>
        <v>NO PRAZO</v>
      </c>
    </row>
    <row r="1066" spans="1:21" hidden="1">
      <c r="A1066" s="1">
        <v>16320</v>
      </c>
      <c r="B1066" t="s">
        <v>19</v>
      </c>
      <c r="C1066" t="s">
        <v>13</v>
      </c>
      <c r="D1066" t="s">
        <v>16</v>
      </c>
      <c r="E1066" s="1">
        <v>507</v>
      </c>
      <c r="F1066" s="1">
        <v>2024</v>
      </c>
      <c r="G1066" t="s">
        <v>11</v>
      </c>
      <c r="H1066" s="2">
        <v>45337.58353009259</v>
      </c>
      <c r="I1066" s="9">
        <f t="shared" si="148"/>
        <v>45338</v>
      </c>
      <c r="J1066" s="2" t="str">
        <f t="shared" si="149"/>
        <v/>
      </c>
      <c r="L1066" s="2" t="str">
        <f t="shared" si="150"/>
        <v/>
      </c>
      <c r="N1066" s="10" t="str">
        <f t="shared" si="151"/>
        <v/>
      </c>
      <c r="O1066" s="2">
        <f t="shared" si="152"/>
        <v>45338</v>
      </c>
      <c r="P1066" s="2">
        <v>45342.484085648146</v>
      </c>
      <c r="Q1066" s="2">
        <f t="shared" si="153"/>
        <v>45344</v>
      </c>
      <c r="R1066" s="2">
        <v>45342.484143518515</v>
      </c>
      <c r="S1066">
        <f t="shared" si="154"/>
        <v>0</v>
      </c>
      <c r="T1066" s="2">
        <f t="shared" si="155"/>
        <v>45344</v>
      </c>
      <c r="U1066" t="str">
        <f t="shared" si="156"/>
        <v>NO PRAZO</v>
      </c>
    </row>
    <row r="1067" spans="1:21" hidden="1">
      <c r="A1067" s="1">
        <v>16319</v>
      </c>
      <c r="B1067" t="s">
        <v>19</v>
      </c>
      <c r="C1067" t="s">
        <v>13</v>
      </c>
      <c r="D1067" t="s">
        <v>18</v>
      </c>
      <c r="E1067" s="1">
        <v>506</v>
      </c>
      <c r="F1067" s="1">
        <v>2024</v>
      </c>
      <c r="G1067" t="s">
        <v>11</v>
      </c>
      <c r="H1067" s="2">
        <v>45337.58353009259</v>
      </c>
      <c r="I1067" s="9">
        <f t="shared" si="148"/>
        <v>45342</v>
      </c>
      <c r="J1067" s="2" t="str">
        <f t="shared" si="149"/>
        <v/>
      </c>
      <c r="L1067" s="2" t="str">
        <f t="shared" si="150"/>
        <v/>
      </c>
      <c r="N1067" s="10" t="str">
        <f t="shared" si="151"/>
        <v/>
      </c>
      <c r="O1067" s="2">
        <f t="shared" si="152"/>
        <v>45342</v>
      </c>
      <c r="P1067" s="2">
        <v>45341.468692129631</v>
      </c>
      <c r="Q1067" s="2">
        <f t="shared" si="153"/>
        <v>45348</v>
      </c>
      <c r="R1067" s="2">
        <v>45341.468981481485</v>
      </c>
      <c r="S1067">
        <f t="shared" si="154"/>
        <v>0</v>
      </c>
      <c r="T1067" s="2">
        <f t="shared" si="155"/>
        <v>45348</v>
      </c>
      <c r="U1067" t="str">
        <f t="shared" si="156"/>
        <v>NO PRAZO</v>
      </c>
    </row>
    <row r="1068" spans="1:21" hidden="1">
      <c r="A1068" s="1">
        <v>16315</v>
      </c>
      <c r="B1068" t="s">
        <v>24</v>
      </c>
      <c r="C1068" t="s">
        <v>13</v>
      </c>
      <c r="D1068" t="s">
        <v>10</v>
      </c>
      <c r="E1068" s="1">
        <v>502</v>
      </c>
      <c r="F1068" s="1">
        <v>2024</v>
      </c>
      <c r="G1068" t="s">
        <v>11</v>
      </c>
      <c r="H1068" s="2">
        <v>45337.416817129626</v>
      </c>
      <c r="I1068" s="9">
        <f t="shared" si="148"/>
        <v>45338</v>
      </c>
      <c r="J1068" s="2" t="str">
        <f t="shared" si="149"/>
        <v/>
      </c>
      <c r="L1068" s="2" t="str">
        <f t="shared" si="150"/>
        <v/>
      </c>
      <c r="N1068" s="10" t="str">
        <f t="shared" si="151"/>
        <v/>
      </c>
      <c r="O1068" s="2">
        <f t="shared" si="152"/>
        <v>45338</v>
      </c>
      <c r="P1068" s="2">
        <v>45338.631076388891</v>
      </c>
      <c r="Q1068" s="2">
        <f t="shared" si="153"/>
        <v>45341</v>
      </c>
      <c r="R1068" s="2">
        <v>45338.640127314815</v>
      </c>
      <c r="S1068">
        <f t="shared" si="154"/>
        <v>0</v>
      </c>
      <c r="T1068" s="2">
        <f t="shared" si="155"/>
        <v>45341</v>
      </c>
      <c r="U1068" t="str">
        <f t="shared" si="156"/>
        <v>NO PRAZO</v>
      </c>
    </row>
    <row r="1069" spans="1:21" hidden="1">
      <c r="A1069" s="1">
        <v>16314</v>
      </c>
      <c r="B1069" t="s">
        <v>24</v>
      </c>
      <c r="C1069" t="s">
        <v>13</v>
      </c>
      <c r="D1069" t="s">
        <v>10</v>
      </c>
      <c r="E1069" s="1">
        <v>501</v>
      </c>
      <c r="F1069" s="1">
        <v>2024</v>
      </c>
      <c r="G1069" t="s">
        <v>11</v>
      </c>
      <c r="H1069" s="2">
        <v>45337.375115740739</v>
      </c>
      <c r="I1069" s="9">
        <f t="shared" si="148"/>
        <v>45338</v>
      </c>
      <c r="J1069" s="2" t="str">
        <f t="shared" si="149"/>
        <v/>
      </c>
      <c r="L1069" s="2" t="str">
        <f t="shared" si="150"/>
        <v/>
      </c>
      <c r="N1069" s="10" t="str">
        <f t="shared" si="151"/>
        <v/>
      </c>
      <c r="O1069" s="2">
        <f t="shared" si="152"/>
        <v>45338</v>
      </c>
      <c r="P1069" s="2">
        <v>45338.630601851852</v>
      </c>
      <c r="Q1069" s="2">
        <f t="shared" si="153"/>
        <v>45341</v>
      </c>
      <c r="R1069" s="2">
        <v>45338.639953703707</v>
      </c>
      <c r="S1069">
        <f t="shared" si="154"/>
        <v>0</v>
      </c>
      <c r="T1069" s="2">
        <f t="shared" si="155"/>
        <v>45341</v>
      </c>
      <c r="U1069" t="str">
        <f t="shared" si="156"/>
        <v>NO PRAZO</v>
      </c>
    </row>
    <row r="1070" spans="1:21" hidden="1">
      <c r="A1070" s="1">
        <v>16305</v>
      </c>
      <c r="B1070" t="s">
        <v>12</v>
      </c>
      <c r="C1070" t="s">
        <v>13</v>
      </c>
      <c r="D1070" t="s">
        <v>18</v>
      </c>
      <c r="E1070" s="1">
        <v>492</v>
      </c>
      <c r="F1070" s="1">
        <v>2024</v>
      </c>
      <c r="G1070" t="s">
        <v>11</v>
      </c>
      <c r="H1070" s="2">
        <v>45336.625185185185</v>
      </c>
      <c r="I1070" s="9">
        <f t="shared" si="148"/>
        <v>45341</v>
      </c>
      <c r="J1070" s="2" t="str">
        <f t="shared" si="149"/>
        <v/>
      </c>
      <c r="L1070" s="2" t="str">
        <f t="shared" si="150"/>
        <v/>
      </c>
      <c r="N1070" s="10" t="str">
        <f t="shared" si="151"/>
        <v/>
      </c>
      <c r="O1070" s="2">
        <f t="shared" si="152"/>
        <v>45341</v>
      </c>
      <c r="P1070" s="2">
        <v>45341.380231481482</v>
      </c>
      <c r="Q1070" s="2">
        <f t="shared" si="153"/>
        <v>45345</v>
      </c>
      <c r="R1070" s="2">
        <v>45341.381261574075</v>
      </c>
      <c r="S1070">
        <f t="shared" si="154"/>
        <v>0</v>
      </c>
      <c r="T1070" s="2">
        <f t="shared" si="155"/>
        <v>45345</v>
      </c>
      <c r="U1070" t="str">
        <f t="shared" si="156"/>
        <v>NO PRAZO</v>
      </c>
    </row>
    <row r="1071" spans="1:21" hidden="1">
      <c r="A1071" s="1">
        <v>16274</v>
      </c>
      <c r="B1071" t="s">
        <v>12</v>
      </c>
      <c r="C1071" t="s">
        <v>13</v>
      </c>
      <c r="D1071" t="s">
        <v>18</v>
      </c>
      <c r="E1071" s="1">
        <v>461</v>
      </c>
      <c r="F1071" s="1">
        <v>2024</v>
      </c>
      <c r="G1071" t="s">
        <v>11</v>
      </c>
      <c r="H1071" s="2">
        <v>45330.500150462962</v>
      </c>
      <c r="I1071" s="9">
        <f t="shared" si="148"/>
        <v>45338</v>
      </c>
      <c r="J1071" s="2" t="str">
        <f t="shared" si="149"/>
        <v/>
      </c>
      <c r="L1071" s="2" t="str">
        <f t="shared" si="150"/>
        <v/>
      </c>
      <c r="N1071" s="10" t="str">
        <f t="shared" si="151"/>
        <v/>
      </c>
      <c r="O1071" s="2">
        <f t="shared" si="152"/>
        <v>45338</v>
      </c>
      <c r="P1071" s="2">
        <v>45341.375625000001</v>
      </c>
      <c r="Q1071" s="2">
        <f t="shared" si="153"/>
        <v>45344</v>
      </c>
      <c r="R1071" s="2">
        <v>45341.376493055555</v>
      </c>
      <c r="S1071">
        <f t="shared" si="154"/>
        <v>0</v>
      </c>
      <c r="T1071" s="2">
        <f t="shared" si="155"/>
        <v>45344</v>
      </c>
      <c r="U1071" t="str">
        <f t="shared" si="156"/>
        <v>NO PRAZO</v>
      </c>
    </row>
    <row r="1072" spans="1:21" hidden="1">
      <c r="A1072" s="1">
        <v>16273</v>
      </c>
      <c r="B1072" t="s">
        <v>12</v>
      </c>
      <c r="C1072" t="s">
        <v>13</v>
      </c>
      <c r="D1072" t="s">
        <v>18</v>
      </c>
      <c r="E1072" s="1">
        <v>460</v>
      </c>
      <c r="F1072" s="1">
        <v>2024</v>
      </c>
      <c r="G1072" t="s">
        <v>11</v>
      </c>
      <c r="H1072" s="2">
        <v>45330.500150462962</v>
      </c>
      <c r="I1072" s="9">
        <f t="shared" si="148"/>
        <v>45338</v>
      </c>
      <c r="J1072" s="2" t="str">
        <f t="shared" si="149"/>
        <v/>
      </c>
      <c r="L1072" s="2" t="str">
        <f t="shared" si="150"/>
        <v/>
      </c>
      <c r="N1072" s="10" t="str">
        <f t="shared" si="151"/>
        <v/>
      </c>
      <c r="O1072" s="2">
        <f t="shared" si="152"/>
        <v>45338</v>
      </c>
      <c r="P1072" s="2">
        <v>45341.370694444442</v>
      </c>
      <c r="Q1072" s="2">
        <f t="shared" si="153"/>
        <v>45344</v>
      </c>
      <c r="R1072" s="2">
        <v>45341.372152777774</v>
      </c>
      <c r="S1072">
        <f t="shared" si="154"/>
        <v>0</v>
      </c>
      <c r="T1072" s="2">
        <f t="shared" si="155"/>
        <v>45344</v>
      </c>
      <c r="U1072" t="str">
        <f t="shared" si="156"/>
        <v>NO PRAZO</v>
      </c>
    </row>
    <row r="1073" spans="1:21" hidden="1">
      <c r="A1073" s="1">
        <v>16229</v>
      </c>
      <c r="B1073" t="s">
        <v>22</v>
      </c>
      <c r="C1073" t="s">
        <v>13</v>
      </c>
      <c r="D1073" t="s">
        <v>10</v>
      </c>
      <c r="E1073" s="1">
        <v>416</v>
      </c>
      <c r="F1073" s="1">
        <v>2024</v>
      </c>
      <c r="G1073" t="s">
        <v>11</v>
      </c>
      <c r="H1073" s="2">
        <v>45329.458460648151</v>
      </c>
      <c r="I1073" s="9">
        <f t="shared" si="148"/>
        <v>45330</v>
      </c>
      <c r="J1073" s="2" t="str">
        <f t="shared" si="149"/>
        <v/>
      </c>
      <c r="L1073" s="2" t="str">
        <f t="shared" si="150"/>
        <v/>
      </c>
      <c r="N1073" s="10" t="str">
        <f t="shared" si="151"/>
        <v/>
      </c>
      <c r="O1073" s="2">
        <f t="shared" si="152"/>
        <v>45330</v>
      </c>
      <c r="P1073" s="2">
        <v>45330.62939814815</v>
      </c>
      <c r="Q1073" s="2">
        <f t="shared" si="153"/>
        <v>45331</v>
      </c>
      <c r="R1073" s="2">
        <v>45330.826053240744</v>
      </c>
      <c r="S1073">
        <f t="shared" si="154"/>
        <v>0</v>
      </c>
      <c r="T1073" s="2">
        <f t="shared" si="155"/>
        <v>45331</v>
      </c>
      <c r="U1073" t="str">
        <f t="shared" si="156"/>
        <v>NO PRAZO</v>
      </c>
    </row>
    <row r="1074" spans="1:21" hidden="1">
      <c r="A1074" s="1">
        <v>16226</v>
      </c>
      <c r="B1074" t="s">
        <v>24</v>
      </c>
      <c r="C1074" t="s">
        <v>13</v>
      </c>
      <c r="D1074" t="s">
        <v>10</v>
      </c>
      <c r="E1074" s="1">
        <v>413</v>
      </c>
      <c r="F1074" s="1">
        <v>2024</v>
      </c>
      <c r="G1074" t="s">
        <v>11</v>
      </c>
      <c r="H1074" s="2">
        <v>45329.416851851849</v>
      </c>
      <c r="I1074" s="9">
        <f t="shared" si="148"/>
        <v>45330</v>
      </c>
      <c r="J1074" s="2" t="str">
        <f t="shared" si="149"/>
        <v/>
      </c>
      <c r="L1074" s="2" t="str">
        <f t="shared" si="150"/>
        <v/>
      </c>
      <c r="N1074" s="10" t="str">
        <f t="shared" si="151"/>
        <v/>
      </c>
      <c r="O1074" s="2">
        <f t="shared" si="152"/>
        <v>45330</v>
      </c>
      <c r="P1074" s="2">
        <v>45330.629016203704</v>
      </c>
      <c r="Q1074" s="2">
        <f t="shared" si="153"/>
        <v>45331</v>
      </c>
      <c r="R1074" s="2">
        <v>45330.825856481482</v>
      </c>
      <c r="S1074">
        <f t="shared" si="154"/>
        <v>0</v>
      </c>
      <c r="T1074" s="2">
        <f t="shared" si="155"/>
        <v>45331</v>
      </c>
      <c r="U1074" t="str">
        <f t="shared" si="156"/>
        <v>NO PRAZO</v>
      </c>
    </row>
    <row r="1075" spans="1:21" hidden="1">
      <c r="A1075" s="1">
        <v>16199</v>
      </c>
      <c r="B1075" t="s">
        <v>20</v>
      </c>
      <c r="C1075" t="s">
        <v>13</v>
      </c>
      <c r="D1075" t="s">
        <v>18</v>
      </c>
      <c r="E1075" s="1">
        <v>386</v>
      </c>
      <c r="F1075" s="1">
        <v>2024</v>
      </c>
      <c r="G1075" t="s">
        <v>11</v>
      </c>
      <c r="H1075" s="2">
        <v>45328.500104166669</v>
      </c>
      <c r="I1075" s="9">
        <f t="shared" si="148"/>
        <v>45331</v>
      </c>
      <c r="J1075" s="2" t="str">
        <f t="shared" si="149"/>
        <v/>
      </c>
      <c r="L1075" s="2" t="str">
        <f t="shared" si="150"/>
        <v/>
      </c>
      <c r="N1075" s="10" t="str">
        <f t="shared" si="151"/>
        <v/>
      </c>
      <c r="O1075" s="2">
        <f t="shared" si="152"/>
        <v>45331</v>
      </c>
      <c r="P1075" s="2">
        <v>45330.540995370371</v>
      </c>
      <c r="Q1075" s="2">
        <f t="shared" si="153"/>
        <v>45342</v>
      </c>
      <c r="R1075" s="2">
        <v>45330.541122685187</v>
      </c>
      <c r="S1075">
        <f t="shared" si="154"/>
        <v>0</v>
      </c>
      <c r="T1075" s="2">
        <f t="shared" si="155"/>
        <v>45342</v>
      </c>
      <c r="U1075" t="str">
        <f t="shared" si="156"/>
        <v>NO PRAZO</v>
      </c>
    </row>
    <row r="1076" spans="1:21" hidden="1">
      <c r="A1076" s="1">
        <v>16198</v>
      </c>
      <c r="B1076" t="s">
        <v>12</v>
      </c>
      <c r="C1076" t="s">
        <v>13</v>
      </c>
      <c r="D1076" t="s">
        <v>18</v>
      </c>
      <c r="E1076" s="1">
        <v>385</v>
      </c>
      <c r="F1076" s="1">
        <v>2024</v>
      </c>
      <c r="G1076" t="s">
        <v>11</v>
      </c>
      <c r="H1076" s="2">
        <v>45328.500104166669</v>
      </c>
      <c r="I1076" s="9">
        <f t="shared" si="148"/>
        <v>45331</v>
      </c>
      <c r="J1076" s="2" t="str">
        <f t="shared" si="149"/>
        <v/>
      </c>
      <c r="L1076" s="2" t="str">
        <f t="shared" si="150"/>
        <v/>
      </c>
      <c r="N1076" s="10" t="str">
        <f t="shared" si="151"/>
        <v/>
      </c>
      <c r="O1076" s="2">
        <f t="shared" si="152"/>
        <v>45331</v>
      </c>
      <c r="P1076" s="2">
        <v>45330.446527777778</v>
      </c>
      <c r="Q1076" s="2">
        <f t="shared" si="153"/>
        <v>45342</v>
      </c>
      <c r="R1076" s="2">
        <v>45330.448125000003</v>
      </c>
      <c r="S1076">
        <f t="shared" si="154"/>
        <v>0</v>
      </c>
      <c r="T1076" s="2">
        <f t="shared" si="155"/>
        <v>45342</v>
      </c>
      <c r="U1076" t="str">
        <f t="shared" si="156"/>
        <v>NO PRAZO</v>
      </c>
    </row>
    <row r="1077" spans="1:21" hidden="1">
      <c r="A1077" s="1">
        <v>16197</v>
      </c>
      <c r="B1077" t="s">
        <v>12</v>
      </c>
      <c r="C1077" t="s">
        <v>13</v>
      </c>
      <c r="D1077" t="s">
        <v>18</v>
      </c>
      <c r="E1077" s="1">
        <v>384</v>
      </c>
      <c r="F1077" s="1">
        <v>2024</v>
      </c>
      <c r="G1077" t="s">
        <v>11</v>
      </c>
      <c r="H1077" s="2">
        <v>45328.416817129626</v>
      </c>
      <c r="I1077" s="9">
        <f t="shared" si="148"/>
        <v>45331</v>
      </c>
      <c r="J1077" s="2" t="str">
        <f t="shared" si="149"/>
        <v/>
      </c>
      <c r="L1077" s="2" t="str">
        <f t="shared" si="150"/>
        <v/>
      </c>
      <c r="N1077" s="10" t="str">
        <f t="shared" si="151"/>
        <v/>
      </c>
      <c r="O1077" s="2">
        <f t="shared" si="152"/>
        <v>45331</v>
      </c>
      <c r="P1077" s="2">
        <v>45330.439131944448</v>
      </c>
      <c r="Q1077" s="2">
        <f t="shared" si="153"/>
        <v>45342</v>
      </c>
      <c r="R1077" s="2">
        <v>45330.448645833334</v>
      </c>
      <c r="S1077">
        <f t="shared" si="154"/>
        <v>0</v>
      </c>
      <c r="T1077" s="2">
        <f t="shared" si="155"/>
        <v>45342</v>
      </c>
      <c r="U1077" t="str">
        <f t="shared" si="156"/>
        <v>NO PRAZO</v>
      </c>
    </row>
    <row r="1078" spans="1:21">
      <c r="A1078" s="1">
        <v>16192</v>
      </c>
      <c r="B1078" t="s">
        <v>20</v>
      </c>
      <c r="C1078" t="s">
        <v>13</v>
      </c>
      <c r="D1078" t="s">
        <v>16</v>
      </c>
      <c r="E1078" s="1">
        <v>379</v>
      </c>
      <c r="F1078" s="1">
        <v>2024</v>
      </c>
      <c r="G1078" t="s">
        <v>11</v>
      </c>
      <c r="H1078" s="2">
        <v>45327.625162037039</v>
      </c>
      <c r="I1078" s="9">
        <f t="shared" si="148"/>
        <v>45328</v>
      </c>
      <c r="J1078" s="2" t="str">
        <f t="shared" si="149"/>
        <v/>
      </c>
      <c r="L1078" s="2" t="str">
        <f t="shared" si="150"/>
        <v/>
      </c>
      <c r="N1078" s="10" t="str">
        <f t="shared" si="151"/>
        <v/>
      </c>
      <c r="O1078" s="2">
        <f t="shared" si="152"/>
        <v>45328</v>
      </c>
      <c r="P1078" s="2">
        <v>45348.559918981482</v>
      </c>
      <c r="Q1078" s="2">
        <f t="shared" si="153"/>
        <v>45337</v>
      </c>
      <c r="R1078" s="2">
        <v>45348.66165509259</v>
      </c>
      <c r="S1078">
        <f t="shared" si="154"/>
        <v>11</v>
      </c>
      <c r="T1078" s="2">
        <f t="shared" si="155"/>
        <v>45337</v>
      </c>
      <c r="U1078" t="str">
        <f t="shared" si="156"/>
        <v>ATRASO</v>
      </c>
    </row>
    <row r="1079" spans="1:21" hidden="1">
      <c r="A1079" s="1">
        <v>16191</v>
      </c>
      <c r="B1079" t="s">
        <v>20</v>
      </c>
      <c r="C1079" t="s">
        <v>13</v>
      </c>
      <c r="D1079" t="s">
        <v>21</v>
      </c>
      <c r="E1079" s="1">
        <v>378</v>
      </c>
      <c r="F1079" s="1">
        <v>2024</v>
      </c>
      <c r="G1079" t="s">
        <v>11</v>
      </c>
      <c r="H1079" s="2">
        <v>45327.625162037039</v>
      </c>
      <c r="I1079" s="9">
        <f t="shared" si="148"/>
        <v>45330</v>
      </c>
      <c r="J1079" s="2">
        <f t="shared" si="149"/>
        <v>45330</v>
      </c>
      <c r="K1079" s="2">
        <v>45343.658171296294</v>
      </c>
      <c r="L1079" s="2">
        <f t="shared" si="150"/>
        <v>45355</v>
      </c>
      <c r="M1079" s="2">
        <v>45355.487233796295</v>
      </c>
      <c r="N1079" s="10">
        <f t="shared" si="151"/>
        <v>0</v>
      </c>
      <c r="O1079" s="2">
        <f t="shared" si="152"/>
        <v>45356</v>
      </c>
      <c r="P1079" s="2">
        <v>45342.673449074071</v>
      </c>
      <c r="Q1079" s="2">
        <f t="shared" si="153"/>
        <v>45384</v>
      </c>
      <c r="R1079" s="2">
        <v>45384.690787037034</v>
      </c>
      <c r="S1079">
        <f t="shared" si="154"/>
        <v>0</v>
      </c>
      <c r="T1079" s="2">
        <f t="shared" si="155"/>
        <v>45384</v>
      </c>
      <c r="U1079" t="str">
        <f t="shared" si="156"/>
        <v>NO PRAZO</v>
      </c>
    </row>
    <row r="1080" spans="1:21" hidden="1">
      <c r="A1080" s="1">
        <v>16188</v>
      </c>
      <c r="B1080" t="s">
        <v>12</v>
      </c>
      <c r="C1080" t="s">
        <v>13</v>
      </c>
      <c r="D1080" t="s">
        <v>18</v>
      </c>
      <c r="E1080" s="1">
        <v>375</v>
      </c>
      <c r="F1080" s="1">
        <v>2024</v>
      </c>
      <c r="G1080" t="s">
        <v>11</v>
      </c>
      <c r="H1080" s="2">
        <v>45327.583472222221</v>
      </c>
      <c r="I1080" s="9">
        <f t="shared" si="148"/>
        <v>45330</v>
      </c>
      <c r="J1080" s="2" t="str">
        <f t="shared" si="149"/>
        <v/>
      </c>
      <c r="L1080" s="2" t="str">
        <f t="shared" si="150"/>
        <v/>
      </c>
      <c r="N1080" s="10" t="str">
        <f t="shared" si="151"/>
        <v/>
      </c>
      <c r="O1080" s="2">
        <f t="shared" si="152"/>
        <v>45330</v>
      </c>
      <c r="P1080" s="2">
        <v>45330.37604166667</v>
      </c>
      <c r="Q1080" s="2">
        <f t="shared" si="153"/>
        <v>45341</v>
      </c>
      <c r="R1080" s="2">
        <v>45330.38690972222</v>
      </c>
      <c r="S1080">
        <f t="shared" si="154"/>
        <v>0</v>
      </c>
      <c r="T1080" s="2">
        <f t="shared" si="155"/>
        <v>45341</v>
      </c>
      <c r="U1080" t="str">
        <f t="shared" si="156"/>
        <v>NO PRAZO</v>
      </c>
    </row>
    <row r="1081" spans="1:21" hidden="1">
      <c r="A1081" s="1">
        <v>16175</v>
      </c>
      <c r="B1081" t="s">
        <v>12</v>
      </c>
      <c r="C1081" t="s">
        <v>13</v>
      </c>
      <c r="D1081" t="s">
        <v>16</v>
      </c>
      <c r="E1081" s="1">
        <v>362</v>
      </c>
      <c r="F1081" s="1">
        <v>2024</v>
      </c>
      <c r="G1081" t="s">
        <v>11</v>
      </c>
      <c r="H1081" s="2">
        <v>45324.625162037039</v>
      </c>
      <c r="I1081" s="9">
        <f t="shared" si="148"/>
        <v>45327</v>
      </c>
      <c r="J1081" s="2" t="str">
        <f t="shared" si="149"/>
        <v/>
      </c>
      <c r="L1081" s="2" t="str">
        <f t="shared" si="150"/>
        <v/>
      </c>
      <c r="N1081" s="10" t="str">
        <f t="shared" si="151"/>
        <v/>
      </c>
      <c r="O1081" s="2">
        <f t="shared" si="152"/>
        <v>45327</v>
      </c>
      <c r="P1081" s="2">
        <v>45327.694189814814</v>
      </c>
      <c r="Q1081" s="2">
        <f t="shared" si="153"/>
        <v>45331</v>
      </c>
      <c r="R1081" s="2">
        <v>45331.456296296295</v>
      </c>
      <c r="S1081">
        <f t="shared" si="154"/>
        <v>0</v>
      </c>
      <c r="T1081" s="2">
        <f t="shared" si="155"/>
        <v>45331</v>
      </c>
      <c r="U1081" t="str">
        <f t="shared" si="156"/>
        <v>NO PRAZO</v>
      </c>
    </row>
    <row r="1082" spans="1:21" hidden="1">
      <c r="A1082" s="1">
        <v>16174</v>
      </c>
      <c r="B1082" t="s">
        <v>8</v>
      </c>
      <c r="C1082" t="s">
        <v>9</v>
      </c>
      <c r="D1082" t="s">
        <v>18</v>
      </c>
      <c r="E1082" s="1">
        <v>361</v>
      </c>
      <c r="F1082" s="1">
        <v>2024</v>
      </c>
      <c r="G1082" t="s">
        <v>11</v>
      </c>
      <c r="H1082" s="2">
        <v>45324.625162037039</v>
      </c>
      <c r="I1082" s="9">
        <f t="shared" si="148"/>
        <v>45329</v>
      </c>
      <c r="J1082" s="2" t="str">
        <f t="shared" si="149"/>
        <v/>
      </c>
      <c r="L1082" s="2" t="str">
        <f t="shared" si="150"/>
        <v/>
      </c>
      <c r="N1082" s="10" t="str">
        <f t="shared" si="151"/>
        <v/>
      </c>
      <c r="O1082" s="2">
        <f t="shared" si="152"/>
        <v>45329</v>
      </c>
      <c r="P1082" s="2">
        <v>45330.682083333333</v>
      </c>
      <c r="Q1082" s="2">
        <f t="shared" si="153"/>
        <v>45338</v>
      </c>
      <c r="R1082" s="2">
        <v>45337.462858796294</v>
      </c>
      <c r="S1082">
        <f t="shared" si="154"/>
        <v>0</v>
      </c>
      <c r="T1082" s="2">
        <f t="shared" si="155"/>
        <v>45338</v>
      </c>
      <c r="U1082" t="str">
        <f t="shared" si="156"/>
        <v>NO PRAZO</v>
      </c>
    </row>
    <row r="1083" spans="1:21" hidden="1">
      <c r="A1083" s="1">
        <v>16164</v>
      </c>
      <c r="B1083" t="s">
        <v>12</v>
      </c>
      <c r="C1083" t="s">
        <v>13</v>
      </c>
      <c r="D1083" t="s">
        <v>18</v>
      </c>
      <c r="E1083" s="1">
        <v>351</v>
      </c>
      <c r="F1083" s="1">
        <v>2024</v>
      </c>
      <c r="G1083" t="s">
        <v>11</v>
      </c>
      <c r="H1083" s="2">
        <v>45324.458449074074</v>
      </c>
      <c r="I1083" s="9">
        <f t="shared" si="148"/>
        <v>45329</v>
      </c>
      <c r="J1083" s="2" t="str">
        <f t="shared" si="149"/>
        <v/>
      </c>
      <c r="L1083" s="2" t="str">
        <f t="shared" si="150"/>
        <v/>
      </c>
      <c r="N1083" s="10" t="str">
        <f t="shared" si="151"/>
        <v/>
      </c>
      <c r="O1083" s="2">
        <f t="shared" si="152"/>
        <v>45329</v>
      </c>
      <c r="P1083" s="2">
        <v>45327.703518518516</v>
      </c>
      <c r="Q1083" s="2">
        <f t="shared" si="153"/>
        <v>45338</v>
      </c>
      <c r="R1083" s="2">
        <v>45328.40625</v>
      </c>
      <c r="S1083">
        <f t="shared" si="154"/>
        <v>0</v>
      </c>
      <c r="T1083" s="2">
        <f t="shared" si="155"/>
        <v>45338</v>
      </c>
      <c r="U1083" t="str">
        <f t="shared" si="156"/>
        <v>NO PRAZO</v>
      </c>
    </row>
    <row r="1084" spans="1:21" hidden="1">
      <c r="A1084" s="1">
        <v>16160</v>
      </c>
      <c r="B1084" t="s">
        <v>20</v>
      </c>
      <c r="C1084" t="s">
        <v>13</v>
      </c>
      <c r="D1084" t="s">
        <v>21</v>
      </c>
      <c r="E1084" s="1">
        <v>347</v>
      </c>
      <c r="F1084" s="1">
        <v>2024</v>
      </c>
      <c r="G1084" t="s">
        <v>11</v>
      </c>
      <c r="H1084" s="2">
        <v>45323.83353009259</v>
      </c>
      <c r="I1084" s="9">
        <f t="shared" si="148"/>
        <v>45328</v>
      </c>
      <c r="J1084" s="2" t="str">
        <f t="shared" si="149"/>
        <v/>
      </c>
      <c r="L1084" s="2" t="str">
        <f t="shared" si="150"/>
        <v/>
      </c>
      <c r="N1084" s="10" t="str">
        <f t="shared" si="151"/>
        <v/>
      </c>
      <c r="O1084" s="2">
        <f t="shared" si="152"/>
        <v>45328</v>
      </c>
      <c r="P1084" s="2">
        <v>45337.441377314812</v>
      </c>
      <c r="Q1084" s="2">
        <f t="shared" si="153"/>
        <v>45358</v>
      </c>
      <c r="R1084" s="2">
        <v>45341.433819444443</v>
      </c>
      <c r="S1084">
        <f t="shared" si="154"/>
        <v>0</v>
      </c>
      <c r="T1084" s="2">
        <f t="shared" si="155"/>
        <v>45358</v>
      </c>
      <c r="U1084" t="str">
        <f t="shared" si="156"/>
        <v>NO PRAZO</v>
      </c>
    </row>
    <row r="1085" spans="1:21" hidden="1">
      <c r="A1085" s="1">
        <v>16159</v>
      </c>
      <c r="B1085" t="s">
        <v>8</v>
      </c>
      <c r="C1085" t="s">
        <v>9</v>
      </c>
      <c r="D1085" t="s">
        <v>18</v>
      </c>
      <c r="E1085" s="1">
        <v>346</v>
      </c>
      <c r="F1085" s="1">
        <v>2024</v>
      </c>
      <c r="G1085" t="s">
        <v>11</v>
      </c>
      <c r="H1085" s="2">
        <v>45323.791863425926</v>
      </c>
      <c r="I1085" s="9">
        <f t="shared" si="148"/>
        <v>45328</v>
      </c>
      <c r="J1085" s="2" t="str">
        <f t="shared" si="149"/>
        <v/>
      </c>
      <c r="L1085" s="2" t="str">
        <f t="shared" si="150"/>
        <v/>
      </c>
      <c r="N1085" s="10" t="str">
        <f t="shared" si="151"/>
        <v/>
      </c>
      <c r="O1085" s="2">
        <f t="shared" si="152"/>
        <v>45328</v>
      </c>
      <c r="P1085" s="2">
        <v>45324.621493055558</v>
      </c>
      <c r="Q1085" s="2">
        <f t="shared" si="153"/>
        <v>45337</v>
      </c>
      <c r="R1085" s="2">
        <v>45324.627627314818</v>
      </c>
      <c r="S1085">
        <f t="shared" si="154"/>
        <v>0</v>
      </c>
      <c r="T1085" s="2">
        <f t="shared" si="155"/>
        <v>45337</v>
      </c>
      <c r="U1085" t="str">
        <f t="shared" si="156"/>
        <v>NO PRAZO</v>
      </c>
    </row>
    <row r="1086" spans="1:21" hidden="1">
      <c r="A1086" s="1">
        <v>16145</v>
      </c>
      <c r="B1086" t="s">
        <v>20</v>
      </c>
      <c r="C1086" t="s">
        <v>13</v>
      </c>
      <c r="D1086" t="s">
        <v>18</v>
      </c>
      <c r="E1086" s="1">
        <v>332</v>
      </c>
      <c r="F1086" s="1">
        <v>2024</v>
      </c>
      <c r="G1086" t="s">
        <v>11</v>
      </c>
      <c r="H1086" s="2">
        <v>45323.375150462962</v>
      </c>
      <c r="I1086" s="9">
        <f t="shared" si="148"/>
        <v>45328</v>
      </c>
      <c r="J1086" s="2" t="str">
        <f t="shared" si="149"/>
        <v/>
      </c>
      <c r="L1086" s="2" t="str">
        <f t="shared" si="150"/>
        <v/>
      </c>
      <c r="N1086" s="10" t="str">
        <f t="shared" si="151"/>
        <v/>
      </c>
      <c r="O1086" s="2">
        <f t="shared" si="152"/>
        <v>45328</v>
      </c>
      <c r="P1086" s="2">
        <v>45328.337037037039</v>
      </c>
      <c r="Q1086" s="2">
        <f t="shared" si="153"/>
        <v>45337</v>
      </c>
      <c r="R1086" s="2">
        <v>45328.337187500001</v>
      </c>
      <c r="S1086">
        <f t="shared" si="154"/>
        <v>0</v>
      </c>
      <c r="T1086" s="2">
        <f t="shared" si="155"/>
        <v>45337</v>
      </c>
      <c r="U1086" t="str">
        <f t="shared" si="156"/>
        <v>NO PRAZO</v>
      </c>
    </row>
    <row r="1087" spans="1:21" hidden="1">
      <c r="A1087" s="1">
        <v>16142</v>
      </c>
      <c r="B1087" t="s">
        <v>17</v>
      </c>
      <c r="C1087" t="s">
        <v>9</v>
      </c>
      <c r="D1087" t="s">
        <v>18</v>
      </c>
      <c r="E1087" s="1">
        <v>329</v>
      </c>
      <c r="F1087" s="1">
        <v>2024</v>
      </c>
      <c r="G1087" t="s">
        <v>11</v>
      </c>
      <c r="H1087" s="2">
        <v>45322.708495370367</v>
      </c>
      <c r="I1087" s="9">
        <f t="shared" si="148"/>
        <v>45327</v>
      </c>
      <c r="J1087" s="2" t="str">
        <f t="shared" si="149"/>
        <v/>
      </c>
      <c r="L1087" s="2" t="str">
        <f t="shared" si="150"/>
        <v/>
      </c>
      <c r="N1087" s="10" t="str">
        <f t="shared" si="151"/>
        <v/>
      </c>
      <c r="O1087" s="2">
        <f t="shared" si="152"/>
        <v>45327</v>
      </c>
      <c r="P1087" s="2">
        <v>45327.702905092592</v>
      </c>
      <c r="Q1087" s="2">
        <f t="shared" si="153"/>
        <v>45331</v>
      </c>
      <c r="R1087" s="2">
        <v>45328.404918981483</v>
      </c>
      <c r="S1087">
        <f t="shared" si="154"/>
        <v>0</v>
      </c>
      <c r="T1087" s="2">
        <f t="shared" si="155"/>
        <v>45331</v>
      </c>
      <c r="U1087" t="str">
        <f t="shared" si="156"/>
        <v>NO PRAZO</v>
      </c>
    </row>
    <row r="1088" spans="1:21" hidden="1">
      <c r="A1088" s="1">
        <v>16119</v>
      </c>
      <c r="B1088" t="s">
        <v>20</v>
      </c>
      <c r="C1088" t="s">
        <v>13</v>
      </c>
      <c r="D1088" t="s">
        <v>18</v>
      </c>
      <c r="E1088" s="1">
        <v>306</v>
      </c>
      <c r="F1088" s="1">
        <v>2024</v>
      </c>
      <c r="G1088" t="s">
        <v>11</v>
      </c>
      <c r="H1088" s="2">
        <v>45321.458495370367</v>
      </c>
      <c r="I1088" s="9">
        <f t="shared" ref="I1088:I1151" si="157">IF(OR(D1088="ORIENTAÇÃO",D1088="BUG IMPEDITIVO",D1088="BUG NÃO IMPEDITIVO"),WORKDAY(H1088,1,Z$2:Z$500),IF(OR(D1088="MELHORIA PEQUENA",D1088="MELHORIA MÉDIA"),WORKDAY(H1088,3,Z$2:Z$500),""))</f>
        <v>45324</v>
      </c>
      <c r="J1088" s="2" t="str">
        <f t="shared" si="149"/>
        <v/>
      </c>
      <c r="L1088" s="2" t="str">
        <f t="shared" si="150"/>
        <v/>
      </c>
      <c r="N1088" s="10" t="str">
        <f t="shared" si="151"/>
        <v/>
      </c>
      <c r="O1088" s="2">
        <f t="shared" si="152"/>
        <v>45324</v>
      </c>
      <c r="P1088" s="2">
        <v>45324.631574074076</v>
      </c>
      <c r="Q1088" s="2">
        <f t="shared" si="153"/>
        <v>45330</v>
      </c>
      <c r="R1088" s="2">
        <v>45324.631979166668</v>
      </c>
      <c r="S1088">
        <f t="shared" si="154"/>
        <v>0</v>
      </c>
      <c r="T1088" s="2">
        <f t="shared" si="155"/>
        <v>45330</v>
      </c>
      <c r="U1088" t="str">
        <f t="shared" si="156"/>
        <v>NO PRAZO</v>
      </c>
    </row>
    <row r="1089" spans="1:21" hidden="1">
      <c r="A1089" s="1">
        <v>16118</v>
      </c>
      <c r="B1089" t="s">
        <v>20</v>
      </c>
      <c r="C1089" t="s">
        <v>13</v>
      </c>
      <c r="D1089" t="s">
        <v>18</v>
      </c>
      <c r="E1089" s="1">
        <v>305</v>
      </c>
      <c r="F1089" s="1">
        <v>2024</v>
      </c>
      <c r="G1089" t="s">
        <v>11</v>
      </c>
      <c r="H1089" s="2">
        <v>45321.458495370367</v>
      </c>
      <c r="I1089" s="9">
        <f t="shared" si="157"/>
        <v>45324</v>
      </c>
      <c r="J1089" s="2" t="str">
        <f t="shared" si="149"/>
        <v/>
      </c>
      <c r="L1089" s="2" t="str">
        <f t="shared" si="150"/>
        <v/>
      </c>
      <c r="N1089" s="10" t="str">
        <f t="shared" si="151"/>
        <v/>
      </c>
      <c r="O1089" s="2">
        <f t="shared" si="152"/>
        <v>45324</v>
      </c>
      <c r="P1089" s="2">
        <v>45324.435300925928</v>
      </c>
      <c r="Q1089" s="2">
        <f t="shared" si="153"/>
        <v>45330</v>
      </c>
      <c r="R1089" s="2">
        <v>45327.632708333331</v>
      </c>
      <c r="S1089">
        <f t="shared" si="154"/>
        <v>0</v>
      </c>
      <c r="T1089" s="2">
        <f t="shared" si="155"/>
        <v>45330</v>
      </c>
      <c r="U1089" t="str">
        <f t="shared" si="156"/>
        <v>NO PRAZO</v>
      </c>
    </row>
    <row r="1090" spans="1:21" hidden="1">
      <c r="A1090" s="1">
        <v>16117</v>
      </c>
      <c r="B1090" t="s">
        <v>20</v>
      </c>
      <c r="C1090" t="s">
        <v>13</v>
      </c>
      <c r="D1090" t="s">
        <v>18</v>
      </c>
      <c r="E1090" s="1">
        <v>304</v>
      </c>
      <c r="F1090" s="1">
        <v>2024</v>
      </c>
      <c r="G1090" t="s">
        <v>11</v>
      </c>
      <c r="H1090" s="2">
        <v>45320.833553240744</v>
      </c>
      <c r="I1090" s="9">
        <f t="shared" si="157"/>
        <v>45323</v>
      </c>
      <c r="J1090" s="2" t="str">
        <f t="shared" si="149"/>
        <v/>
      </c>
      <c r="L1090" s="2" t="str">
        <f t="shared" si="150"/>
        <v/>
      </c>
      <c r="N1090" s="10" t="str">
        <f t="shared" si="151"/>
        <v/>
      </c>
      <c r="O1090" s="2">
        <f t="shared" si="152"/>
        <v>45323</v>
      </c>
      <c r="P1090" s="2">
        <v>45321.478263888886</v>
      </c>
      <c r="Q1090" s="2">
        <f t="shared" si="153"/>
        <v>45329</v>
      </c>
      <c r="R1090" s="2">
        <v>45324.346261574072</v>
      </c>
      <c r="S1090">
        <f t="shared" si="154"/>
        <v>0</v>
      </c>
      <c r="T1090" s="2">
        <f t="shared" si="155"/>
        <v>45329</v>
      </c>
      <c r="U1090" t="str">
        <f t="shared" si="156"/>
        <v>NO PRAZO</v>
      </c>
    </row>
    <row r="1091" spans="1:21" hidden="1">
      <c r="A1091" s="1">
        <v>16115</v>
      </c>
      <c r="B1091" t="s">
        <v>22</v>
      </c>
      <c r="C1091" t="s">
        <v>13</v>
      </c>
      <c r="D1091" t="s">
        <v>10</v>
      </c>
      <c r="E1091" s="1">
        <v>302</v>
      </c>
      <c r="F1091" s="1">
        <v>2024</v>
      </c>
      <c r="G1091" t="s">
        <v>11</v>
      </c>
      <c r="H1091" s="2">
        <v>45320.708472222221</v>
      </c>
      <c r="I1091" s="9">
        <f t="shared" si="157"/>
        <v>45321</v>
      </c>
      <c r="J1091" s="2" t="str">
        <f t="shared" ref="J1091:J1154" si="158">IF(K1091&lt;&gt;"",I1091,"")</f>
        <v/>
      </c>
      <c r="L1091" s="2" t="str">
        <f t="shared" ref="L1091:L1154" si="159">IF(J1091="","",WORKDAY(J1091,14,Z$2:Z$500))</f>
        <v/>
      </c>
      <c r="N1091" s="10" t="str">
        <f t="shared" ref="N1091:N1154" si="160">IF(M1091="","",MAX(0,INT(M1091)-INT(L1091)))</f>
        <v/>
      </c>
      <c r="O1091" s="2">
        <f t="shared" ref="O1091:O1154" si="161">IF(L1091="",I1091,WORKDAY(L1091,1,Z$2:Z$500))</f>
        <v>45321</v>
      </c>
      <c r="P1091" s="2">
        <v>45322.629884259259</v>
      </c>
      <c r="Q1091" s="2">
        <f t="shared" ref="Q1091:Q1154" si="162">IF(OR(D1091="ORIENTAÇÃO",D1091="BUG IMPEDITIVO"),WORKDAY(O1091,1,Z$2:Z$500),IF(OR(D1091="MELHORIA PEQUENA",D1091="BUG NÃO IMPEDITIVO"),WORKDAY(O1091,4,Z$2:Z$500),IF(D1091="MELHORIA MÉDIA",WORKDAY(O1091,19,Z$2:Z$500),"")))</f>
        <v>45322</v>
      </c>
      <c r="R1091" s="2">
        <v>45322.632453703707</v>
      </c>
      <c r="S1091">
        <f t="shared" ref="S1091:S1154" si="163">MAX(0,INT(R1091)-INT(Q1091))</f>
        <v>0</v>
      </c>
      <c r="T1091" s="2">
        <f t="shared" ref="T1091:T1154" si="164">IF(D1091="MELHORIA MÉDIA",IF(K1091&lt;&gt;"",WORKDAY(I1091,34,$Z$2:$Z$1000),WORKDAY(I1091,19,$Z$2:$Z$1000)),IF(OR(D1091="MELHORIA PEQUENA",D1091="BUG NÃO IMPEDITIVO"),WORKDAY(I1091,4,$Z$2:$Z$1000),IF(OR(D1091="ORIENTAÇÃO",D1091="BUG IMPEDITIVO"),WORKDAY(I1091,1,$Z$2:$Z$1000),"")))</f>
        <v>45322</v>
      </c>
      <c r="U1091" t="str">
        <f t="shared" ref="U1091:U1154" si="165">IF(INT(R1091)&lt;=INT(T1091),"NO PRAZO","ATRASO")</f>
        <v>NO PRAZO</v>
      </c>
    </row>
    <row r="1092" spans="1:21" hidden="1">
      <c r="A1092" s="1">
        <v>16104</v>
      </c>
      <c r="B1092" t="s">
        <v>17</v>
      </c>
      <c r="C1092" t="s">
        <v>9</v>
      </c>
      <c r="D1092" t="s">
        <v>14</v>
      </c>
      <c r="E1092" s="1">
        <v>291</v>
      </c>
      <c r="F1092" s="1">
        <v>2024</v>
      </c>
      <c r="G1092" t="s">
        <v>11</v>
      </c>
      <c r="H1092" s="2">
        <v>45317.500196759262</v>
      </c>
      <c r="I1092" s="9">
        <f t="shared" si="157"/>
        <v>45320</v>
      </c>
      <c r="J1092" s="2" t="str">
        <f t="shared" si="158"/>
        <v/>
      </c>
      <c r="L1092" s="2" t="str">
        <f t="shared" si="159"/>
        <v/>
      </c>
      <c r="N1092" s="10" t="str">
        <f t="shared" si="160"/>
        <v/>
      </c>
      <c r="O1092" s="2">
        <f t="shared" si="161"/>
        <v>45320</v>
      </c>
      <c r="P1092" s="2">
        <v>45321.659803240742</v>
      </c>
      <c r="Q1092" s="2">
        <f t="shared" si="162"/>
        <v>45321</v>
      </c>
      <c r="R1092" s="2">
        <v>45321.660624999997</v>
      </c>
      <c r="S1092">
        <f t="shared" si="163"/>
        <v>0</v>
      </c>
      <c r="T1092" s="2">
        <f t="shared" si="164"/>
        <v>45321</v>
      </c>
      <c r="U1092" t="str">
        <f t="shared" si="165"/>
        <v>NO PRAZO</v>
      </c>
    </row>
    <row r="1093" spans="1:21" hidden="1">
      <c r="A1093" s="1">
        <v>16093</v>
      </c>
      <c r="B1093" t="s">
        <v>20</v>
      </c>
      <c r="C1093" t="s">
        <v>13</v>
      </c>
      <c r="D1093" t="s">
        <v>18</v>
      </c>
      <c r="E1093" s="1">
        <v>280</v>
      </c>
      <c r="F1093" s="1">
        <v>2024</v>
      </c>
      <c r="G1093" t="s">
        <v>11</v>
      </c>
      <c r="H1093" s="2">
        <v>45316.500127314815</v>
      </c>
      <c r="I1093" s="9">
        <f t="shared" si="157"/>
        <v>45321</v>
      </c>
      <c r="J1093" s="2" t="str">
        <f t="shared" si="158"/>
        <v/>
      </c>
      <c r="L1093" s="2" t="str">
        <f t="shared" si="159"/>
        <v/>
      </c>
      <c r="N1093" s="10" t="str">
        <f t="shared" si="160"/>
        <v/>
      </c>
      <c r="O1093" s="2">
        <f t="shared" si="161"/>
        <v>45321</v>
      </c>
      <c r="P1093" s="2">
        <v>45321.388969907406</v>
      </c>
      <c r="Q1093" s="2">
        <f t="shared" si="162"/>
        <v>45327</v>
      </c>
      <c r="R1093" s="2">
        <v>45321.719398148147</v>
      </c>
      <c r="S1093">
        <f t="shared" si="163"/>
        <v>0</v>
      </c>
      <c r="T1093" s="2">
        <f t="shared" si="164"/>
        <v>45327</v>
      </c>
      <c r="U1093" t="str">
        <f t="shared" si="165"/>
        <v>NO PRAZO</v>
      </c>
    </row>
    <row r="1094" spans="1:21" hidden="1">
      <c r="A1094" s="1">
        <v>16075</v>
      </c>
      <c r="B1094" t="s">
        <v>20</v>
      </c>
      <c r="C1094" t="s">
        <v>13</v>
      </c>
      <c r="D1094" t="s">
        <v>18</v>
      </c>
      <c r="E1094" s="1">
        <v>262</v>
      </c>
      <c r="F1094" s="1">
        <v>2024</v>
      </c>
      <c r="G1094" t="s">
        <v>11</v>
      </c>
      <c r="H1094" s="2">
        <v>45314.666805555556</v>
      </c>
      <c r="I1094" s="9">
        <f t="shared" si="157"/>
        <v>45317</v>
      </c>
      <c r="J1094" s="2" t="str">
        <f t="shared" si="158"/>
        <v/>
      </c>
      <c r="L1094" s="2" t="str">
        <f t="shared" si="159"/>
        <v/>
      </c>
      <c r="N1094" s="10" t="str">
        <f t="shared" si="160"/>
        <v/>
      </c>
      <c r="O1094" s="2">
        <f t="shared" si="161"/>
        <v>45317</v>
      </c>
      <c r="P1094" s="2">
        <v>45321.487581018519</v>
      </c>
      <c r="Q1094" s="2">
        <f t="shared" si="162"/>
        <v>45323</v>
      </c>
      <c r="R1094" s="2">
        <v>45321.487766203703</v>
      </c>
      <c r="S1094">
        <f t="shared" si="163"/>
        <v>0</v>
      </c>
      <c r="T1094" s="2">
        <f t="shared" si="164"/>
        <v>45323</v>
      </c>
      <c r="U1094" t="str">
        <f t="shared" si="165"/>
        <v>NO PRAZO</v>
      </c>
    </row>
    <row r="1095" spans="1:21" hidden="1">
      <c r="A1095" s="1">
        <v>16067</v>
      </c>
      <c r="B1095" t="s">
        <v>24</v>
      </c>
      <c r="C1095" t="s">
        <v>13</v>
      </c>
      <c r="D1095" t="s">
        <v>10</v>
      </c>
      <c r="E1095" s="1">
        <v>254</v>
      </c>
      <c r="F1095" s="1">
        <v>2024</v>
      </c>
      <c r="G1095" t="s">
        <v>11</v>
      </c>
      <c r="H1095" s="2">
        <v>45313.833541666667</v>
      </c>
      <c r="I1095" s="9">
        <f t="shared" si="157"/>
        <v>45314</v>
      </c>
      <c r="J1095" s="2" t="str">
        <f t="shared" si="158"/>
        <v/>
      </c>
      <c r="L1095" s="2" t="str">
        <f t="shared" si="159"/>
        <v/>
      </c>
      <c r="N1095" s="10" t="str">
        <f t="shared" si="160"/>
        <v/>
      </c>
      <c r="O1095" s="2">
        <f t="shared" si="161"/>
        <v>45314</v>
      </c>
      <c r="P1095" s="2">
        <v>45315.534814814811</v>
      </c>
      <c r="Q1095" s="2">
        <f t="shared" si="162"/>
        <v>45315</v>
      </c>
      <c r="R1095" s="2">
        <v>45315.602858796294</v>
      </c>
      <c r="S1095">
        <f t="shared" si="163"/>
        <v>0</v>
      </c>
      <c r="T1095" s="2">
        <f t="shared" si="164"/>
        <v>45315</v>
      </c>
      <c r="U1095" t="str">
        <f t="shared" si="165"/>
        <v>NO PRAZO</v>
      </c>
    </row>
    <row r="1096" spans="1:21" hidden="1">
      <c r="A1096" s="1">
        <v>16061</v>
      </c>
      <c r="B1096" t="s">
        <v>20</v>
      </c>
      <c r="C1096" t="s">
        <v>13</v>
      </c>
      <c r="D1096" t="s">
        <v>16</v>
      </c>
      <c r="E1096" s="1">
        <v>248</v>
      </c>
      <c r="F1096" s="1">
        <v>2024</v>
      </c>
      <c r="G1096" t="s">
        <v>11</v>
      </c>
      <c r="H1096" s="2">
        <v>45313.625138888892</v>
      </c>
      <c r="I1096" s="9">
        <f t="shared" si="157"/>
        <v>45314</v>
      </c>
      <c r="J1096" s="2" t="str">
        <f t="shared" si="158"/>
        <v/>
      </c>
      <c r="L1096" s="2" t="str">
        <f t="shared" si="159"/>
        <v/>
      </c>
      <c r="N1096" s="10" t="str">
        <f t="shared" si="160"/>
        <v/>
      </c>
      <c r="O1096" s="2">
        <f t="shared" si="161"/>
        <v>45314</v>
      </c>
      <c r="P1096" s="2">
        <v>45315.611921296295</v>
      </c>
      <c r="Q1096" s="2">
        <f t="shared" si="162"/>
        <v>45320</v>
      </c>
      <c r="R1096" s="2">
        <v>45315.624340277776</v>
      </c>
      <c r="S1096">
        <f t="shared" si="163"/>
        <v>0</v>
      </c>
      <c r="T1096" s="2">
        <f t="shared" si="164"/>
        <v>45320</v>
      </c>
      <c r="U1096" t="str">
        <f t="shared" si="165"/>
        <v>NO PRAZO</v>
      </c>
    </row>
    <row r="1097" spans="1:21" hidden="1">
      <c r="A1097" s="1">
        <v>16049</v>
      </c>
      <c r="B1097" t="s">
        <v>12</v>
      </c>
      <c r="C1097" t="s">
        <v>9</v>
      </c>
      <c r="D1097" t="s">
        <v>21</v>
      </c>
      <c r="E1097" s="1">
        <v>236</v>
      </c>
      <c r="F1097" s="1">
        <v>2024</v>
      </c>
      <c r="G1097" t="s">
        <v>11</v>
      </c>
      <c r="H1097" s="2">
        <v>45310.708449074074</v>
      </c>
      <c r="I1097" s="9">
        <f t="shared" si="157"/>
        <v>45315</v>
      </c>
      <c r="J1097" s="2">
        <f t="shared" si="158"/>
        <v>45315</v>
      </c>
      <c r="K1097" s="2">
        <v>45314.734502314815</v>
      </c>
      <c r="L1097" s="2">
        <f t="shared" si="159"/>
        <v>45338</v>
      </c>
      <c r="M1097" s="2">
        <v>45316.391122685185</v>
      </c>
      <c r="N1097" s="10">
        <f t="shared" si="160"/>
        <v>0</v>
      </c>
      <c r="O1097" s="2">
        <f t="shared" si="161"/>
        <v>45341</v>
      </c>
      <c r="P1097" s="2">
        <v>45328.493217592593</v>
      </c>
      <c r="Q1097" s="2">
        <f t="shared" si="162"/>
        <v>45366</v>
      </c>
      <c r="R1097" s="2">
        <v>45338.604664351849</v>
      </c>
      <c r="S1097">
        <f t="shared" si="163"/>
        <v>0</v>
      </c>
      <c r="T1097" s="2">
        <f t="shared" si="164"/>
        <v>45366</v>
      </c>
      <c r="U1097" t="str">
        <f t="shared" si="165"/>
        <v>NO PRAZO</v>
      </c>
    </row>
    <row r="1098" spans="1:21" hidden="1">
      <c r="A1098" s="1">
        <v>16044</v>
      </c>
      <c r="B1098" t="s">
        <v>20</v>
      </c>
      <c r="C1098" t="s">
        <v>13</v>
      </c>
      <c r="D1098" t="s">
        <v>18</v>
      </c>
      <c r="E1098" s="1">
        <v>231</v>
      </c>
      <c r="F1098" s="1">
        <v>2024</v>
      </c>
      <c r="G1098" t="s">
        <v>11</v>
      </c>
      <c r="H1098" s="2">
        <v>45310.625138888892</v>
      </c>
      <c r="I1098" s="9">
        <f t="shared" si="157"/>
        <v>45315</v>
      </c>
      <c r="J1098" s="2" t="str">
        <f t="shared" si="158"/>
        <v/>
      </c>
      <c r="L1098" s="2" t="str">
        <f t="shared" si="159"/>
        <v/>
      </c>
      <c r="N1098" s="10" t="str">
        <f t="shared" si="160"/>
        <v/>
      </c>
      <c r="O1098" s="2">
        <f t="shared" si="161"/>
        <v>45315</v>
      </c>
      <c r="P1098" s="2">
        <v>45313.394259259258</v>
      </c>
      <c r="Q1098" s="2">
        <f t="shared" si="162"/>
        <v>45321</v>
      </c>
      <c r="R1098" s="2">
        <v>45315.754421296297</v>
      </c>
      <c r="S1098">
        <f t="shared" si="163"/>
        <v>0</v>
      </c>
      <c r="T1098" s="2">
        <f t="shared" si="164"/>
        <v>45321</v>
      </c>
      <c r="U1098" t="str">
        <f t="shared" si="165"/>
        <v>NO PRAZO</v>
      </c>
    </row>
    <row r="1099" spans="1:21" hidden="1">
      <c r="A1099" s="1">
        <v>16029</v>
      </c>
      <c r="B1099" t="s">
        <v>22</v>
      </c>
      <c r="C1099" t="s">
        <v>13</v>
      </c>
      <c r="D1099" t="s">
        <v>18</v>
      </c>
      <c r="E1099" s="1">
        <v>216</v>
      </c>
      <c r="F1099" s="1">
        <v>2024</v>
      </c>
      <c r="G1099" t="s">
        <v>11</v>
      </c>
      <c r="H1099" s="2">
        <v>45310.583518518521</v>
      </c>
      <c r="I1099" s="9">
        <f t="shared" si="157"/>
        <v>45315</v>
      </c>
      <c r="J1099" s="2" t="str">
        <f t="shared" si="158"/>
        <v/>
      </c>
      <c r="L1099" s="2" t="str">
        <f t="shared" si="159"/>
        <v/>
      </c>
      <c r="N1099" s="10" t="str">
        <f t="shared" si="160"/>
        <v/>
      </c>
      <c r="O1099" s="2">
        <f t="shared" si="161"/>
        <v>45315</v>
      </c>
      <c r="P1099" s="2">
        <v>45310.694456018522</v>
      </c>
      <c r="Q1099" s="2">
        <f t="shared" si="162"/>
        <v>45321</v>
      </c>
      <c r="R1099" s="2">
        <v>45310.730115740742</v>
      </c>
      <c r="S1099">
        <f t="shared" si="163"/>
        <v>0</v>
      </c>
      <c r="T1099" s="2">
        <f t="shared" si="164"/>
        <v>45321</v>
      </c>
      <c r="U1099" t="str">
        <f t="shared" si="165"/>
        <v>NO PRAZO</v>
      </c>
    </row>
    <row r="1100" spans="1:21" hidden="1">
      <c r="A1100" s="1">
        <v>16027</v>
      </c>
      <c r="B1100" t="s">
        <v>20</v>
      </c>
      <c r="C1100" t="s">
        <v>13</v>
      </c>
      <c r="D1100" t="s">
        <v>18</v>
      </c>
      <c r="E1100" s="1">
        <v>214</v>
      </c>
      <c r="F1100" s="1">
        <v>2024</v>
      </c>
      <c r="G1100" t="s">
        <v>11</v>
      </c>
      <c r="H1100" s="2">
        <v>45310.500185185185</v>
      </c>
      <c r="I1100" s="9">
        <f t="shared" si="157"/>
        <v>45315</v>
      </c>
      <c r="J1100" s="2" t="str">
        <f t="shared" si="158"/>
        <v/>
      </c>
      <c r="L1100" s="2" t="str">
        <f t="shared" si="159"/>
        <v/>
      </c>
      <c r="N1100" s="10" t="str">
        <f t="shared" si="160"/>
        <v/>
      </c>
      <c r="O1100" s="2">
        <f t="shared" si="161"/>
        <v>45315</v>
      </c>
      <c r="P1100" s="2">
        <v>45313.395891203705</v>
      </c>
      <c r="Q1100" s="2">
        <f t="shared" si="162"/>
        <v>45321</v>
      </c>
      <c r="R1100" s="2">
        <v>45315.616898148146</v>
      </c>
      <c r="S1100">
        <f t="shared" si="163"/>
        <v>0</v>
      </c>
      <c r="T1100" s="2">
        <f t="shared" si="164"/>
        <v>45321</v>
      </c>
      <c r="U1100" t="str">
        <f t="shared" si="165"/>
        <v>NO PRAZO</v>
      </c>
    </row>
    <row r="1101" spans="1:21" hidden="1">
      <c r="A1101" s="1">
        <v>16026</v>
      </c>
      <c r="B1101" t="s">
        <v>20</v>
      </c>
      <c r="C1101" t="s">
        <v>13</v>
      </c>
      <c r="D1101" t="s">
        <v>14</v>
      </c>
      <c r="E1101" s="1">
        <v>213</v>
      </c>
      <c r="F1101" s="1">
        <v>2024</v>
      </c>
      <c r="G1101" t="s">
        <v>11</v>
      </c>
      <c r="H1101" s="2">
        <v>45310.458495370367</v>
      </c>
      <c r="I1101" s="9">
        <f t="shared" si="157"/>
        <v>45313</v>
      </c>
      <c r="J1101" s="2" t="str">
        <f t="shared" si="158"/>
        <v/>
      </c>
      <c r="L1101" s="2" t="str">
        <f t="shared" si="159"/>
        <v/>
      </c>
      <c r="N1101" s="10" t="str">
        <f t="shared" si="160"/>
        <v/>
      </c>
      <c r="O1101" s="2">
        <f t="shared" si="161"/>
        <v>45313</v>
      </c>
      <c r="P1101" s="2">
        <v>45313.654363425929</v>
      </c>
      <c r="Q1101" s="2">
        <f t="shared" si="162"/>
        <v>45314</v>
      </c>
      <c r="R1101" s="2">
        <v>45313.695983796293</v>
      </c>
      <c r="S1101">
        <f t="shared" si="163"/>
        <v>0</v>
      </c>
      <c r="T1101" s="2">
        <f t="shared" si="164"/>
        <v>45314</v>
      </c>
      <c r="U1101" t="str">
        <f t="shared" si="165"/>
        <v>NO PRAZO</v>
      </c>
    </row>
    <row r="1102" spans="1:21" hidden="1">
      <c r="A1102" s="1">
        <v>16017</v>
      </c>
      <c r="B1102" t="s">
        <v>24</v>
      </c>
      <c r="C1102" t="s">
        <v>13</v>
      </c>
      <c r="D1102" t="s">
        <v>14</v>
      </c>
      <c r="E1102" s="1">
        <v>204</v>
      </c>
      <c r="F1102" s="1">
        <v>2024</v>
      </c>
      <c r="G1102" t="s">
        <v>11</v>
      </c>
      <c r="H1102" s="2">
        <v>45308.583495370367</v>
      </c>
      <c r="I1102" s="9">
        <f t="shared" si="157"/>
        <v>45309</v>
      </c>
      <c r="J1102" s="2" t="str">
        <f t="shared" si="158"/>
        <v/>
      </c>
      <c r="L1102" s="2" t="str">
        <f t="shared" si="159"/>
        <v/>
      </c>
      <c r="N1102" s="10" t="str">
        <f t="shared" si="160"/>
        <v/>
      </c>
      <c r="O1102" s="2">
        <f t="shared" si="161"/>
        <v>45309</v>
      </c>
      <c r="P1102" s="2">
        <v>45309.415844907409</v>
      </c>
      <c r="Q1102" s="2">
        <f t="shared" si="162"/>
        <v>45310</v>
      </c>
      <c r="R1102" s="2">
        <v>45309.431921296295</v>
      </c>
      <c r="S1102">
        <f t="shared" si="163"/>
        <v>0</v>
      </c>
      <c r="T1102" s="2">
        <f t="shared" si="164"/>
        <v>45310</v>
      </c>
      <c r="U1102" t="str">
        <f t="shared" si="165"/>
        <v>NO PRAZO</v>
      </c>
    </row>
    <row r="1103" spans="1:21" hidden="1">
      <c r="A1103" s="1">
        <v>16016</v>
      </c>
      <c r="B1103" t="s">
        <v>20</v>
      </c>
      <c r="C1103" t="s">
        <v>13</v>
      </c>
      <c r="D1103" t="s">
        <v>14</v>
      </c>
      <c r="E1103" s="1">
        <v>203</v>
      </c>
      <c r="F1103" s="1">
        <v>2024</v>
      </c>
      <c r="G1103" t="s">
        <v>11</v>
      </c>
      <c r="H1103" s="2">
        <v>45308.583495370367</v>
      </c>
      <c r="I1103" s="9">
        <f t="shared" si="157"/>
        <v>45309</v>
      </c>
      <c r="J1103" s="2" t="str">
        <f t="shared" si="158"/>
        <v/>
      </c>
      <c r="L1103" s="2" t="str">
        <f t="shared" si="159"/>
        <v/>
      </c>
      <c r="N1103" s="10" t="str">
        <f t="shared" si="160"/>
        <v/>
      </c>
      <c r="O1103" s="2">
        <f t="shared" si="161"/>
        <v>45309</v>
      </c>
      <c r="P1103" s="2">
        <v>45309.447175925925</v>
      </c>
      <c r="Q1103" s="2">
        <f t="shared" si="162"/>
        <v>45310</v>
      </c>
      <c r="R1103" s="2">
        <v>45309.483657407407</v>
      </c>
      <c r="S1103">
        <f t="shared" si="163"/>
        <v>0</v>
      </c>
      <c r="T1103" s="2">
        <f t="shared" si="164"/>
        <v>45310</v>
      </c>
      <c r="U1103" t="str">
        <f t="shared" si="165"/>
        <v>NO PRAZO</v>
      </c>
    </row>
    <row r="1104" spans="1:21" hidden="1">
      <c r="A1104" s="1">
        <v>16015</v>
      </c>
      <c r="B1104" t="s">
        <v>12</v>
      </c>
      <c r="C1104" t="s">
        <v>13</v>
      </c>
      <c r="D1104" t="s">
        <v>10</v>
      </c>
      <c r="E1104" s="1">
        <v>202</v>
      </c>
      <c r="F1104" s="1">
        <v>2024</v>
      </c>
      <c r="G1104" t="s">
        <v>11</v>
      </c>
      <c r="H1104" s="2">
        <v>45308.583495370367</v>
      </c>
      <c r="I1104" s="9">
        <f t="shared" si="157"/>
        <v>45309</v>
      </c>
      <c r="J1104" s="2" t="str">
        <f t="shared" si="158"/>
        <v/>
      </c>
      <c r="L1104" s="2" t="str">
        <f t="shared" si="159"/>
        <v/>
      </c>
      <c r="N1104" s="10" t="str">
        <f t="shared" si="160"/>
        <v/>
      </c>
      <c r="O1104" s="2">
        <f t="shared" si="161"/>
        <v>45309</v>
      </c>
      <c r="P1104" s="2">
        <v>45310.429375</v>
      </c>
      <c r="Q1104" s="2">
        <f t="shared" si="162"/>
        <v>45310</v>
      </c>
      <c r="R1104" s="2">
        <v>45310.739398148151</v>
      </c>
      <c r="S1104">
        <f t="shared" si="163"/>
        <v>0</v>
      </c>
      <c r="T1104" s="2">
        <f t="shared" si="164"/>
        <v>45310</v>
      </c>
      <c r="U1104" t="str">
        <f t="shared" si="165"/>
        <v>NO PRAZO</v>
      </c>
    </row>
    <row r="1105" spans="1:21" hidden="1">
      <c r="A1105" s="1">
        <v>16013</v>
      </c>
      <c r="B1105" t="s">
        <v>20</v>
      </c>
      <c r="C1105" t="s">
        <v>13</v>
      </c>
      <c r="D1105" t="s">
        <v>14</v>
      </c>
      <c r="E1105" s="1">
        <v>200</v>
      </c>
      <c r="F1105" s="1">
        <v>2024</v>
      </c>
      <c r="G1105" t="s">
        <v>11</v>
      </c>
      <c r="H1105" s="2">
        <v>45308.500162037039</v>
      </c>
      <c r="I1105" s="9">
        <f t="shared" si="157"/>
        <v>45309</v>
      </c>
      <c r="J1105" s="2" t="str">
        <f t="shared" si="158"/>
        <v/>
      </c>
      <c r="L1105" s="2" t="str">
        <f t="shared" si="159"/>
        <v/>
      </c>
      <c r="N1105" s="10" t="str">
        <f t="shared" si="160"/>
        <v/>
      </c>
      <c r="O1105" s="2">
        <f t="shared" si="161"/>
        <v>45309</v>
      </c>
      <c r="P1105" s="2">
        <v>45309.444189814814</v>
      </c>
      <c r="Q1105" s="2">
        <f t="shared" si="162"/>
        <v>45310</v>
      </c>
      <c r="R1105" s="2">
        <v>45309.4841087963</v>
      </c>
      <c r="S1105">
        <f t="shared" si="163"/>
        <v>0</v>
      </c>
      <c r="T1105" s="2">
        <f t="shared" si="164"/>
        <v>45310</v>
      </c>
      <c r="U1105" t="str">
        <f t="shared" si="165"/>
        <v>NO PRAZO</v>
      </c>
    </row>
    <row r="1106" spans="1:21" hidden="1">
      <c r="A1106" s="1">
        <v>16012</v>
      </c>
      <c r="B1106" t="s">
        <v>20</v>
      </c>
      <c r="C1106" t="s">
        <v>13</v>
      </c>
      <c r="D1106" t="s">
        <v>14</v>
      </c>
      <c r="E1106" s="1">
        <v>199</v>
      </c>
      <c r="F1106" s="1">
        <v>2024</v>
      </c>
      <c r="G1106" t="s">
        <v>11</v>
      </c>
      <c r="H1106" s="2">
        <v>45308.500162037039</v>
      </c>
      <c r="I1106" s="9">
        <f t="shared" si="157"/>
        <v>45309</v>
      </c>
      <c r="J1106" s="2" t="str">
        <f t="shared" si="158"/>
        <v/>
      </c>
      <c r="L1106" s="2" t="str">
        <f t="shared" si="159"/>
        <v/>
      </c>
      <c r="N1106" s="10" t="str">
        <f t="shared" si="160"/>
        <v/>
      </c>
      <c r="O1106" s="2">
        <f t="shared" si="161"/>
        <v>45309</v>
      </c>
      <c r="P1106" s="2">
        <v>45309.462187500001</v>
      </c>
      <c r="Q1106" s="2">
        <f t="shared" si="162"/>
        <v>45310</v>
      </c>
      <c r="R1106" s="2">
        <v>45309.484363425923</v>
      </c>
      <c r="S1106">
        <f t="shared" si="163"/>
        <v>0</v>
      </c>
      <c r="T1106" s="2">
        <f t="shared" si="164"/>
        <v>45310</v>
      </c>
      <c r="U1106" t="str">
        <f t="shared" si="165"/>
        <v>NO PRAZO</v>
      </c>
    </row>
    <row r="1107" spans="1:21" hidden="1">
      <c r="A1107" s="1">
        <v>16009</v>
      </c>
      <c r="B1107" t="s">
        <v>20</v>
      </c>
      <c r="C1107" t="s">
        <v>13</v>
      </c>
      <c r="D1107" t="s">
        <v>14</v>
      </c>
      <c r="E1107" s="1">
        <v>196</v>
      </c>
      <c r="F1107" s="1">
        <v>2024</v>
      </c>
      <c r="G1107" t="s">
        <v>11</v>
      </c>
      <c r="H1107" s="2">
        <v>45308.458460648151</v>
      </c>
      <c r="I1107" s="9">
        <f t="shared" si="157"/>
        <v>45309</v>
      </c>
      <c r="J1107" s="2" t="str">
        <f t="shared" si="158"/>
        <v/>
      </c>
      <c r="L1107" s="2" t="str">
        <f t="shared" si="159"/>
        <v/>
      </c>
      <c r="N1107" s="10" t="str">
        <f t="shared" si="160"/>
        <v/>
      </c>
      <c r="O1107" s="2">
        <f t="shared" si="161"/>
        <v>45309</v>
      </c>
      <c r="P1107" s="2">
        <v>45309.451099537036</v>
      </c>
      <c r="Q1107" s="2">
        <f t="shared" si="162"/>
        <v>45310</v>
      </c>
      <c r="R1107" s="2">
        <v>45309.462384259263</v>
      </c>
      <c r="S1107">
        <f t="shared" si="163"/>
        <v>0</v>
      </c>
      <c r="T1107" s="2">
        <f t="shared" si="164"/>
        <v>45310</v>
      </c>
      <c r="U1107" t="str">
        <f t="shared" si="165"/>
        <v>NO PRAZO</v>
      </c>
    </row>
    <row r="1108" spans="1:21" hidden="1">
      <c r="A1108" s="1">
        <v>16007</v>
      </c>
      <c r="B1108" t="s">
        <v>20</v>
      </c>
      <c r="C1108" t="s">
        <v>13</v>
      </c>
      <c r="D1108" t="s">
        <v>14</v>
      </c>
      <c r="E1108" s="1">
        <v>194</v>
      </c>
      <c r="F1108" s="1">
        <v>2024</v>
      </c>
      <c r="G1108" t="s">
        <v>11</v>
      </c>
      <c r="H1108" s="2">
        <v>45308.458460648151</v>
      </c>
      <c r="I1108" s="9">
        <f t="shared" si="157"/>
        <v>45309</v>
      </c>
      <c r="J1108" s="2" t="str">
        <f t="shared" si="158"/>
        <v/>
      </c>
      <c r="L1108" s="2" t="str">
        <f t="shared" si="159"/>
        <v/>
      </c>
      <c r="N1108" s="10" t="str">
        <f t="shared" si="160"/>
        <v/>
      </c>
      <c r="O1108" s="2">
        <f t="shared" si="161"/>
        <v>45309</v>
      </c>
      <c r="P1108" s="2">
        <v>45309.463506944441</v>
      </c>
      <c r="Q1108" s="2">
        <f t="shared" si="162"/>
        <v>45310</v>
      </c>
      <c r="R1108" s="2">
        <v>45309.48474537037</v>
      </c>
      <c r="S1108">
        <f t="shared" si="163"/>
        <v>0</v>
      </c>
      <c r="T1108" s="2">
        <f t="shared" si="164"/>
        <v>45310</v>
      </c>
      <c r="U1108" t="str">
        <f t="shared" si="165"/>
        <v>NO PRAZO</v>
      </c>
    </row>
    <row r="1109" spans="1:21" hidden="1">
      <c r="A1109" s="1">
        <v>16005</v>
      </c>
      <c r="B1109" t="s">
        <v>20</v>
      </c>
      <c r="C1109" t="s">
        <v>13</v>
      </c>
      <c r="D1109" t="s">
        <v>14</v>
      </c>
      <c r="E1109" s="1">
        <v>192</v>
      </c>
      <c r="F1109" s="1">
        <v>2024</v>
      </c>
      <c r="G1109" t="s">
        <v>11</v>
      </c>
      <c r="H1109" s="2">
        <v>45308.416817129626</v>
      </c>
      <c r="I1109" s="9">
        <f t="shared" si="157"/>
        <v>45309</v>
      </c>
      <c r="J1109" s="2" t="str">
        <f t="shared" si="158"/>
        <v/>
      </c>
      <c r="L1109" s="2" t="str">
        <f t="shared" si="159"/>
        <v/>
      </c>
      <c r="N1109" s="10" t="str">
        <f t="shared" si="160"/>
        <v/>
      </c>
      <c r="O1109" s="2">
        <f t="shared" si="161"/>
        <v>45309</v>
      </c>
      <c r="P1109" s="2">
        <v>45309.465243055558</v>
      </c>
      <c r="Q1109" s="2">
        <f t="shared" si="162"/>
        <v>45310</v>
      </c>
      <c r="R1109" s="2">
        <v>45309.484953703701</v>
      </c>
      <c r="S1109">
        <f t="shared" si="163"/>
        <v>0</v>
      </c>
      <c r="T1109" s="2">
        <f t="shared" si="164"/>
        <v>45310</v>
      </c>
      <c r="U1109" t="str">
        <f t="shared" si="165"/>
        <v>NO PRAZO</v>
      </c>
    </row>
    <row r="1110" spans="1:21" hidden="1">
      <c r="A1110" s="1">
        <v>16004</v>
      </c>
      <c r="B1110" t="s">
        <v>20</v>
      </c>
      <c r="C1110" t="s">
        <v>13</v>
      </c>
      <c r="D1110" t="s">
        <v>14</v>
      </c>
      <c r="E1110" s="1">
        <v>191</v>
      </c>
      <c r="F1110" s="1">
        <v>2024</v>
      </c>
      <c r="G1110" t="s">
        <v>11</v>
      </c>
      <c r="H1110" s="2">
        <v>45308.375150462962</v>
      </c>
      <c r="I1110" s="9">
        <f t="shared" si="157"/>
        <v>45309</v>
      </c>
      <c r="J1110" s="2" t="str">
        <f t="shared" si="158"/>
        <v/>
      </c>
      <c r="L1110" s="2" t="str">
        <f t="shared" si="159"/>
        <v/>
      </c>
      <c r="N1110" s="10" t="str">
        <f t="shared" si="160"/>
        <v/>
      </c>
      <c r="O1110" s="2">
        <f t="shared" si="161"/>
        <v>45309</v>
      </c>
      <c r="P1110" s="2">
        <v>45309.466365740744</v>
      </c>
      <c r="Q1110" s="2">
        <f t="shared" si="162"/>
        <v>45310</v>
      </c>
      <c r="R1110" s="2">
        <v>45309.485474537039</v>
      </c>
      <c r="S1110">
        <f t="shared" si="163"/>
        <v>0</v>
      </c>
      <c r="T1110" s="2">
        <f t="shared" si="164"/>
        <v>45310</v>
      </c>
      <c r="U1110" t="str">
        <f t="shared" si="165"/>
        <v>NO PRAZO</v>
      </c>
    </row>
    <row r="1111" spans="1:21" hidden="1">
      <c r="A1111" s="1">
        <v>16003</v>
      </c>
      <c r="B1111" t="s">
        <v>20</v>
      </c>
      <c r="C1111" t="s">
        <v>13</v>
      </c>
      <c r="D1111" t="s">
        <v>18</v>
      </c>
      <c r="E1111" s="1">
        <v>190</v>
      </c>
      <c r="F1111" s="1">
        <v>2024</v>
      </c>
      <c r="G1111" t="s">
        <v>11</v>
      </c>
      <c r="H1111" s="2">
        <v>45307.875173611108</v>
      </c>
      <c r="I1111" s="9">
        <f t="shared" si="157"/>
        <v>45310</v>
      </c>
      <c r="J1111" s="2" t="str">
        <f t="shared" si="158"/>
        <v/>
      </c>
      <c r="L1111" s="2" t="str">
        <f t="shared" si="159"/>
        <v/>
      </c>
      <c r="N1111" s="10" t="str">
        <f t="shared" si="160"/>
        <v/>
      </c>
      <c r="O1111" s="2">
        <f t="shared" si="161"/>
        <v>45310</v>
      </c>
      <c r="P1111" s="2">
        <v>45308.41165509259</v>
      </c>
      <c r="Q1111" s="2">
        <f t="shared" si="162"/>
        <v>45316</v>
      </c>
      <c r="R1111" s="2">
        <v>45313.48951388889</v>
      </c>
      <c r="S1111">
        <f t="shared" si="163"/>
        <v>0</v>
      </c>
      <c r="T1111" s="2">
        <f t="shared" si="164"/>
        <v>45316</v>
      </c>
      <c r="U1111" t="str">
        <f t="shared" si="165"/>
        <v>NO PRAZO</v>
      </c>
    </row>
    <row r="1112" spans="1:21" hidden="1">
      <c r="A1112" s="1">
        <v>16002</v>
      </c>
      <c r="B1112" t="s">
        <v>19</v>
      </c>
      <c r="C1112" t="s">
        <v>13</v>
      </c>
      <c r="D1112" t="s">
        <v>14</v>
      </c>
      <c r="E1112" s="1">
        <v>189</v>
      </c>
      <c r="F1112" s="1">
        <v>2024</v>
      </c>
      <c r="G1112" t="s">
        <v>11</v>
      </c>
      <c r="H1112" s="2">
        <v>45307.750150462962</v>
      </c>
      <c r="I1112" s="9">
        <f t="shared" si="157"/>
        <v>45308</v>
      </c>
      <c r="J1112" s="2" t="str">
        <f t="shared" si="158"/>
        <v/>
      </c>
      <c r="L1112" s="2" t="str">
        <f t="shared" si="159"/>
        <v/>
      </c>
      <c r="N1112" s="10" t="str">
        <f t="shared" si="160"/>
        <v/>
      </c>
      <c r="O1112" s="2">
        <f t="shared" si="161"/>
        <v>45308</v>
      </c>
      <c r="P1112" s="2">
        <v>45309.453819444447</v>
      </c>
      <c r="Q1112" s="2">
        <f t="shared" si="162"/>
        <v>45309</v>
      </c>
      <c r="R1112" s="2">
        <v>45309.652812499997</v>
      </c>
      <c r="S1112">
        <f t="shared" si="163"/>
        <v>0</v>
      </c>
      <c r="T1112" s="2">
        <f t="shared" si="164"/>
        <v>45309</v>
      </c>
      <c r="U1112" t="str">
        <f t="shared" si="165"/>
        <v>NO PRAZO</v>
      </c>
    </row>
    <row r="1113" spans="1:21" hidden="1">
      <c r="A1113" s="1">
        <v>15993</v>
      </c>
      <c r="B1113" t="s">
        <v>17</v>
      </c>
      <c r="C1113" t="s">
        <v>9</v>
      </c>
      <c r="D1113" t="s">
        <v>18</v>
      </c>
      <c r="E1113" s="1">
        <v>180</v>
      </c>
      <c r="F1113" s="1">
        <v>2024</v>
      </c>
      <c r="G1113" t="s">
        <v>11</v>
      </c>
      <c r="H1113" s="2">
        <v>45307.500173611108</v>
      </c>
      <c r="I1113" s="9">
        <f t="shared" si="157"/>
        <v>45310</v>
      </c>
      <c r="J1113" s="2" t="str">
        <f t="shared" si="158"/>
        <v/>
      </c>
      <c r="L1113" s="2" t="str">
        <f t="shared" si="159"/>
        <v/>
      </c>
      <c r="N1113" s="10" t="str">
        <f t="shared" si="160"/>
        <v/>
      </c>
      <c r="O1113" s="2">
        <f t="shared" si="161"/>
        <v>45310</v>
      </c>
      <c r="P1113" s="2">
        <v>45313.40016203704</v>
      </c>
      <c r="Q1113" s="2">
        <f t="shared" si="162"/>
        <v>45316</v>
      </c>
      <c r="R1113" s="2">
        <v>45313.410636574074</v>
      </c>
      <c r="S1113">
        <f t="shared" si="163"/>
        <v>0</v>
      </c>
      <c r="T1113" s="2">
        <f t="shared" si="164"/>
        <v>45316</v>
      </c>
      <c r="U1113" t="str">
        <f t="shared" si="165"/>
        <v>NO PRAZO</v>
      </c>
    </row>
    <row r="1114" spans="1:21" hidden="1">
      <c r="A1114" s="1">
        <v>15986</v>
      </c>
      <c r="B1114" t="s">
        <v>12</v>
      </c>
      <c r="C1114" t="s">
        <v>13</v>
      </c>
      <c r="D1114" t="s">
        <v>16</v>
      </c>
      <c r="E1114" s="1">
        <v>173</v>
      </c>
      <c r="F1114" s="1">
        <v>2024</v>
      </c>
      <c r="G1114" t="s">
        <v>11</v>
      </c>
      <c r="H1114" s="2">
        <v>45307.417048611111</v>
      </c>
      <c r="I1114" s="9">
        <f t="shared" si="157"/>
        <v>45308</v>
      </c>
      <c r="J1114" s="2" t="str">
        <f t="shared" si="158"/>
        <v/>
      </c>
      <c r="L1114" s="2" t="str">
        <f t="shared" si="159"/>
        <v/>
      </c>
      <c r="N1114" s="10" t="str">
        <f t="shared" si="160"/>
        <v/>
      </c>
      <c r="O1114" s="2">
        <f t="shared" si="161"/>
        <v>45308</v>
      </c>
      <c r="P1114" s="2">
        <v>45313.694108796299</v>
      </c>
      <c r="Q1114" s="2">
        <f t="shared" si="162"/>
        <v>45314</v>
      </c>
      <c r="R1114" s="2">
        <v>45313.694236111114</v>
      </c>
      <c r="S1114">
        <f t="shared" si="163"/>
        <v>0</v>
      </c>
      <c r="T1114" s="2">
        <f t="shared" si="164"/>
        <v>45314</v>
      </c>
      <c r="U1114" t="str">
        <f t="shared" si="165"/>
        <v>NO PRAZO</v>
      </c>
    </row>
    <row r="1115" spans="1:21" hidden="1">
      <c r="A1115" s="1">
        <v>15960</v>
      </c>
      <c r="B1115" t="s">
        <v>20</v>
      </c>
      <c r="C1115" t="s">
        <v>13</v>
      </c>
      <c r="D1115" t="s">
        <v>18</v>
      </c>
      <c r="E1115" s="1">
        <v>147</v>
      </c>
      <c r="F1115" s="1">
        <v>2024</v>
      </c>
      <c r="G1115" t="s">
        <v>11</v>
      </c>
      <c r="H1115" s="2">
        <v>45303.750185185185</v>
      </c>
      <c r="I1115" s="9">
        <f t="shared" si="157"/>
        <v>45308</v>
      </c>
      <c r="J1115" s="2" t="str">
        <f t="shared" si="158"/>
        <v/>
      </c>
      <c r="L1115" s="2" t="str">
        <f t="shared" si="159"/>
        <v/>
      </c>
      <c r="N1115" s="10" t="str">
        <f t="shared" si="160"/>
        <v/>
      </c>
      <c r="O1115" s="2">
        <f t="shared" si="161"/>
        <v>45308</v>
      </c>
      <c r="P1115" s="2">
        <v>45306.42690972222</v>
      </c>
      <c r="Q1115" s="2">
        <f t="shared" si="162"/>
        <v>45314</v>
      </c>
      <c r="R1115" s="2">
        <v>45308.457002314812</v>
      </c>
      <c r="S1115">
        <f t="shared" si="163"/>
        <v>0</v>
      </c>
      <c r="T1115" s="2">
        <f t="shared" si="164"/>
        <v>45314</v>
      </c>
      <c r="U1115" t="str">
        <f t="shared" si="165"/>
        <v>NO PRAZO</v>
      </c>
    </row>
    <row r="1116" spans="1:21" hidden="1">
      <c r="A1116" s="1">
        <v>15954</v>
      </c>
      <c r="B1116" t="s">
        <v>24</v>
      </c>
      <c r="C1116" t="s">
        <v>13</v>
      </c>
      <c r="D1116" t="s">
        <v>18</v>
      </c>
      <c r="E1116" s="1">
        <v>141</v>
      </c>
      <c r="F1116" s="1">
        <v>2024</v>
      </c>
      <c r="G1116" t="s">
        <v>11</v>
      </c>
      <c r="H1116" s="2">
        <v>45303.645844907405</v>
      </c>
      <c r="I1116" s="9">
        <f t="shared" si="157"/>
        <v>45308</v>
      </c>
      <c r="J1116" s="2" t="str">
        <f t="shared" si="158"/>
        <v/>
      </c>
      <c r="L1116" s="2" t="str">
        <f t="shared" si="159"/>
        <v/>
      </c>
      <c r="N1116" s="10" t="str">
        <f t="shared" si="160"/>
        <v/>
      </c>
      <c r="O1116" s="2">
        <f t="shared" si="161"/>
        <v>45308</v>
      </c>
      <c r="P1116" s="2">
        <v>45306.357164351852</v>
      </c>
      <c r="Q1116" s="2">
        <f t="shared" si="162"/>
        <v>45314</v>
      </c>
      <c r="R1116" s="2">
        <v>45307.463229166664</v>
      </c>
      <c r="S1116">
        <f t="shared" si="163"/>
        <v>0</v>
      </c>
      <c r="T1116" s="2">
        <f t="shared" si="164"/>
        <v>45314</v>
      </c>
      <c r="U1116" t="str">
        <f t="shared" si="165"/>
        <v>NO PRAZO</v>
      </c>
    </row>
    <row r="1117" spans="1:21" hidden="1">
      <c r="A1117" s="1">
        <v>15953</v>
      </c>
      <c r="B1117" t="s">
        <v>20</v>
      </c>
      <c r="C1117" t="s">
        <v>13</v>
      </c>
      <c r="D1117" t="s">
        <v>18</v>
      </c>
      <c r="E1117" s="1">
        <v>140</v>
      </c>
      <c r="F1117" s="1">
        <v>2024</v>
      </c>
      <c r="G1117" t="s">
        <v>11</v>
      </c>
      <c r="H1117" s="2">
        <v>45303.625127314815</v>
      </c>
      <c r="I1117" s="9">
        <f t="shared" si="157"/>
        <v>45308</v>
      </c>
      <c r="J1117" s="2" t="str">
        <f t="shared" si="158"/>
        <v/>
      </c>
      <c r="L1117" s="2" t="str">
        <f t="shared" si="159"/>
        <v/>
      </c>
      <c r="N1117" s="10" t="str">
        <f t="shared" si="160"/>
        <v/>
      </c>
      <c r="O1117" s="2">
        <f t="shared" si="161"/>
        <v>45308</v>
      </c>
      <c r="P1117" s="2">
        <v>45313.513425925928</v>
      </c>
      <c r="Q1117" s="2">
        <f t="shared" si="162"/>
        <v>45314</v>
      </c>
      <c r="R1117" s="2">
        <v>45313.513715277775</v>
      </c>
      <c r="S1117">
        <f t="shared" si="163"/>
        <v>0</v>
      </c>
      <c r="T1117" s="2">
        <f t="shared" si="164"/>
        <v>45314</v>
      </c>
      <c r="U1117" t="str">
        <f t="shared" si="165"/>
        <v>NO PRAZO</v>
      </c>
    </row>
    <row r="1118" spans="1:21" hidden="1">
      <c r="A1118" s="1">
        <v>15950</v>
      </c>
      <c r="B1118" t="s">
        <v>22</v>
      </c>
      <c r="C1118" t="s">
        <v>13</v>
      </c>
      <c r="D1118" t="s">
        <v>14</v>
      </c>
      <c r="E1118" s="1">
        <v>137</v>
      </c>
      <c r="F1118" s="1">
        <v>2024</v>
      </c>
      <c r="G1118" t="s">
        <v>11</v>
      </c>
      <c r="H1118" s="2">
        <v>45303.500162037039</v>
      </c>
      <c r="I1118" s="9">
        <f t="shared" si="157"/>
        <v>45306</v>
      </c>
      <c r="J1118" s="2" t="str">
        <f t="shared" si="158"/>
        <v/>
      </c>
      <c r="L1118" s="2" t="str">
        <f t="shared" si="159"/>
        <v/>
      </c>
      <c r="N1118" s="10" t="str">
        <f t="shared" si="160"/>
        <v/>
      </c>
      <c r="O1118" s="2">
        <f t="shared" si="161"/>
        <v>45306</v>
      </c>
      <c r="P1118" s="2">
        <v>45306.62158564815</v>
      </c>
      <c r="Q1118" s="2">
        <f t="shared" si="162"/>
        <v>45307</v>
      </c>
      <c r="R1118" s="2">
        <v>45306.707094907404</v>
      </c>
      <c r="S1118">
        <f t="shared" si="163"/>
        <v>0</v>
      </c>
      <c r="T1118" s="2">
        <f t="shared" si="164"/>
        <v>45307</v>
      </c>
      <c r="U1118" t="str">
        <f t="shared" si="165"/>
        <v>NO PRAZO</v>
      </c>
    </row>
    <row r="1119" spans="1:21" hidden="1">
      <c r="A1119" s="1">
        <v>15947</v>
      </c>
      <c r="B1119" t="s">
        <v>24</v>
      </c>
      <c r="C1119" t="s">
        <v>13</v>
      </c>
      <c r="D1119" t="s">
        <v>14</v>
      </c>
      <c r="E1119" s="1">
        <v>134</v>
      </c>
      <c r="F1119" s="1">
        <v>2024</v>
      </c>
      <c r="G1119" t="s">
        <v>11</v>
      </c>
      <c r="H1119" s="2">
        <v>45303.458483796298</v>
      </c>
      <c r="I1119" s="9">
        <f t="shared" si="157"/>
        <v>45306</v>
      </c>
      <c r="J1119" s="2" t="str">
        <f t="shared" si="158"/>
        <v/>
      </c>
      <c r="L1119" s="2" t="str">
        <f t="shared" si="159"/>
        <v/>
      </c>
      <c r="N1119" s="10" t="str">
        <f t="shared" si="160"/>
        <v/>
      </c>
      <c r="O1119" s="2">
        <f t="shared" si="161"/>
        <v>45306</v>
      </c>
      <c r="P1119" s="2">
        <v>45307.455046296294</v>
      </c>
      <c r="Q1119" s="2">
        <f t="shared" si="162"/>
        <v>45307</v>
      </c>
      <c r="R1119" s="2">
        <v>45307.455543981479</v>
      </c>
      <c r="S1119">
        <f t="shared" si="163"/>
        <v>0</v>
      </c>
      <c r="T1119" s="2">
        <f t="shared" si="164"/>
        <v>45307</v>
      </c>
      <c r="U1119" t="str">
        <f t="shared" si="165"/>
        <v>NO PRAZO</v>
      </c>
    </row>
    <row r="1120" spans="1:21" hidden="1">
      <c r="A1120" s="1">
        <v>15927</v>
      </c>
      <c r="B1120" t="s">
        <v>12</v>
      </c>
      <c r="C1120" t="s">
        <v>13</v>
      </c>
      <c r="D1120" t="s">
        <v>18</v>
      </c>
      <c r="E1120" s="1">
        <v>114</v>
      </c>
      <c r="F1120" s="1">
        <v>2024</v>
      </c>
      <c r="G1120" t="s">
        <v>11</v>
      </c>
      <c r="H1120" s="2">
        <v>45301.666805555556</v>
      </c>
      <c r="I1120" s="9">
        <f t="shared" si="157"/>
        <v>45306</v>
      </c>
      <c r="J1120" s="2" t="str">
        <f t="shared" si="158"/>
        <v/>
      </c>
      <c r="L1120" s="2" t="str">
        <f t="shared" si="159"/>
        <v/>
      </c>
      <c r="N1120" s="10" t="str">
        <f t="shared" si="160"/>
        <v/>
      </c>
      <c r="O1120" s="2">
        <f t="shared" si="161"/>
        <v>45306</v>
      </c>
      <c r="P1120" s="2">
        <v>45303.446620370371</v>
      </c>
      <c r="Q1120" s="2">
        <f t="shared" si="162"/>
        <v>45310</v>
      </c>
      <c r="R1120" s="2">
        <v>45306.361481481479</v>
      </c>
      <c r="S1120">
        <f t="shared" si="163"/>
        <v>0</v>
      </c>
      <c r="T1120" s="2">
        <f t="shared" si="164"/>
        <v>45310</v>
      </c>
      <c r="U1120" t="str">
        <f t="shared" si="165"/>
        <v>NO PRAZO</v>
      </c>
    </row>
    <row r="1121" spans="1:21" hidden="1">
      <c r="A1121" s="1">
        <v>15923</v>
      </c>
      <c r="B1121" t="s">
        <v>19</v>
      </c>
      <c r="C1121" t="s">
        <v>13</v>
      </c>
      <c r="D1121" t="s">
        <v>18</v>
      </c>
      <c r="E1121" s="1">
        <v>110</v>
      </c>
      <c r="F1121" s="1">
        <v>2024</v>
      </c>
      <c r="G1121" t="s">
        <v>11</v>
      </c>
      <c r="H1121" s="2">
        <v>45301.500150462962</v>
      </c>
      <c r="I1121" s="9">
        <f t="shared" si="157"/>
        <v>45306</v>
      </c>
      <c r="J1121" s="2" t="str">
        <f t="shared" si="158"/>
        <v/>
      </c>
      <c r="L1121" s="2" t="str">
        <f t="shared" si="159"/>
        <v/>
      </c>
      <c r="N1121" s="10" t="str">
        <f t="shared" si="160"/>
        <v/>
      </c>
      <c r="O1121" s="2">
        <f t="shared" si="161"/>
        <v>45306</v>
      </c>
      <c r="P1121" s="2">
        <v>45307.427233796298</v>
      </c>
      <c r="Q1121" s="2">
        <f t="shared" si="162"/>
        <v>45310</v>
      </c>
      <c r="R1121" s="2">
        <v>45308.742326388892</v>
      </c>
      <c r="S1121">
        <f t="shared" si="163"/>
        <v>0</v>
      </c>
      <c r="T1121" s="2">
        <f t="shared" si="164"/>
        <v>45310</v>
      </c>
      <c r="U1121" t="str">
        <f t="shared" si="165"/>
        <v>NO PRAZO</v>
      </c>
    </row>
    <row r="1122" spans="1:21" hidden="1">
      <c r="A1122" s="1">
        <v>15921</v>
      </c>
      <c r="B1122" t="s">
        <v>17</v>
      </c>
      <c r="C1122" t="s">
        <v>9</v>
      </c>
      <c r="D1122" t="s">
        <v>18</v>
      </c>
      <c r="E1122" s="1">
        <v>108</v>
      </c>
      <c r="F1122" s="1">
        <v>2024</v>
      </c>
      <c r="G1122" t="s">
        <v>11</v>
      </c>
      <c r="H1122" s="2">
        <v>45301.500150462962</v>
      </c>
      <c r="I1122" s="9">
        <f t="shared" si="157"/>
        <v>45306</v>
      </c>
      <c r="J1122" s="2" t="str">
        <f t="shared" si="158"/>
        <v/>
      </c>
      <c r="L1122" s="2" t="str">
        <f t="shared" si="159"/>
        <v/>
      </c>
      <c r="N1122" s="10" t="str">
        <f t="shared" si="160"/>
        <v/>
      </c>
      <c r="O1122" s="2">
        <f t="shared" si="161"/>
        <v>45306</v>
      </c>
      <c r="P1122" s="2">
        <v>45306.692199074074</v>
      </c>
      <c r="Q1122" s="2">
        <f t="shared" si="162"/>
        <v>45310</v>
      </c>
      <c r="R1122" s="2">
        <v>45306.711759259262</v>
      </c>
      <c r="S1122">
        <f t="shared" si="163"/>
        <v>0</v>
      </c>
      <c r="T1122" s="2">
        <f t="shared" si="164"/>
        <v>45310</v>
      </c>
      <c r="U1122" t="str">
        <f t="shared" si="165"/>
        <v>NO PRAZO</v>
      </c>
    </row>
    <row r="1123" spans="1:21" hidden="1">
      <c r="A1123" s="1">
        <v>15916</v>
      </c>
      <c r="B1123" t="s">
        <v>22</v>
      </c>
      <c r="C1123" t="s">
        <v>13</v>
      </c>
      <c r="D1123" t="s">
        <v>10</v>
      </c>
      <c r="E1123" s="1">
        <v>103</v>
      </c>
      <c r="F1123" s="1">
        <v>2024</v>
      </c>
      <c r="G1123" t="s">
        <v>11</v>
      </c>
      <c r="H1123" s="2">
        <v>45300.750115740739</v>
      </c>
      <c r="I1123" s="9">
        <f t="shared" si="157"/>
        <v>45301</v>
      </c>
      <c r="J1123" s="2" t="str">
        <f t="shared" si="158"/>
        <v/>
      </c>
      <c r="L1123" s="2" t="str">
        <f t="shared" si="159"/>
        <v/>
      </c>
      <c r="N1123" s="10" t="str">
        <f t="shared" si="160"/>
        <v/>
      </c>
      <c r="O1123" s="2">
        <f t="shared" si="161"/>
        <v>45301</v>
      </c>
      <c r="P1123" s="2">
        <v>45301.70521990741</v>
      </c>
      <c r="Q1123" s="2">
        <f t="shared" si="162"/>
        <v>45302</v>
      </c>
      <c r="R1123" s="2">
        <v>45301.732581018521</v>
      </c>
      <c r="S1123">
        <f t="shared" si="163"/>
        <v>0</v>
      </c>
      <c r="T1123" s="2">
        <f t="shared" si="164"/>
        <v>45302</v>
      </c>
      <c r="U1123" t="str">
        <f t="shared" si="165"/>
        <v>NO PRAZO</v>
      </c>
    </row>
    <row r="1124" spans="1:21" hidden="1">
      <c r="A1124" s="1">
        <v>15913</v>
      </c>
      <c r="B1124" t="s">
        <v>20</v>
      </c>
      <c r="C1124" t="s">
        <v>13</v>
      </c>
      <c r="D1124" t="s">
        <v>18</v>
      </c>
      <c r="E1124" s="1">
        <v>100</v>
      </c>
      <c r="F1124" s="1">
        <v>2024</v>
      </c>
      <c r="G1124" t="s">
        <v>11</v>
      </c>
      <c r="H1124" s="2">
        <v>45300.708460648151</v>
      </c>
      <c r="I1124" s="9">
        <f t="shared" si="157"/>
        <v>45303</v>
      </c>
      <c r="J1124" s="2" t="str">
        <f t="shared" si="158"/>
        <v/>
      </c>
      <c r="L1124" s="2" t="str">
        <f t="shared" si="159"/>
        <v/>
      </c>
      <c r="N1124" s="10" t="str">
        <f t="shared" si="160"/>
        <v/>
      </c>
      <c r="O1124" s="2">
        <f t="shared" si="161"/>
        <v>45303</v>
      </c>
      <c r="P1124" s="2">
        <v>45301.672789351855</v>
      </c>
      <c r="Q1124" s="2">
        <f t="shared" si="162"/>
        <v>45309</v>
      </c>
      <c r="R1124" s="2">
        <v>45301.674861111111</v>
      </c>
      <c r="S1124">
        <f t="shared" si="163"/>
        <v>0</v>
      </c>
      <c r="T1124" s="2">
        <f t="shared" si="164"/>
        <v>45309</v>
      </c>
      <c r="U1124" t="str">
        <f t="shared" si="165"/>
        <v>NO PRAZO</v>
      </c>
    </row>
    <row r="1125" spans="1:21" hidden="1">
      <c r="A1125" s="1">
        <v>15912</v>
      </c>
      <c r="B1125" t="s">
        <v>20</v>
      </c>
      <c r="C1125" t="s">
        <v>13</v>
      </c>
      <c r="D1125" t="s">
        <v>18</v>
      </c>
      <c r="E1125" s="1">
        <v>99</v>
      </c>
      <c r="F1125" s="1">
        <v>2024</v>
      </c>
      <c r="G1125" t="s">
        <v>11</v>
      </c>
      <c r="H1125" s="2">
        <v>45300.708460648151</v>
      </c>
      <c r="I1125" s="9">
        <f t="shared" si="157"/>
        <v>45303</v>
      </c>
      <c r="J1125" s="2" t="str">
        <f t="shared" si="158"/>
        <v/>
      </c>
      <c r="L1125" s="2" t="str">
        <f t="shared" si="159"/>
        <v/>
      </c>
      <c r="N1125" s="10" t="str">
        <f t="shared" si="160"/>
        <v/>
      </c>
      <c r="O1125" s="2">
        <f t="shared" si="161"/>
        <v>45303</v>
      </c>
      <c r="P1125" s="2">
        <v>45301.585717592592</v>
      </c>
      <c r="Q1125" s="2">
        <f t="shared" si="162"/>
        <v>45309</v>
      </c>
      <c r="R1125" s="2">
        <v>45301.586122685185</v>
      </c>
      <c r="S1125">
        <f t="shared" si="163"/>
        <v>0</v>
      </c>
      <c r="T1125" s="2">
        <f t="shared" si="164"/>
        <v>45309</v>
      </c>
      <c r="U1125" t="str">
        <f t="shared" si="165"/>
        <v>NO PRAZO</v>
      </c>
    </row>
    <row r="1126" spans="1:21" hidden="1">
      <c r="A1126" s="1">
        <v>15910</v>
      </c>
      <c r="B1126" t="s">
        <v>20</v>
      </c>
      <c r="C1126" t="s">
        <v>13</v>
      </c>
      <c r="D1126" t="s">
        <v>18</v>
      </c>
      <c r="E1126" s="1">
        <v>97</v>
      </c>
      <c r="F1126" s="1">
        <v>2024</v>
      </c>
      <c r="G1126" t="s">
        <v>11</v>
      </c>
      <c r="H1126" s="2">
        <v>45300.66679398148</v>
      </c>
      <c r="I1126" s="9">
        <f t="shared" si="157"/>
        <v>45303</v>
      </c>
      <c r="J1126" s="2" t="str">
        <f t="shared" si="158"/>
        <v/>
      </c>
      <c r="L1126" s="2" t="str">
        <f t="shared" si="159"/>
        <v/>
      </c>
      <c r="N1126" s="10" t="str">
        <f t="shared" si="160"/>
        <v/>
      </c>
      <c r="O1126" s="2">
        <f t="shared" si="161"/>
        <v>45303</v>
      </c>
      <c r="P1126" s="2">
        <v>45301.613159722219</v>
      </c>
      <c r="Q1126" s="2">
        <f t="shared" si="162"/>
        <v>45309</v>
      </c>
      <c r="R1126" s="2">
        <v>45301.613391203704</v>
      </c>
      <c r="S1126">
        <f t="shared" si="163"/>
        <v>0</v>
      </c>
      <c r="T1126" s="2">
        <f t="shared" si="164"/>
        <v>45309</v>
      </c>
      <c r="U1126" t="str">
        <f t="shared" si="165"/>
        <v>NO PRAZO</v>
      </c>
    </row>
    <row r="1127" spans="1:21" hidden="1">
      <c r="A1127" s="1">
        <v>15905</v>
      </c>
      <c r="B1127" t="s">
        <v>24</v>
      </c>
      <c r="C1127" t="s">
        <v>13</v>
      </c>
      <c r="D1127" t="s">
        <v>18</v>
      </c>
      <c r="E1127" s="1">
        <v>92</v>
      </c>
      <c r="F1127" s="1">
        <v>2024</v>
      </c>
      <c r="G1127" t="s">
        <v>11</v>
      </c>
      <c r="H1127" s="2">
        <v>45299.708449074074</v>
      </c>
      <c r="I1127" s="9">
        <f t="shared" si="157"/>
        <v>45302</v>
      </c>
      <c r="J1127" s="2" t="str">
        <f t="shared" si="158"/>
        <v/>
      </c>
      <c r="L1127" s="2" t="str">
        <f t="shared" si="159"/>
        <v/>
      </c>
      <c r="N1127" s="10" t="str">
        <f t="shared" si="160"/>
        <v/>
      </c>
      <c r="O1127" s="2">
        <f t="shared" si="161"/>
        <v>45302</v>
      </c>
      <c r="P1127" s="2">
        <v>45301.471168981479</v>
      </c>
      <c r="Q1127" s="2">
        <f t="shared" si="162"/>
        <v>45308</v>
      </c>
      <c r="R1127" s="2">
        <v>45301.472060185188</v>
      </c>
      <c r="S1127">
        <f t="shared" si="163"/>
        <v>0</v>
      </c>
      <c r="T1127" s="2">
        <f t="shared" si="164"/>
        <v>45308</v>
      </c>
      <c r="U1127" t="str">
        <f t="shared" si="165"/>
        <v>NO PRAZO</v>
      </c>
    </row>
    <row r="1128" spans="1:21" hidden="1">
      <c r="A1128" s="1">
        <v>15903</v>
      </c>
      <c r="B1128" t="s">
        <v>24</v>
      </c>
      <c r="C1128" t="s">
        <v>13</v>
      </c>
      <c r="D1128" t="s">
        <v>10</v>
      </c>
      <c r="E1128" s="1">
        <v>90</v>
      </c>
      <c r="F1128" s="1">
        <v>2024</v>
      </c>
      <c r="G1128" t="s">
        <v>11</v>
      </c>
      <c r="H1128" s="2">
        <v>45299.666817129626</v>
      </c>
      <c r="I1128" s="9">
        <f t="shared" si="157"/>
        <v>45300</v>
      </c>
      <c r="J1128" s="2" t="str">
        <f t="shared" si="158"/>
        <v/>
      </c>
      <c r="L1128" s="2" t="str">
        <f t="shared" si="159"/>
        <v/>
      </c>
      <c r="N1128" s="10" t="str">
        <f t="shared" si="160"/>
        <v/>
      </c>
      <c r="O1128" s="2">
        <f t="shared" si="161"/>
        <v>45300</v>
      </c>
      <c r="P1128" s="2">
        <v>45300.700787037036</v>
      </c>
      <c r="Q1128" s="2">
        <f t="shared" si="162"/>
        <v>45301</v>
      </c>
      <c r="R1128" s="2">
        <v>45300.712361111109</v>
      </c>
      <c r="S1128">
        <f t="shared" si="163"/>
        <v>0</v>
      </c>
      <c r="T1128" s="2">
        <f t="shared" si="164"/>
        <v>45301</v>
      </c>
      <c r="U1128" t="str">
        <f t="shared" si="165"/>
        <v>NO PRAZO</v>
      </c>
    </row>
    <row r="1129" spans="1:21" hidden="1">
      <c r="A1129" s="1">
        <v>15879</v>
      </c>
      <c r="B1129" t="s">
        <v>24</v>
      </c>
      <c r="C1129" t="s">
        <v>13</v>
      </c>
      <c r="D1129" t="s">
        <v>10</v>
      </c>
      <c r="E1129" s="1">
        <v>66</v>
      </c>
      <c r="F1129" s="1">
        <v>2024</v>
      </c>
      <c r="G1129" t="s">
        <v>11</v>
      </c>
      <c r="H1129" s="2">
        <v>45296.83353009259</v>
      </c>
      <c r="I1129" s="9">
        <f t="shared" si="157"/>
        <v>45299</v>
      </c>
      <c r="J1129" s="2" t="str">
        <f t="shared" si="158"/>
        <v/>
      </c>
      <c r="L1129" s="2" t="str">
        <f t="shared" si="159"/>
        <v/>
      </c>
      <c r="N1129" s="10" t="str">
        <f t="shared" si="160"/>
        <v/>
      </c>
      <c r="O1129" s="2">
        <f t="shared" si="161"/>
        <v>45299</v>
      </c>
      <c r="P1129" s="2">
        <v>45300.69972222222</v>
      </c>
      <c r="Q1129" s="2">
        <f t="shared" si="162"/>
        <v>45300</v>
      </c>
      <c r="R1129" s="2">
        <v>45300.712245370371</v>
      </c>
      <c r="S1129">
        <f t="shared" si="163"/>
        <v>0</v>
      </c>
      <c r="T1129" s="2">
        <f t="shared" si="164"/>
        <v>45300</v>
      </c>
      <c r="U1129" t="str">
        <f t="shared" si="165"/>
        <v>NO PRAZO</v>
      </c>
    </row>
    <row r="1130" spans="1:21" hidden="1">
      <c r="A1130" s="1">
        <v>15876</v>
      </c>
      <c r="B1130" t="s">
        <v>8</v>
      </c>
      <c r="C1130" t="s">
        <v>9</v>
      </c>
      <c r="D1130" t="s">
        <v>18</v>
      </c>
      <c r="E1130" s="1">
        <v>63</v>
      </c>
      <c r="F1130" s="1">
        <v>2024</v>
      </c>
      <c r="G1130" t="s">
        <v>11</v>
      </c>
      <c r="H1130" s="2">
        <v>45296.666805555556</v>
      </c>
      <c r="I1130" s="9">
        <f t="shared" si="157"/>
        <v>45301</v>
      </c>
      <c r="J1130" s="2" t="str">
        <f t="shared" si="158"/>
        <v/>
      </c>
      <c r="L1130" s="2" t="str">
        <f t="shared" si="159"/>
        <v/>
      </c>
      <c r="N1130" s="10" t="str">
        <f t="shared" si="160"/>
        <v/>
      </c>
      <c r="O1130" s="2">
        <f t="shared" si="161"/>
        <v>45301</v>
      </c>
      <c r="P1130" s="2">
        <v>45299.495011574072</v>
      </c>
      <c r="Q1130" s="2">
        <f t="shared" si="162"/>
        <v>45307</v>
      </c>
      <c r="R1130" s="2">
        <v>45299.495347222219</v>
      </c>
      <c r="S1130">
        <f t="shared" si="163"/>
        <v>0</v>
      </c>
      <c r="T1130" s="2">
        <f t="shared" si="164"/>
        <v>45307</v>
      </c>
      <c r="U1130" t="str">
        <f t="shared" si="165"/>
        <v>NO PRAZO</v>
      </c>
    </row>
    <row r="1131" spans="1:21" hidden="1">
      <c r="A1131" s="1">
        <v>15872</v>
      </c>
      <c r="B1131" t="s">
        <v>20</v>
      </c>
      <c r="C1131" t="s">
        <v>13</v>
      </c>
      <c r="D1131" t="s">
        <v>14</v>
      </c>
      <c r="E1131" s="1">
        <v>59</v>
      </c>
      <c r="F1131" s="1">
        <v>2024</v>
      </c>
      <c r="G1131" t="s">
        <v>11</v>
      </c>
      <c r="H1131" s="2">
        <v>45296.583425925928</v>
      </c>
      <c r="I1131" s="9">
        <f t="shared" si="157"/>
        <v>45299</v>
      </c>
      <c r="J1131" s="2" t="str">
        <f t="shared" si="158"/>
        <v/>
      </c>
      <c r="L1131" s="2" t="str">
        <f t="shared" si="159"/>
        <v/>
      </c>
      <c r="N1131" s="10" t="str">
        <f t="shared" si="160"/>
        <v/>
      </c>
      <c r="O1131" s="2">
        <f t="shared" si="161"/>
        <v>45299</v>
      </c>
      <c r="P1131" s="2">
        <v>45300.636365740742</v>
      </c>
      <c r="Q1131" s="2">
        <f t="shared" si="162"/>
        <v>45300</v>
      </c>
      <c r="R1131" s="2">
        <v>45300.637407407405</v>
      </c>
      <c r="S1131">
        <f t="shared" si="163"/>
        <v>0</v>
      </c>
      <c r="T1131" s="2">
        <f t="shared" si="164"/>
        <v>45300</v>
      </c>
      <c r="U1131" t="str">
        <f t="shared" si="165"/>
        <v>NO PRAZO</v>
      </c>
    </row>
    <row r="1132" spans="1:21" hidden="1">
      <c r="A1132" s="1">
        <v>15867</v>
      </c>
      <c r="B1132" t="s">
        <v>8</v>
      </c>
      <c r="C1132" t="s">
        <v>13</v>
      </c>
      <c r="D1132" t="s">
        <v>16</v>
      </c>
      <c r="E1132" s="1">
        <v>54</v>
      </c>
      <c r="F1132" s="1">
        <v>2024</v>
      </c>
      <c r="G1132" t="s">
        <v>11</v>
      </c>
      <c r="H1132" s="2">
        <v>45295.750127314815</v>
      </c>
      <c r="I1132" s="9">
        <f t="shared" si="157"/>
        <v>45296</v>
      </c>
      <c r="J1132" s="2" t="str">
        <f t="shared" si="158"/>
        <v/>
      </c>
      <c r="L1132" s="2" t="str">
        <f t="shared" si="159"/>
        <v/>
      </c>
      <c r="N1132" s="10" t="str">
        <f t="shared" si="160"/>
        <v/>
      </c>
      <c r="O1132" s="2">
        <f t="shared" si="161"/>
        <v>45296</v>
      </c>
      <c r="P1132" s="2">
        <v>45300.695833333331</v>
      </c>
      <c r="Q1132" s="2">
        <f t="shared" si="162"/>
        <v>45302</v>
      </c>
      <c r="R1132" s="2">
        <v>45300.713761574072</v>
      </c>
      <c r="S1132">
        <f t="shared" si="163"/>
        <v>0</v>
      </c>
      <c r="T1132" s="2">
        <f t="shared" si="164"/>
        <v>45302</v>
      </c>
      <c r="U1132" t="str">
        <f t="shared" si="165"/>
        <v>NO PRAZO</v>
      </c>
    </row>
    <row r="1133" spans="1:21" hidden="1">
      <c r="A1133" s="1">
        <v>15829</v>
      </c>
      <c r="B1133" t="s">
        <v>17</v>
      </c>
      <c r="C1133" t="s">
        <v>9</v>
      </c>
      <c r="D1133" t="s">
        <v>18</v>
      </c>
      <c r="E1133" s="1">
        <v>16</v>
      </c>
      <c r="F1133" s="1">
        <v>2024</v>
      </c>
      <c r="G1133" t="s">
        <v>11</v>
      </c>
      <c r="H1133" s="2">
        <v>45294.666805555556</v>
      </c>
      <c r="I1133" s="9">
        <f t="shared" si="157"/>
        <v>45299</v>
      </c>
      <c r="J1133" s="2" t="str">
        <f t="shared" si="158"/>
        <v/>
      </c>
      <c r="L1133" s="2" t="str">
        <f t="shared" si="159"/>
        <v/>
      </c>
      <c r="N1133" s="10" t="str">
        <f t="shared" si="160"/>
        <v/>
      </c>
      <c r="O1133" s="2">
        <f t="shared" si="161"/>
        <v>45299</v>
      </c>
      <c r="P1133" s="2">
        <v>45296.463819444441</v>
      </c>
      <c r="Q1133" s="2">
        <f t="shared" si="162"/>
        <v>45303</v>
      </c>
      <c r="R1133" s="2">
        <v>45296.609212962961</v>
      </c>
      <c r="S1133">
        <f t="shared" si="163"/>
        <v>0</v>
      </c>
      <c r="T1133" s="2">
        <f t="shared" si="164"/>
        <v>45303</v>
      </c>
      <c r="U1133" t="str">
        <f t="shared" si="165"/>
        <v>NO PRAZO</v>
      </c>
    </row>
    <row r="1134" spans="1:21" hidden="1">
      <c r="A1134" s="1">
        <v>15828</v>
      </c>
      <c r="B1134" t="s">
        <v>20</v>
      </c>
      <c r="C1134" t="s">
        <v>13</v>
      </c>
      <c r="D1134" t="s">
        <v>18</v>
      </c>
      <c r="E1134" s="1">
        <v>15</v>
      </c>
      <c r="F1134" s="1">
        <v>2024</v>
      </c>
      <c r="G1134" t="s">
        <v>11</v>
      </c>
      <c r="H1134" s="2">
        <v>45294.666805555556</v>
      </c>
      <c r="I1134" s="9">
        <f t="shared" si="157"/>
        <v>45299</v>
      </c>
      <c r="J1134" s="2" t="str">
        <f t="shared" si="158"/>
        <v/>
      </c>
      <c r="L1134" s="2" t="str">
        <f t="shared" si="159"/>
        <v/>
      </c>
      <c r="N1134" s="10" t="str">
        <f t="shared" si="160"/>
        <v/>
      </c>
      <c r="O1134" s="2">
        <f t="shared" si="161"/>
        <v>45299</v>
      </c>
      <c r="P1134" s="2">
        <v>45303.705740740741</v>
      </c>
      <c r="Q1134" s="2">
        <f t="shared" si="162"/>
        <v>45303</v>
      </c>
      <c r="R1134" s="2">
        <v>45303.705937500003</v>
      </c>
      <c r="S1134">
        <f t="shared" si="163"/>
        <v>0</v>
      </c>
      <c r="T1134" s="2">
        <f t="shared" si="164"/>
        <v>45303</v>
      </c>
      <c r="U1134" t="str">
        <f t="shared" si="165"/>
        <v>NO PRAZO</v>
      </c>
    </row>
    <row r="1135" spans="1:21" hidden="1">
      <c r="A1135" s="1">
        <v>15824</v>
      </c>
      <c r="B1135" t="s">
        <v>20</v>
      </c>
      <c r="C1135" t="s">
        <v>13</v>
      </c>
      <c r="D1135" t="s">
        <v>18</v>
      </c>
      <c r="E1135" s="1">
        <v>11</v>
      </c>
      <c r="F1135" s="1">
        <v>2024</v>
      </c>
      <c r="G1135" t="s">
        <v>11</v>
      </c>
      <c r="H1135" s="2">
        <v>45294.500127314815</v>
      </c>
      <c r="I1135" s="9">
        <f t="shared" si="157"/>
        <v>45299</v>
      </c>
      <c r="J1135" s="2" t="str">
        <f t="shared" si="158"/>
        <v/>
      </c>
      <c r="L1135" s="2" t="str">
        <f t="shared" si="159"/>
        <v/>
      </c>
      <c r="N1135" s="10" t="str">
        <f t="shared" si="160"/>
        <v/>
      </c>
      <c r="O1135" s="2">
        <f t="shared" si="161"/>
        <v>45299</v>
      </c>
      <c r="P1135" s="2">
        <v>45294.658483796295</v>
      </c>
      <c r="Q1135" s="2">
        <f t="shared" si="162"/>
        <v>45303</v>
      </c>
      <c r="R1135" s="2">
        <v>45295.414641203701</v>
      </c>
      <c r="S1135">
        <f t="shared" si="163"/>
        <v>0</v>
      </c>
      <c r="T1135" s="2">
        <f t="shared" si="164"/>
        <v>45303</v>
      </c>
      <c r="U1135" t="str">
        <f t="shared" si="165"/>
        <v>NO PRAZO</v>
      </c>
    </row>
    <row r="1136" spans="1:21" hidden="1">
      <c r="A1136" s="1">
        <v>15823</v>
      </c>
      <c r="B1136" t="s">
        <v>8</v>
      </c>
      <c r="C1136" t="s">
        <v>9</v>
      </c>
      <c r="D1136" t="s">
        <v>10</v>
      </c>
      <c r="E1136" s="1">
        <v>10</v>
      </c>
      <c r="F1136" s="1">
        <v>2024</v>
      </c>
      <c r="G1136" t="s">
        <v>11</v>
      </c>
      <c r="H1136" s="2">
        <v>45294.41679398148</v>
      </c>
      <c r="I1136" s="9">
        <f t="shared" si="157"/>
        <v>45295</v>
      </c>
      <c r="J1136" s="2" t="str">
        <f t="shared" si="158"/>
        <v/>
      </c>
      <c r="L1136" s="2" t="str">
        <f t="shared" si="159"/>
        <v/>
      </c>
      <c r="N1136" s="10" t="str">
        <f t="shared" si="160"/>
        <v/>
      </c>
      <c r="O1136" s="2">
        <f t="shared" si="161"/>
        <v>45295</v>
      </c>
      <c r="P1136" s="2">
        <v>45294.542511574073</v>
      </c>
      <c r="Q1136" s="2">
        <f t="shared" si="162"/>
        <v>45296</v>
      </c>
      <c r="R1136" s="2">
        <v>45294.542754629627</v>
      </c>
      <c r="S1136">
        <f t="shared" si="163"/>
        <v>0</v>
      </c>
      <c r="T1136" s="2">
        <f t="shared" si="164"/>
        <v>45296</v>
      </c>
      <c r="U1136" t="str">
        <f t="shared" si="165"/>
        <v>NO PRAZO</v>
      </c>
    </row>
    <row r="1137" spans="1:21" hidden="1">
      <c r="A1137" s="1">
        <v>15809</v>
      </c>
      <c r="B1137" t="s">
        <v>20</v>
      </c>
      <c r="C1137" t="s">
        <v>13</v>
      </c>
      <c r="D1137" t="s">
        <v>18</v>
      </c>
      <c r="E1137" s="1">
        <v>3787</v>
      </c>
      <c r="F1137" s="1">
        <v>2023</v>
      </c>
      <c r="G1137" t="s">
        <v>11</v>
      </c>
      <c r="H1137" s="2">
        <v>45288.791828703703</v>
      </c>
      <c r="I1137" s="9">
        <f t="shared" si="157"/>
        <v>45294</v>
      </c>
      <c r="J1137" s="2" t="str">
        <f t="shared" si="158"/>
        <v/>
      </c>
      <c r="L1137" s="2" t="str">
        <f t="shared" si="159"/>
        <v/>
      </c>
      <c r="N1137" s="10" t="str">
        <f t="shared" si="160"/>
        <v/>
      </c>
      <c r="O1137" s="2">
        <f t="shared" si="161"/>
        <v>45294</v>
      </c>
      <c r="P1137" s="2">
        <v>45293.320185185185</v>
      </c>
      <c r="Q1137" s="2">
        <f t="shared" si="162"/>
        <v>45300</v>
      </c>
      <c r="R1137" s="2">
        <v>45300.679456018515</v>
      </c>
      <c r="S1137">
        <f t="shared" si="163"/>
        <v>0</v>
      </c>
      <c r="T1137" s="2">
        <f t="shared" si="164"/>
        <v>45300</v>
      </c>
      <c r="U1137" t="str">
        <f t="shared" si="165"/>
        <v>NO PRAZO</v>
      </c>
    </row>
    <row r="1138" spans="1:21" hidden="1">
      <c r="A1138" s="1">
        <v>15802</v>
      </c>
      <c r="B1138" t="s">
        <v>12</v>
      </c>
      <c r="C1138" t="s">
        <v>13</v>
      </c>
      <c r="D1138" t="s">
        <v>18</v>
      </c>
      <c r="E1138" s="1">
        <v>3780</v>
      </c>
      <c r="F1138" s="1">
        <v>2023</v>
      </c>
      <c r="G1138" t="s">
        <v>11</v>
      </c>
      <c r="H1138" s="2">
        <v>45288.416770833333</v>
      </c>
      <c r="I1138" s="9">
        <f t="shared" si="157"/>
        <v>45294</v>
      </c>
      <c r="J1138" s="2" t="str">
        <f t="shared" si="158"/>
        <v/>
      </c>
      <c r="L1138" s="2" t="str">
        <f t="shared" si="159"/>
        <v/>
      </c>
      <c r="N1138" s="10" t="str">
        <f t="shared" si="160"/>
        <v/>
      </c>
      <c r="O1138" s="2">
        <f t="shared" si="161"/>
        <v>45294</v>
      </c>
      <c r="P1138" s="2">
        <v>45293.434050925927</v>
      </c>
      <c r="Q1138" s="2">
        <f t="shared" si="162"/>
        <v>45300</v>
      </c>
      <c r="R1138" s="2">
        <v>45294.489502314813</v>
      </c>
      <c r="S1138">
        <f t="shared" si="163"/>
        <v>0</v>
      </c>
      <c r="T1138" s="2">
        <f t="shared" si="164"/>
        <v>45300</v>
      </c>
      <c r="U1138" t="str">
        <f t="shared" si="165"/>
        <v>NO PRAZO</v>
      </c>
    </row>
    <row r="1139" spans="1:21" hidden="1">
      <c r="A1139" s="1">
        <v>15800</v>
      </c>
      <c r="B1139" t="s">
        <v>24</v>
      </c>
      <c r="C1139" t="s">
        <v>13</v>
      </c>
      <c r="D1139" t="s">
        <v>18</v>
      </c>
      <c r="E1139" s="1">
        <v>3778</v>
      </c>
      <c r="F1139" s="1">
        <v>2023</v>
      </c>
      <c r="G1139" t="s">
        <v>11</v>
      </c>
      <c r="H1139" s="2">
        <v>45287.801701388889</v>
      </c>
      <c r="I1139" s="9">
        <f t="shared" si="157"/>
        <v>45293</v>
      </c>
      <c r="J1139" s="2" t="str">
        <f t="shared" si="158"/>
        <v/>
      </c>
      <c r="L1139" s="2" t="str">
        <f t="shared" si="159"/>
        <v/>
      </c>
      <c r="N1139" s="10" t="str">
        <f t="shared" si="160"/>
        <v/>
      </c>
      <c r="O1139" s="2">
        <f t="shared" si="161"/>
        <v>45293</v>
      </c>
      <c r="P1139" s="2">
        <v>45288.397175925929</v>
      </c>
      <c r="Q1139" s="2">
        <f t="shared" si="162"/>
        <v>45299</v>
      </c>
      <c r="R1139" s="2">
        <v>45293.807581018518</v>
      </c>
      <c r="S1139">
        <f t="shared" si="163"/>
        <v>0</v>
      </c>
      <c r="T1139" s="2">
        <f t="shared" si="164"/>
        <v>45299</v>
      </c>
      <c r="U1139" t="str">
        <f t="shared" si="165"/>
        <v>NO PRAZO</v>
      </c>
    </row>
    <row r="1140" spans="1:21" hidden="1">
      <c r="A1140" s="1">
        <v>15799</v>
      </c>
      <c r="B1140" t="s">
        <v>20</v>
      </c>
      <c r="C1140" t="s">
        <v>13</v>
      </c>
      <c r="D1140" t="s">
        <v>18</v>
      </c>
      <c r="E1140" s="1">
        <v>3777</v>
      </c>
      <c r="F1140" s="1">
        <v>2023</v>
      </c>
      <c r="G1140" t="s">
        <v>11</v>
      </c>
      <c r="H1140" s="2">
        <v>45287.791828703703</v>
      </c>
      <c r="I1140" s="9">
        <f t="shared" si="157"/>
        <v>45293</v>
      </c>
      <c r="J1140" s="2" t="str">
        <f t="shared" si="158"/>
        <v/>
      </c>
      <c r="L1140" s="2" t="str">
        <f t="shared" si="159"/>
        <v/>
      </c>
      <c r="N1140" s="10" t="str">
        <f t="shared" si="160"/>
        <v/>
      </c>
      <c r="O1140" s="2">
        <f t="shared" si="161"/>
        <v>45293</v>
      </c>
      <c r="P1140" s="2">
        <v>45288.563738425924</v>
      </c>
      <c r="Q1140" s="2">
        <f t="shared" si="162"/>
        <v>45299</v>
      </c>
      <c r="R1140" s="2">
        <v>45288.709953703707</v>
      </c>
      <c r="S1140">
        <f t="shared" si="163"/>
        <v>0</v>
      </c>
      <c r="T1140" s="2">
        <f t="shared" si="164"/>
        <v>45299</v>
      </c>
      <c r="U1140" t="str">
        <f t="shared" si="165"/>
        <v>NO PRAZO</v>
      </c>
    </row>
    <row r="1141" spans="1:21" hidden="1">
      <c r="A1141" s="1">
        <v>15797</v>
      </c>
      <c r="B1141" t="s">
        <v>8</v>
      </c>
      <c r="C1141" t="s">
        <v>9</v>
      </c>
      <c r="D1141" t="s">
        <v>14</v>
      </c>
      <c r="E1141" s="1">
        <v>3775</v>
      </c>
      <c r="F1141" s="1">
        <v>2023</v>
      </c>
      <c r="G1141" t="s">
        <v>11</v>
      </c>
      <c r="H1141" s="2">
        <v>45287.625162037039</v>
      </c>
      <c r="I1141" s="9">
        <f t="shared" si="157"/>
        <v>45288</v>
      </c>
      <c r="J1141" s="2" t="str">
        <f t="shared" si="158"/>
        <v/>
      </c>
      <c r="L1141" s="2" t="str">
        <f t="shared" si="159"/>
        <v/>
      </c>
      <c r="N1141" s="10" t="str">
        <f t="shared" si="160"/>
        <v/>
      </c>
      <c r="O1141" s="2">
        <f t="shared" si="161"/>
        <v>45288</v>
      </c>
      <c r="P1141" s="2">
        <v>45287.713460648149</v>
      </c>
      <c r="Q1141" s="2">
        <f t="shared" si="162"/>
        <v>45289</v>
      </c>
      <c r="R1141" s="2">
        <v>45288.686481481483</v>
      </c>
      <c r="S1141">
        <f t="shared" si="163"/>
        <v>0</v>
      </c>
      <c r="T1141" s="2">
        <f t="shared" si="164"/>
        <v>45289</v>
      </c>
      <c r="U1141" t="str">
        <f t="shared" si="165"/>
        <v>NO PRAZO</v>
      </c>
    </row>
    <row r="1142" spans="1:21" hidden="1">
      <c r="A1142" s="1">
        <v>15794</v>
      </c>
      <c r="B1142" t="s">
        <v>24</v>
      </c>
      <c r="C1142" t="s">
        <v>13</v>
      </c>
      <c r="D1142" t="s">
        <v>18</v>
      </c>
      <c r="E1142" s="1">
        <v>3772</v>
      </c>
      <c r="F1142" s="1">
        <v>2023</v>
      </c>
      <c r="G1142" t="s">
        <v>11</v>
      </c>
      <c r="H1142" s="2">
        <v>45287.470324074071</v>
      </c>
      <c r="I1142" s="9">
        <f t="shared" si="157"/>
        <v>45293</v>
      </c>
      <c r="J1142" s="2" t="str">
        <f t="shared" si="158"/>
        <v/>
      </c>
      <c r="L1142" s="2" t="str">
        <f t="shared" si="159"/>
        <v/>
      </c>
      <c r="N1142" s="10" t="str">
        <f t="shared" si="160"/>
        <v/>
      </c>
      <c r="O1142" s="2">
        <f t="shared" si="161"/>
        <v>45293</v>
      </c>
      <c r="P1142" s="2">
        <v>45287.473611111112</v>
      </c>
      <c r="Q1142" s="2">
        <f t="shared" si="162"/>
        <v>45299</v>
      </c>
      <c r="R1142" s="2">
        <v>45287.751620370371</v>
      </c>
      <c r="S1142">
        <f t="shared" si="163"/>
        <v>0</v>
      </c>
      <c r="T1142" s="2">
        <f t="shared" si="164"/>
        <v>45299</v>
      </c>
      <c r="U1142" t="str">
        <f t="shared" si="165"/>
        <v>NO PRAZO</v>
      </c>
    </row>
    <row r="1143" spans="1:21" hidden="1">
      <c r="A1143" s="1">
        <v>15790</v>
      </c>
      <c r="B1143" t="s">
        <v>8</v>
      </c>
      <c r="C1143" t="s">
        <v>13</v>
      </c>
      <c r="D1143" t="s">
        <v>10</v>
      </c>
      <c r="E1143" s="1">
        <v>3768</v>
      </c>
      <c r="F1143" s="1">
        <v>2023</v>
      </c>
      <c r="G1143" t="s">
        <v>11</v>
      </c>
      <c r="H1143" s="2">
        <v>45286.708483796298</v>
      </c>
      <c r="I1143" s="9">
        <f t="shared" si="157"/>
        <v>45287</v>
      </c>
      <c r="J1143" s="2" t="str">
        <f t="shared" si="158"/>
        <v/>
      </c>
      <c r="L1143" s="2" t="str">
        <f t="shared" si="159"/>
        <v/>
      </c>
      <c r="N1143" s="10" t="str">
        <f t="shared" si="160"/>
        <v/>
      </c>
      <c r="O1143" s="2">
        <f t="shared" si="161"/>
        <v>45287</v>
      </c>
      <c r="P1143" s="2">
        <v>45287.409513888888</v>
      </c>
      <c r="Q1143" s="2">
        <f t="shared" si="162"/>
        <v>45288</v>
      </c>
      <c r="R1143" s="2">
        <v>45287.415949074071</v>
      </c>
      <c r="S1143">
        <f t="shared" si="163"/>
        <v>0</v>
      </c>
      <c r="T1143" s="2">
        <f t="shared" si="164"/>
        <v>45288</v>
      </c>
      <c r="U1143" t="str">
        <f t="shared" si="165"/>
        <v>NO PRAZO</v>
      </c>
    </row>
    <row r="1144" spans="1:21" hidden="1">
      <c r="A1144" s="1">
        <v>15788</v>
      </c>
      <c r="B1144" t="s">
        <v>20</v>
      </c>
      <c r="C1144" t="s">
        <v>13</v>
      </c>
      <c r="D1144" t="s">
        <v>18</v>
      </c>
      <c r="E1144" s="1">
        <v>3766</v>
      </c>
      <c r="F1144" s="1">
        <v>2023</v>
      </c>
      <c r="G1144" t="s">
        <v>11</v>
      </c>
      <c r="H1144" s="2">
        <v>45286.666805555556</v>
      </c>
      <c r="I1144" s="9">
        <f t="shared" si="157"/>
        <v>45289</v>
      </c>
      <c r="J1144" s="2" t="str">
        <f t="shared" si="158"/>
        <v/>
      </c>
      <c r="L1144" s="2" t="str">
        <f t="shared" si="159"/>
        <v/>
      </c>
      <c r="N1144" s="10" t="str">
        <f t="shared" si="160"/>
        <v/>
      </c>
      <c r="O1144" s="2">
        <f t="shared" si="161"/>
        <v>45289</v>
      </c>
      <c r="P1144" s="2">
        <v>45288.633009259262</v>
      </c>
      <c r="Q1144" s="2">
        <f t="shared" si="162"/>
        <v>45296</v>
      </c>
      <c r="R1144" s="2">
        <v>45288.708275462966</v>
      </c>
      <c r="S1144">
        <f t="shared" si="163"/>
        <v>0</v>
      </c>
      <c r="T1144" s="2">
        <f t="shared" si="164"/>
        <v>45296</v>
      </c>
      <c r="U1144" t="str">
        <f t="shared" si="165"/>
        <v>NO PRAZO</v>
      </c>
    </row>
    <row r="1145" spans="1:21">
      <c r="A1145" s="1">
        <v>15786</v>
      </c>
      <c r="B1145" t="s">
        <v>23</v>
      </c>
      <c r="C1145" t="s">
        <v>13</v>
      </c>
      <c r="D1145" t="s">
        <v>21</v>
      </c>
      <c r="E1145" s="1">
        <v>3764</v>
      </c>
      <c r="F1145" s="1">
        <v>2023</v>
      </c>
      <c r="G1145" t="s">
        <v>11</v>
      </c>
      <c r="H1145" s="2">
        <v>45286.625173611108</v>
      </c>
      <c r="I1145" s="9">
        <f t="shared" si="157"/>
        <v>45289</v>
      </c>
      <c r="J1145" s="2" t="str">
        <f t="shared" si="158"/>
        <v/>
      </c>
      <c r="L1145" s="2" t="str">
        <f t="shared" si="159"/>
        <v/>
      </c>
      <c r="N1145" s="10" t="str">
        <f t="shared" si="160"/>
        <v/>
      </c>
      <c r="O1145" s="2">
        <f t="shared" si="161"/>
        <v>45289</v>
      </c>
      <c r="P1145" s="2">
        <v>45462.478703703702</v>
      </c>
      <c r="Q1145" s="2">
        <f t="shared" si="162"/>
        <v>45317</v>
      </c>
      <c r="R1145" s="2">
        <v>45462.503310185188</v>
      </c>
      <c r="S1145">
        <f t="shared" si="163"/>
        <v>145</v>
      </c>
      <c r="T1145" s="2">
        <f t="shared" si="164"/>
        <v>45317</v>
      </c>
      <c r="U1145" t="str">
        <f t="shared" si="165"/>
        <v>ATRASO</v>
      </c>
    </row>
    <row r="1146" spans="1:21" hidden="1">
      <c r="A1146" s="1">
        <v>15785</v>
      </c>
      <c r="B1146" t="s">
        <v>17</v>
      </c>
      <c r="C1146" t="s">
        <v>9</v>
      </c>
      <c r="D1146" t="s">
        <v>18</v>
      </c>
      <c r="E1146" s="1">
        <v>3763</v>
      </c>
      <c r="F1146" s="1">
        <v>2023</v>
      </c>
      <c r="G1146" t="s">
        <v>11</v>
      </c>
      <c r="H1146" s="2">
        <v>45286.458495370367</v>
      </c>
      <c r="I1146" s="9">
        <f t="shared" si="157"/>
        <v>45289</v>
      </c>
      <c r="J1146" s="2" t="str">
        <f t="shared" si="158"/>
        <v/>
      </c>
      <c r="L1146" s="2" t="str">
        <f t="shared" si="159"/>
        <v/>
      </c>
      <c r="N1146" s="10" t="str">
        <f t="shared" si="160"/>
        <v/>
      </c>
      <c r="O1146" s="2">
        <f t="shared" si="161"/>
        <v>45289</v>
      </c>
      <c r="P1146" s="2">
        <v>45293.386666666665</v>
      </c>
      <c r="Q1146" s="2">
        <f t="shared" si="162"/>
        <v>45296</v>
      </c>
      <c r="R1146" s="2">
        <v>45293.388113425928</v>
      </c>
      <c r="S1146">
        <f t="shared" si="163"/>
        <v>0</v>
      </c>
      <c r="T1146" s="2">
        <f t="shared" si="164"/>
        <v>45296</v>
      </c>
      <c r="U1146" t="str">
        <f t="shared" si="165"/>
        <v>NO PRAZO</v>
      </c>
    </row>
    <row r="1147" spans="1:21" hidden="1">
      <c r="A1147" s="1">
        <v>15784</v>
      </c>
      <c r="B1147" t="s">
        <v>12</v>
      </c>
      <c r="C1147" t="s">
        <v>13</v>
      </c>
      <c r="D1147" t="s">
        <v>18</v>
      </c>
      <c r="E1147" s="1">
        <v>3762</v>
      </c>
      <c r="F1147" s="1">
        <v>2023</v>
      </c>
      <c r="G1147" t="s">
        <v>11</v>
      </c>
      <c r="H1147" s="2">
        <v>45286.458495370367</v>
      </c>
      <c r="I1147" s="9">
        <f t="shared" si="157"/>
        <v>45289</v>
      </c>
      <c r="J1147" s="2" t="str">
        <f t="shared" si="158"/>
        <v/>
      </c>
      <c r="L1147" s="2" t="str">
        <f t="shared" si="159"/>
        <v/>
      </c>
      <c r="N1147" s="10" t="str">
        <f t="shared" si="160"/>
        <v/>
      </c>
      <c r="O1147" s="2">
        <f t="shared" si="161"/>
        <v>45289</v>
      </c>
      <c r="P1147" s="2">
        <v>45293.439108796294</v>
      </c>
      <c r="Q1147" s="2">
        <f t="shared" si="162"/>
        <v>45296</v>
      </c>
      <c r="R1147" s="2">
        <v>45293.439560185187</v>
      </c>
      <c r="S1147">
        <f t="shared" si="163"/>
        <v>0</v>
      </c>
      <c r="T1147" s="2">
        <f t="shared" si="164"/>
        <v>45296</v>
      </c>
      <c r="U1147" t="str">
        <f t="shared" si="165"/>
        <v>NO PRAZO</v>
      </c>
    </row>
    <row r="1148" spans="1:21" hidden="1">
      <c r="A1148" s="1">
        <v>15783</v>
      </c>
      <c r="B1148" t="s">
        <v>20</v>
      </c>
      <c r="C1148" t="s">
        <v>13</v>
      </c>
      <c r="D1148" t="s">
        <v>16</v>
      </c>
      <c r="E1148" s="1">
        <v>3761</v>
      </c>
      <c r="F1148" s="1">
        <v>2023</v>
      </c>
      <c r="G1148" t="s">
        <v>11</v>
      </c>
      <c r="H1148" s="2">
        <v>45282.708506944444</v>
      </c>
      <c r="I1148" s="9">
        <f t="shared" si="157"/>
        <v>45286</v>
      </c>
      <c r="J1148" s="2" t="str">
        <f t="shared" si="158"/>
        <v/>
      </c>
      <c r="L1148" s="2" t="str">
        <f t="shared" si="159"/>
        <v/>
      </c>
      <c r="N1148" s="10" t="str">
        <f t="shared" si="160"/>
        <v/>
      </c>
      <c r="O1148" s="2">
        <f t="shared" si="161"/>
        <v>45286</v>
      </c>
      <c r="P1148" s="2">
        <v>45288.6950462963</v>
      </c>
      <c r="Q1148" s="2">
        <f t="shared" si="162"/>
        <v>45293</v>
      </c>
      <c r="R1148" s="2">
        <v>45288.695208333331</v>
      </c>
      <c r="S1148">
        <f t="shared" si="163"/>
        <v>0</v>
      </c>
      <c r="T1148" s="2">
        <f t="shared" si="164"/>
        <v>45293</v>
      </c>
      <c r="U1148" t="str">
        <f t="shared" si="165"/>
        <v>NO PRAZO</v>
      </c>
    </row>
    <row r="1149" spans="1:21" hidden="1">
      <c r="A1149" s="1">
        <v>15779</v>
      </c>
      <c r="B1149" t="s">
        <v>17</v>
      </c>
      <c r="C1149" t="s">
        <v>9</v>
      </c>
      <c r="D1149" t="s">
        <v>10</v>
      </c>
      <c r="E1149" s="1">
        <v>3757</v>
      </c>
      <c r="F1149" s="1">
        <v>2023</v>
      </c>
      <c r="G1149" t="s">
        <v>11</v>
      </c>
      <c r="H1149" s="2">
        <v>45282.625150462962</v>
      </c>
      <c r="I1149" s="9">
        <f t="shared" si="157"/>
        <v>45286</v>
      </c>
      <c r="J1149" s="2" t="str">
        <f t="shared" si="158"/>
        <v/>
      </c>
      <c r="L1149" s="2" t="str">
        <f t="shared" si="159"/>
        <v/>
      </c>
      <c r="N1149" s="10" t="str">
        <f t="shared" si="160"/>
        <v/>
      </c>
      <c r="O1149" s="2">
        <f t="shared" si="161"/>
        <v>45286</v>
      </c>
      <c r="P1149" s="2">
        <v>45286.405787037038</v>
      </c>
      <c r="Q1149" s="2">
        <f t="shared" si="162"/>
        <v>45287</v>
      </c>
      <c r="R1149" s="2">
        <v>45286.429479166669</v>
      </c>
      <c r="S1149">
        <f t="shared" si="163"/>
        <v>0</v>
      </c>
      <c r="T1149" s="2">
        <f t="shared" si="164"/>
        <v>45287</v>
      </c>
      <c r="U1149" t="str">
        <f t="shared" si="165"/>
        <v>NO PRAZO</v>
      </c>
    </row>
    <row r="1150" spans="1:21" hidden="1">
      <c r="A1150" s="1">
        <v>15778</v>
      </c>
      <c r="B1150" t="s">
        <v>17</v>
      </c>
      <c r="C1150" t="s">
        <v>9</v>
      </c>
      <c r="D1150" t="s">
        <v>10</v>
      </c>
      <c r="E1150" s="1">
        <v>3756</v>
      </c>
      <c r="F1150" s="1">
        <v>2023</v>
      </c>
      <c r="G1150" t="s">
        <v>11</v>
      </c>
      <c r="H1150" s="2">
        <v>45282.583460648151</v>
      </c>
      <c r="I1150" s="9">
        <f t="shared" si="157"/>
        <v>45286</v>
      </c>
      <c r="J1150" s="2" t="str">
        <f t="shared" si="158"/>
        <v/>
      </c>
      <c r="L1150" s="2" t="str">
        <f t="shared" si="159"/>
        <v/>
      </c>
      <c r="N1150" s="10" t="str">
        <f t="shared" si="160"/>
        <v/>
      </c>
      <c r="O1150" s="2">
        <f t="shared" si="161"/>
        <v>45286</v>
      </c>
      <c r="P1150" s="2">
        <v>45286.405613425923</v>
      </c>
      <c r="Q1150" s="2">
        <f t="shared" si="162"/>
        <v>45287</v>
      </c>
      <c r="R1150" s="2">
        <v>45286.429884259262</v>
      </c>
      <c r="S1150">
        <f t="shared" si="163"/>
        <v>0</v>
      </c>
      <c r="T1150" s="2">
        <f t="shared" si="164"/>
        <v>45287</v>
      </c>
      <c r="U1150" t="str">
        <f t="shared" si="165"/>
        <v>NO PRAZO</v>
      </c>
    </row>
    <row r="1151" spans="1:21" hidden="1">
      <c r="A1151" s="1">
        <v>15777</v>
      </c>
      <c r="B1151" t="s">
        <v>17</v>
      </c>
      <c r="C1151" t="s">
        <v>9</v>
      </c>
      <c r="D1151" t="s">
        <v>10</v>
      </c>
      <c r="E1151" s="1">
        <v>3755</v>
      </c>
      <c r="F1151" s="1">
        <v>2023</v>
      </c>
      <c r="G1151" t="s">
        <v>11</v>
      </c>
      <c r="H1151" s="2">
        <v>45282.583460648151</v>
      </c>
      <c r="I1151" s="9">
        <f t="shared" si="157"/>
        <v>45286</v>
      </c>
      <c r="J1151" s="2" t="str">
        <f t="shared" si="158"/>
        <v/>
      </c>
      <c r="L1151" s="2" t="str">
        <f t="shared" si="159"/>
        <v/>
      </c>
      <c r="N1151" s="10" t="str">
        <f t="shared" si="160"/>
        <v/>
      </c>
      <c r="O1151" s="2">
        <f t="shared" si="161"/>
        <v>45286</v>
      </c>
      <c r="P1151" s="2">
        <v>45286.405057870368</v>
      </c>
      <c r="Q1151" s="2">
        <f t="shared" si="162"/>
        <v>45287</v>
      </c>
      <c r="R1151" s="2">
        <v>45286.429918981485</v>
      </c>
      <c r="S1151">
        <f t="shared" si="163"/>
        <v>0</v>
      </c>
      <c r="T1151" s="2">
        <f t="shared" si="164"/>
        <v>45287</v>
      </c>
      <c r="U1151" t="str">
        <f t="shared" si="165"/>
        <v>NO PRAZO</v>
      </c>
    </row>
    <row r="1152" spans="1:21" hidden="1">
      <c r="A1152" s="1">
        <v>15775</v>
      </c>
      <c r="B1152" t="s">
        <v>8</v>
      </c>
      <c r="C1152" t="s">
        <v>9</v>
      </c>
      <c r="D1152" t="s">
        <v>18</v>
      </c>
      <c r="E1152" s="1">
        <v>3753</v>
      </c>
      <c r="F1152" s="1">
        <v>2023</v>
      </c>
      <c r="G1152" t="s">
        <v>11</v>
      </c>
      <c r="H1152" s="2">
        <v>45282.583460648151</v>
      </c>
      <c r="I1152" s="9">
        <f t="shared" ref="I1152:I1215" si="166">IF(OR(D1152="ORIENTAÇÃO",D1152="BUG IMPEDITIVO",D1152="BUG NÃO IMPEDITIVO"),WORKDAY(H1152,1,Z$2:Z$500),IF(OR(D1152="MELHORIA PEQUENA",D1152="MELHORIA MÉDIA"),WORKDAY(H1152,3,Z$2:Z$500),""))</f>
        <v>45288</v>
      </c>
      <c r="J1152" s="2" t="str">
        <f t="shared" si="158"/>
        <v/>
      </c>
      <c r="L1152" s="2" t="str">
        <f t="shared" si="159"/>
        <v/>
      </c>
      <c r="N1152" s="10" t="str">
        <f t="shared" si="160"/>
        <v/>
      </c>
      <c r="O1152" s="2">
        <f t="shared" si="161"/>
        <v>45288</v>
      </c>
      <c r="P1152" s="2">
        <v>45286.399467592593</v>
      </c>
      <c r="Q1152" s="2">
        <f t="shared" si="162"/>
        <v>45295</v>
      </c>
      <c r="R1152" s="2">
        <v>45286.409513888888</v>
      </c>
      <c r="S1152">
        <f t="shared" si="163"/>
        <v>0</v>
      </c>
      <c r="T1152" s="2">
        <f t="shared" si="164"/>
        <v>45295</v>
      </c>
      <c r="U1152" t="str">
        <f t="shared" si="165"/>
        <v>NO PRAZO</v>
      </c>
    </row>
    <row r="1153" spans="1:21" hidden="1">
      <c r="A1153" s="1">
        <v>15774</v>
      </c>
      <c r="B1153" t="s">
        <v>12</v>
      </c>
      <c r="C1153" t="s">
        <v>13</v>
      </c>
      <c r="D1153" t="s">
        <v>14</v>
      </c>
      <c r="E1153" s="1">
        <v>3752</v>
      </c>
      <c r="F1153" s="1">
        <v>2023</v>
      </c>
      <c r="G1153" t="s">
        <v>11</v>
      </c>
      <c r="H1153" s="2">
        <v>45282.500115740739</v>
      </c>
      <c r="I1153" s="9">
        <f t="shared" si="166"/>
        <v>45286</v>
      </c>
      <c r="J1153" s="2" t="str">
        <f t="shared" si="158"/>
        <v/>
      </c>
      <c r="L1153" s="2" t="str">
        <f t="shared" si="159"/>
        <v/>
      </c>
      <c r="N1153" s="10" t="str">
        <f t="shared" si="160"/>
        <v/>
      </c>
      <c r="O1153" s="2">
        <f t="shared" si="161"/>
        <v>45286</v>
      </c>
      <c r="P1153" s="2">
        <v>45286.604351851849</v>
      </c>
      <c r="Q1153" s="2">
        <f t="shared" si="162"/>
        <v>45287</v>
      </c>
      <c r="R1153" s="2">
        <v>45286.69630787037</v>
      </c>
      <c r="S1153">
        <f t="shared" si="163"/>
        <v>0</v>
      </c>
      <c r="T1153" s="2">
        <f t="shared" si="164"/>
        <v>45287</v>
      </c>
      <c r="U1153" t="str">
        <f t="shared" si="165"/>
        <v>NO PRAZO</v>
      </c>
    </row>
    <row r="1154" spans="1:21" hidden="1">
      <c r="A1154" s="1">
        <v>15772</v>
      </c>
      <c r="B1154" t="s">
        <v>17</v>
      </c>
      <c r="C1154" t="s">
        <v>9</v>
      </c>
      <c r="D1154" t="s">
        <v>10</v>
      </c>
      <c r="E1154" s="1">
        <v>3750</v>
      </c>
      <c r="F1154" s="1">
        <v>2023</v>
      </c>
      <c r="G1154" t="s">
        <v>11</v>
      </c>
      <c r="H1154" s="2">
        <v>45281.791863425926</v>
      </c>
      <c r="I1154" s="9">
        <f t="shared" si="166"/>
        <v>45282</v>
      </c>
      <c r="J1154" s="2" t="str">
        <f t="shared" si="158"/>
        <v/>
      </c>
      <c r="L1154" s="2" t="str">
        <f t="shared" si="159"/>
        <v/>
      </c>
      <c r="N1154" s="10" t="str">
        <f t="shared" si="160"/>
        <v/>
      </c>
      <c r="O1154" s="2">
        <f t="shared" si="161"/>
        <v>45282</v>
      </c>
      <c r="P1154" s="2">
        <v>45282.493437500001</v>
      </c>
      <c r="Q1154" s="2">
        <f t="shared" si="162"/>
        <v>45286</v>
      </c>
      <c r="R1154" s="2">
        <v>45282.597997685189</v>
      </c>
      <c r="S1154">
        <f t="shared" si="163"/>
        <v>0</v>
      </c>
      <c r="T1154" s="2">
        <f t="shared" si="164"/>
        <v>45286</v>
      </c>
      <c r="U1154" t="str">
        <f t="shared" si="165"/>
        <v>NO PRAZO</v>
      </c>
    </row>
    <row r="1155" spans="1:21" hidden="1">
      <c r="A1155" s="1">
        <v>15770</v>
      </c>
      <c r="B1155" t="s">
        <v>17</v>
      </c>
      <c r="C1155" t="s">
        <v>9</v>
      </c>
      <c r="D1155" t="s">
        <v>10</v>
      </c>
      <c r="E1155" s="1">
        <v>3748</v>
      </c>
      <c r="F1155" s="1">
        <v>2023</v>
      </c>
      <c r="G1155" t="s">
        <v>11</v>
      </c>
      <c r="H1155" s="2">
        <v>45281.708483796298</v>
      </c>
      <c r="I1155" s="9">
        <f t="shared" si="166"/>
        <v>45282</v>
      </c>
      <c r="J1155" s="2" t="str">
        <f t="shared" ref="J1155:J1218" si="167">IF(K1155&lt;&gt;"",I1155,"")</f>
        <v/>
      </c>
      <c r="L1155" s="2" t="str">
        <f t="shared" ref="L1155:L1218" si="168">IF(J1155="","",WORKDAY(J1155,14,Z$2:Z$500))</f>
        <v/>
      </c>
      <c r="N1155" s="10" t="str">
        <f t="shared" ref="N1155:N1218" si="169">IF(M1155="","",MAX(0,INT(M1155)-INT(L1155)))</f>
        <v/>
      </c>
      <c r="O1155" s="2">
        <f t="shared" ref="O1155:O1218" si="170">IF(L1155="",I1155,WORKDAY(L1155,1,Z$2:Z$500))</f>
        <v>45282</v>
      </c>
      <c r="P1155" s="2">
        <v>45282.493159722224</v>
      </c>
      <c r="Q1155" s="2">
        <f t="shared" ref="Q1155:Q1218" si="171">IF(OR(D1155="ORIENTAÇÃO",D1155="BUG IMPEDITIVO"),WORKDAY(O1155,1,Z$2:Z$500),IF(OR(D1155="MELHORIA PEQUENA",D1155="BUG NÃO IMPEDITIVO"),WORKDAY(O1155,4,Z$2:Z$500),IF(D1155="MELHORIA MÉDIA",WORKDAY(O1155,19,Z$2:Z$500),"")))</f>
        <v>45286</v>
      </c>
      <c r="R1155" s="2">
        <v>45282.597962962966</v>
      </c>
      <c r="S1155">
        <f t="shared" ref="S1155:S1218" si="172">MAX(0,INT(R1155)-INT(Q1155))</f>
        <v>0</v>
      </c>
      <c r="T1155" s="2">
        <f t="shared" ref="T1155:T1218" si="173">IF(D1155="MELHORIA MÉDIA",IF(K1155&lt;&gt;"",WORKDAY(I1155,34,$Z$2:$Z$1000),WORKDAY(I1155,19,$Z$2:$Z$1000)),IF(OR(D1155="MELHORIA PEQUENA",D1155="BUG NÃO IMPEDITIVO"),WORKDAY(I1155,4,$Z$2:$Z$1000),IF(OR(D1155="ORIENTAÇÃO",D1155="BUG IMPEDITIVO"),WORKDAY(I1155,1,$Z$2:$Z$1000),"")))</f>
        <v>45286</v>
      </c>
      <c r="U1155" t="str">
        <f t="shared" ref="U1155:U1218" si="174">IF(INT(R1155)&lt;=INT(T1155),"NO PRAZO","ATRASO")</f>
        <v>NO PRAZO</v>
      </c>
    </row>
    <row r="1156" spans="1:21" hidden="1">
      <c r="A1156" s="1">
        <v>15766</v>
      </c>
      <c r="B1156" t="s">
        <v>20</v>
      </c>
      <c r="C1156" t="s">
        <v>13</v>
      </c>
      <c r="D1156" t="s">
        <v>18</v>
      </c>
      <c r="E1156" s="1">
        <v>3744</v>
      </c>
      <c r="F1156" s="1">
        <v>2023</v>
      </c>
      <c r="G1156" t="s">
        <v>11</v>
      </c>
      <c r="H1156" s="2">
        <v>45281.58353009259</v>
      </c>
      <c r="I1156" s="9">
        <f t="shared" si="166"/>
        <v>45287</v>
      </c>
      <c r="J1156" s="2" t="str">
        <f t="shared" si="167"/>
        <v/>
      </c>
      <c r="L1156" s="2" t="str">
        <f t="shared" si="168"/>
        <v/>
      </c>
      <c r="N1156" s="10" t="str">
        <f t="shared" si="169"/>
        <v/>
      </c>
      <c r="O1156" s="2">
        <f t="shared" si="170"/>
        <v>45287</v>
      </c>
      <c r="P1156" s="2">
        <v>45288.343854166669</v>
      </c>
      <c r="Q1156" s="2">
        <f t="shared" si="171"/>
        <v>45294</v>
      </c>
      <c r="R1156" s="2">
        <v>45288.494375000002</v>
      </c>
      <c r="S1156">
        <f t="shared" si="172"/>
        <v>0</v>
      </c>
      <c r="T1156" s="2">
        <f t="shared" si="173"/>
        <v>45294</v>
      </c>
      <c r="U1156" t="str">
        <f t="shared" si="174"/>
        <v>NO PRAZO</v>
      </c>
    </row>
    <row r="1157" spans="1:21">
      <c r="A1157" s="1">
        <v>15765</v>
      </c>
      <c r="B1157" t="s">
        <v>8</v>
      </c>
      <c r="C1157" t="s">
        <v>13</v>
      </c>
      <c r="D1157" t="s">
        <v>10</v>
      </c>
      <c r="E1157" s="1">
        <v>3743</v>
      </c>
      <c r="F1157" s="1">
        <v>2023</v>
      </c>
      <c r="G1157" t="s">
        <v>11</v>
      </c>
      <c r="H1157" s="2">
        <v>45281.58353009259</v>
      </c>
      <c r="I1157" s="9">
        <f t="shared" si="166"/>
        <v>45282</v>
      </c>
      <c r="J1157" s="2" t="str">
        <f t="shared" si="167"/>
        <v/>
      </c>
      <c r="L1157" s="2" t="str">
        <f t="shared" si="168"/>
        <v/>
      </c>
      <c r="N1157" s="10" t="str">
        <f t="shared" si="169"/>
        <v/>
      </c>
      <c r="O1157" s="2">
        <f t="shared" si="170"/>
        <v>45282</v>
      </c>
      <c r="P1157" s="2">
        <v>45287.411157407405</v>
      </c>
      <c r="Q1157" s="2">
        <f t="shared" si="171"/>
        <v>45286</v>
      </c>
      <c r="R1157" s="2">
        <v>45287.415775462963</v>
      </c>
      <c r="S1157">
        <f t="shared" si="172"/>
        <v>1</v>
      </c>
      <c r="T1157" s="2">
        <f t="shared" si="173"/>
        <v>45286</v>
      </c>
      <c r="U1157" t="str">
        <f t="shared" si="174"/>
        <v>ATRASO</v>
      </c>
    </row>
    <row r="1158" spans="1:21" hidden="1">
      <c r="A1158" s="1">
        <v>15758</v>
      </c>
      <c r="B1158" t="s">
        <v>17</v>
      </c>
      <c r="C1158" t="s">
        <v>9</v>
      </c>
      <c r="D1158" t="s">
        <v>10</v>
      </c>
      <c r="E1158" s="1">
        <v>3736</v>
      </c>
      <c r="F1158" s="1">
        <v>2023</v>
      </c>
      <c r="G1158" t="s">
        <v>11</v>
      </c>
      <c r="H1158" s="2">
        <v>45281.375138888892</v>
      </c>
      <c r="I1158" s="9">
        <f t="shared" si="166"/>
        <v>45282</v>
      </c>
      <c r="J1158" s="2" t="str">
        <f t="shared" si="167"/>
        <v/>
      </c>
      <c r="L1158" s="2" t="str">
        <f t="shared" si="168"/>
        <v/>
      </c>
      <c r="N1158" s="10" t="str">
        <f t="shared" si="169"/>
        <v/>
      </c>
      <c r="O1158" s="2">
        <f t="shared" si="170"/>
        <v>45282</v>
      </c>
      <c r="P1158" s="2">
        <v>45286.405266203707</v>
      </c>
      <c r="Q1158" s="2">
        <f t="shared" si="171"/>
        <v>45286</v>
      </c>
      <c r="R1158" s="2">
        <v>45286.4299537037</v>
      </c>
      <c r="S1158">
        <f t="shared" si="172"/>
        <v>0</v>
      </c>
      <c r="T1158" s="2">
        <f t="shared" si="173"/>
        <v>45286</v>
      </c>
      <c r="U1158" t="str">
        <f t="shared" si="174"/>
        <v>NO PRAZO</v>
      </c>
    </row>
    <row r="1159" spans="1:21" hidden="1">
      <c r="A1159" s="1">
        <v>15747</v>
      </c>
      <c r="B1159" t="s">
        <v>24</v>
      </c>
      <c r="C1159" t="s">
        <v>13</v>
      </c>
      <c r="D1159" t="s">
        <v>10</v>
      </c>
      <c r="E1159" s="1">
        <v>3725</v>
      </c>
      <c r="F1159" s="1">
        <v>2023</v>
      </c>
      <c r="G1159" t="s">
        <v>11</v>
      </c>
      <c r="H1159" s="2">
        <v>45279.750196759262</v>
      </c>
      <c r="I1159" s="9">
        <f t="shared" si="166"/>
        <v>45280</v>
      </c>
      <c r="J1159" s="2" t="str">
        <f t="shared" si="167"/>
        <v/>
      </c>
      <c r="L1159" s="2" t="str">
        <f t="shared" si="168"/>
        <v/>
      </c>
      <c r="N1159" s="10" t="str">
        <f t="shared" si="169"/>
        <v/>
      </c>
      <c r="O1159" s="2">
        <f t="shared" si="170"/>
        <v>45280</v>
      </c>
      <c r="P1159" s="2">
        <v>45280.480925925927</v>
      </c>
      <c r="Q1159" s="2">
        <f t="shared" si="171"/>
        <v>45281</v>
      </c>
      <c r="R1159" s="2">
        <v>45280.524456018517</v>
      </c>
      <c r="S1159">
        <f t="shared" si="172"/>
        <v>0</v>
      </c>
      <c r="T1159" s="2">
        <f t="shared" si="173"/>
        <v>45281</v>
      </c>
      <c r="U1159" t="str">
        <f t="shared" si="174"/>
        <v>NO PRAZO</v>
      </c>
    </row>
    <row r="1160" spans="1:21" hidden="1">
      <c r="A1160" s="1">
        <v>15743</v>
      </c>
      <c r="B1160" t="s">
        <v>12</v>
      </c>
      <c r="C1160" t="s">
        <v>13</v>
      </c>
      <c r="D1160" t="s">
        <v>14</v>
      </c>
      <c r="E1160" s="1">
        <v>3721</v>
      </c>
      <c r="F1160" s="1">
        <v>2023</v>
      </c>
      <c r="G1160" t="s">
        <v>11</v>
      </c>
      <c r="H1160" s="2">
        <v>45279.708622685182</v>
      </c>
      <c r="I1160" s="9">
        <f t="shared" si="166"/>
        <v>45280</v>
      </c>
      <c r="J1160" s="2" t="str">
        <f t="shared" si="167"/>
        <v/>
      </c>
      <c r="L1160" s="2" t="str">
        <f t="shared" si="168"/>
        <v/>
      </c>
      <c r="N1160" s="10" t="str">
        <f t="shared" si="169"/>
        <v/>
      </c>
      <c r="O1160" s="2">
        <f t="shared" si="170"/>
        <v>45280</v>
      </c>
      <c r="P1160" s="2">
        <v>45280.473738425928</v>
      </c>
      <c r="Q1160" s="2">
        <f t="shared" si="171"/>
        <v>45281</v>
      </c>
      <c r="R1160" s="2">
        <v>45280.473958333336</v>
      </c>
      <c r="S1160">
        <f t="shared" si="172"/>
        <v>0</v>
      </c>
      <c r="T1160" s="2">
        <f t="shared" si="173"/>
        <v>45281</v>
      </c>
      <c r="U1160" t="str">
        <f t="shared" si="174"/>
        <v>NO PRAZO</v>
      </c>
    </row>
    <row r="1161" spans="1:21" hidden="1">
      <c r="A1161" s="1">
        <v>15727</v>
      </c>
      <c r="B1161" t="s">
        <v>24</v>
      </c>
      <c r="C1161" t="s">
        <v>13</v>
      </c>
      <c r="D1161" t="s">
        <v>18</v>
      </c>
      <c r="E1161" s="1">
        <v>3705</v>
      </c>
      <c r="F1161" s="1">
        <v>2023</v>
      </c>
      <c r="G1161" t="s">
        <v>11</v>
      </c>
      <c r="H1161" s="2">
        <v>45278.416805555556</v>
      </c>
      <c r="I1161" s="9">
        <f t="shared" si="166"/>
        <v>45281</v>
      </c>
      <c r="J1161" s="2" t="str">
        <f t="shared" si="167"/>
        <v/>
      </c>
      <c r="L1161" s="2" t="str">
        <f t="shared" si="168"/>
        <v/>
      </c>
      <c r="N1161" s="10" t="str">
        <f t="shared" si="169"/>
        <v/>
      </c>
      <c r="O1161" s="2">
        <f t="shared" si="170"/>
        <v>45281</v>
      </c>
      <c r="P1161" s="2">
        <v>45278.639675925922</v>
      </c>
      <c r="Q1161" s="2">
        <f t="shared" si="171"/>
        <v>45288</v>
      </c>
      <c r="R1161" s="2">
        <v>45278.641238425924</v>
      </c>
      <c r="S1161">
        <f t="shared" si="172"/>
        <v>0</v>
      </c>
      <c r="T1161" s="2">
        <f t="shared" si="173"/>
        <v>45288</v>
      </c>
      <c r="U1161" t="str">
        <f t="shared" si="174"/>
        <v>NO PRAZO</v>
      </c>
    </row>
    <row r="1162" spans="1:21">
      <c r="A1162" s="1">
        <v>15718</v>
      </c>
      <c r="B1162" t="s">
        <v>17</v>
      </c>
      <c r="C1162" t="s">
        <v>9</v>
      </c>
      <c r="D1162" t="s">
        <v>18</v>
      </c>
      <c r="E1162" s="1">
        <v>3696</v>
      </c>
      <c r="F1162" s="1">
        <v>2023</v>
      </c>
      <c r="G1162" t="s">
        <v>11</v>
      </c>
      <c r="H1162" s="2">
        <v>45275.502164351848</v>
      </c>
      <c r="I1162" s="9">
        <f t="shared" si="166"/>
        <v>45280</v>
      </c>
      <c r="J1162" s="2" t="str">
        <f t="shared" si="167"/>
        <v/>
      </c>
      <c r="L1162" s="2" t="str">
        <f t="shared" si="168"/>
        <v/>
      </c>
      <c r="N1162" s="10" t="str">
        <f t="shared" si="169"/>
        <v/>
      </c>
      <c r="O1162" s="2">
        <f t="shared" si="170"/>
        <v>45280</v>
      </c>
      <c r="P1162" s="2">
        <v>45317.621145833335</v>
      </c>
      <c r="Q1162" s="2">
        <f t="shared" si="171"/>
        <v>45287</v>
      </c>
      <c r="R1162" s="2">
        <v>45317.622708333336</v>
      </c>
      <c r="S1162">
        <f t="shared" si="172"/>
        <v>30</v>
      </c>
      <c r="T1162" s="2">
        <f t="shared" si="173"/>
        <v>45287</v>
      </c>
      <c r="U1162" t="str">
        <f t="shared" si="174"/>
        <v>ATRASO</v>
      </c>
    </row>
    <row r="1163" spans="1:21" hidden="1">
      <c r="A1163" s="1">
        <v>15712</v>
      </c>
      <c r="B1163" t="s">
        <v>24</v>
      </c>
      <c r="C1163" t="s">
        <v>13</v>
      </c>
      <c r="D1163" t="s">
        <v>14</v>
      </c>
      <c r="E1163" s="1">
        <v>3690</v>
      </c>
      <c r="F1163" s="1">
        <v>2023</v>
      </c>
      <c r="G1163" t="s">
        <v>11</v>
      </c>
      <c r="H1163" s="2">
        <v>45274.625104166669</v>
      </c>
      <c r="I1163" s="9">
        <f t="shared" si="166"/>
        <v>45275</v>
      </c>
      <c r="J1163" s="2" t="str">
        <f t="shared" si="167"/>
        <v/>
      </c>
      <c r="L1163" s="2" t="str">
        <f t="shared" si="168"/>
        <v/>
      </c>
      <c r="N1163" s="10" t="str">
        <f t="shared" si="169"/>
        <v/>
      </c>
      <c r="O1163" s="2">
        <f t="shared" si="170"/>
        <v>45275</v>
      </c>
      <c r="P1163" s="2">
        <v>45275.669571759259</v>
      </c>
      <c r="Q1163" s="2">
        <f t="shared" si="171"/>
        <v>45278</v>
      </c>
      <c r="R1163" s="2">
        <v>45278.736770833333</v>
      </c>
      <c r="S1163">
        <f t="shared" si="172"/>
        <v>0</v>
      </c>
      <c r="T1163" s="2">
        <f t="shared" si="173"/>
        <v>45278</v>
      </c>
      <c r="U1163" t="str">
        <f t="shared" si="174"/>
        <v>NO PRAZO</v>
      </c>
    </row>
    <row r="1164" spans="1:21" hidden="1">
      <c r="A1164" s="1">
        <v>15708</v>
      </c>
      <c r="B1164" t="s">
        <v>24</v>
      </c>
      <c r="C1164" t="s">
        <v>13</v>
      </c>
      <c r="D1164" t="s">
        <v>18</v>
      </c>
      <c r="E1164" s="1">
        <v>3686</v>
      </c>
      <c r="F1164" s="1">
        <v>2023</v>
      </c>
      <c r="G1164" t="s">
        <v>11</v>
      </c>
      <c r="H1164" s="2">
        <v>45274.458518518521</v>
      </c>
      <c r="I1164" s="9">
        <f t="shared" si="166"/>
        <v>45279</v>
      </c>
      <c r="J1164" s="2" t="str">
        <f t="shared" si="167"/>
        <v/>
      </c>
      <c r="L1164" s="2" t="str">
        <f t="shared" si="168"/>
        <v/>
      </c>
      <c r="N1164" s="10" t="str">
        <f t="shared" si="169"/>
        <v/>
      </c>
      <c r="O1164" s="2">
        <f t="shared" si="170"/>
        <v>45279</v>
      </c>
      <c r="P1164" s="2">
        <v>45275.37972222222</v>
      </c>
      <c r="Q1164" s="2">
        <f t="shared" si="171"/>
        <v>45286</v>
      </c>
      <c r="R1164" s="2">
        <v>45275.382199074076</v>
      </c>
      <c r="S1164">
        <f t="shared" si="172"/>
        <v>0</v>
      </c>
      <c r="T1164" s="2">
        <f t="shared" si="173"/>
        <v>45286</v>
      </c>
      <c r="U1164" t="str">
        <f t="shared" si="174"/>
        <v>NO PRAZO</v>
      </c>
    </row>
    <row r="1165" spans="1:21" hidden="1">
      <c r="A1165" s="1">
        <v>15698</v>
      </c>
      <c r="B1165" t="s">
        <v>12</v>
      </c>
      <c r="C1165" t="s">
        <v>13</v>
      </c>
      <c r="D1165" t="s">
        <v>18</v>
      </c>
      <c r="E1165" s="1">
        <v>3676</v>
      </c>
      <c r="F1165" s="1">
        <v>2023</v>
      </c>
      <c r="G1165" t="s">
        <v>11</v>
      </c>
      <c r="H1165" s="2">
        <v>45273.666828703703</v>
      </c>
      <c r="I1165" s="9">
        <f t="shared" si="166"/>
        <v>45278</v>
      </c>
      <c r="J1165" s="2" t="str">
        <f t="shared" si="167"/>
        <v/>
      </c>
      <c r="L1165" s="2" t="str">
        <f t="shared" si="168"/>
        <v/>
      </c>
      <c r="N1165" s="10" t="str">
        <f t="shared" si="169"/>
        <v/>
      </c>
      <c r="O1165" s="2">
        <f t="shared" si="170"/>
        <v>45278</v>
      </c>
      <c r="P1165" s="2">
        <v>45273.71435185185</v>
      </c>
      <c r="Q1165" s="2">
        <f t="shared" si="171"/>
        <v>45282</v>
      </c>
      <c r="R1165" s="2">
        <v>45280.732777777775</v>
      </c>
      <c r="S1165">
        <f t="shared" si="172"/>
        <v>0</v>
      </c>
      <c r="T1165" s="2">
        <f t="shared" si="173"/>
        <v>45282</v>
      </c>
      <c r="U1165" t="str">
        <f t="shared" si="174"/>
        <v>NO PRAZO</v>
      </c>
    </row>
    <row r="1166" spans="1:21" hidden="1">
      <c r="A1166" s="1">
        <v>15697</v>
      </c>
      <c r="B1166" t="s">
        <v>19</v>
      </c>
      <c r="C1166" t="s">
        <v>13</v>
      </c>
      <c r="D1166" t="s">
        <v>14</v>
      </c>
      <c r="E1166" s="1">
        <v>3675</v>
      </c>
      <c r="F1166" s="1">
        <v>2023</v>
      </c>
      <c r="G1166" t="s">
        <v>11</v>
      </c>
      <c r="H1166" s="2">
        <v>45273.583460648151</v>
      </c>
      <c r="I1166" s="9">
        <f t="shared" si="166"/>
        <v>45274</v>
      </c>
      <c r="J1166" s="2" t="str">
        <f t="shared" si="167"/>
        <v/>
      </c>
      <c r="L1166" s="2" t="str">
        <f t="shared" si="168"/>
        <v/>
      </c>
      <c r="N1166" s="10" t="str">
        <f t="shared" si="169"/>
        <v/>
      </c>
      <c r="O1166" s="2">
        <f t="shared" si="170"/>
        <v>45274</v>
      </c>
      <c r="P1166" s="2">
        <v>45275.615706018521</v>
      </c>
      <c r="Q1166" s="2">
        <f t="shared" si="171"/>
        <v>45275</v>
      </c>
      <c r="R1166" s="2">
        <v>45275.670208333337</v>
      </c>
      <c r="S1166">
        <f t="shared" si="172"/>
        <v>0</v>
      </c>
      <c r="T1166" s="2">
        <f t="shared" si="173"/>
        <v>45275</v>
      </c>
      <c r="U1166" t="str">
        <f t="shared" si="174"/>
        <v>NO PRAZO</v>
      </c>
    </row>
    <row r="1167" spans="1:21" hidden="1">
      <c r="A1167" s="1">
        <v>15695</v>
      </c>
      <c r="B1167" t="s">
        <v>22</v>
      </c>
      <c r="C1167" t="s">
        <v>13</v>
      </c>
      <c r="D1167" t="s">
        <v>14</v>
      </c>
      <c r="E1167" s="1">
        <v>3673</v>
      </c>
      <c r="F1167" s="1">
        <v>2023</v>
      </c>
      <c r="G1167" t="s">
        <v>11</v>
      </c>
      <c r="H1167" s="2">
        <v>45272.666805555556</v>
      </c>
      <c r="I1167" s="9">
        <f t="shared" si="166"/>
        <v>45273</v>
      </c>
      <c r="J1167" s="2" t="str">
        <f t="shared" si="167"/>
        <v/>
      </c>
      <c r="L1167" s="2" t="str">
        <f t="shared" si="168"/>
        <v/>
      </c>
      <c r="N1167" s="10" t="str">
        <f t="shared" si="169"/>
        <v/>
      </c>
      <c r="O1167" s="2">
        <f t="shared" si="170"/>
        <v>45273</v>
      </c>
      <c r="P1167" s="2">
        <v>45273.531875000001</v>
      </c>
      <c r="Q1167" s="2">
        <f t="shared" si="171"/>
        <v>45274</v>
      </c>
      <c r="R1167" s="2">
        <v>45273.609155092592</v>
      </c>
      <c r="S1167">
        <f t="shared" si="172"/>
        <v>0</v>
      </c>
      <c r="T1167" s="2">
        <f t="shared" si="173"/>
        <v>45274</v>
      </c>
      <c r="U1167" t="str">
        <f t="shared" si="174"/>
        <v>NO PRAZO</v>
      </c>
    </row>
    <row r="1168" spans="1:21" hidden="1">
      <c r="A1168" s="1">
        <v>15692</v>
      </c>
      <c r="B1168" t="s">
        <v>17</v>
      </c>
      <c r="C1168" t="s">
        <v>9</v>
      </c>
      <c r="D1168" t="s">
        <v>18</v>
      </c>
      <c r="E1168" s="1">
        <v>3670</v>
      </c>
      <c r="F1168" s="1">
        <v>2023</v>
      </c>
      <c r="G1168" t="s">
        <v>11</v>
      </c>
      <c r="H1168" s="2">
        <v>45272.500115740739</v>
      </c>
      <c r="I1168" s="9">
        <f t="shared" si="166"/>
        <v>45275</v>
      </c>
      <c r="J1168" s="2" t="str">
        <f t="shared" si="167"/>
        <v/>
      </c>
      <c r="L1168" s="2" t="str">
        <f t="shared" si="168"/>
        <v/>
      </c>
      <c r="N1168" s="10" t="str">
        <f t="shared" si="169"/>
        <v/>
      </c>
      <c r="O1168" s="2">
        <f t="shared" si="170"/>
        <v>45275</v>
      </c>
      <c r="P1168" s="2">
        <v>45275.511666666665</v>
      </c>
      <c r="Q1168" s="2">
        <f t="shared" si="171"/>
        <v>45281</v>
      </c>
      <c r="R1168" s="2">
        <v>45275.512604166666</v>
      </c>
      <c r="S1168">
        <f t="shared" si="172"/>
        <v>0</v>
      </c>
      <c r="T1168" s="2">
        <f t="shared" si="173"/>
        <v>45281</v>
      </c>
      <c r="U1168" t="str">
        <f t="shared" si="174"/>
        <v>NO PRAZO</v>
      </c>
    </row>
    <row r="1169" spans="1:21" hidden="1">
      <c r="A1169" s="1">
        <v>15691</v>
      </c>
      <c r="B1169" t="s">
        <v>19</v>
      </c>
      <c r="C1169" t="s">
        <v>13</v>
      </c>
      <c r="D1169" t="s">
        <v>18</v>
      </c>
      <c r="E1169" s="1">
        <v>3669</v>
      </c>
      <c r="F1169" s="1">
        <v>2023</v>
      </c>
      <c r="G1169" t="s">
        <v>11</v>
      </c>
      <c r="H1169" s="2">
        <v>45272.458472222221</v>
      </c>
      <c r="I1169" s="9">
        <f t="shared" si="166"/>
        <v>45275</v>
      </c>
      <c r="J1169" s="2" t="str">
        <f t="shared" si="167"/>
        <v/>
      </c>
      <c r="L1169" s="2" t="str">
        <f t="shared" si="168"/>
        <v/>
      </c>
      <c r="N1169" s="10" t="str">
        <f t="shared" si="169"/>
        <v/>
      </c>
      <c r="O1169" s="2">
        <f t="shared" si="170"/>
        <v>45275</v>
      </c>
      <c r="P1169" s="2">
        <v>45273.450787037036</v>
      </c>
      <c r="Q1169" s="2">
        <f t="shared" si="171"/>
        <v>45281</v>
      </c>
      <c r="R1169" s="2">
        <v>45275.400567129633</v>
      </c>
      <c r="S1169">
        <f t="shared" si="172"/>
        <v>0</v>
      </c>
      <c r="T1169" s="2">
        <f t="shared" si="173"/>
        <v>45281</v>
      </c>
      <c r="U1169" t="str">
        <f t="shared" si="174"/>
        <v>NO PRAZO</v>
      </c>
    </row>
    <row r="1170" spans="1:21" hidden="1">
      <c r="A1170" s="1">
        <v>15688</v>
      </c>
      <c r="B1170" t="s">
        <v>17</v>
      </c>
      <c r="C1170" t="s">
        <v>9</v>
      </c>
      <c r="D1170" t="s">
        <v>18</v>
      </c>
      <c r="E1170" s="1">
        <v>3666</v>
      </c>
      <c r="F1170" s="1">
        <v>2023</v>
      </c>
      <c r="G1170" t="s">
        <v>11</v>
      </c>
      <c r="H1170" s="2">
        <v>45271.791898148149</v>
      </c>
      <c r="I1170" s="9">
        <f t="shared" si="166"/>
        <v>45274</v>
      </c>
      <c r="J1170" s="2" t="str">
        <f t="shared" si="167"/>
        <v/>
      </c>
      <c r="L1170" s="2" t="str">
        <f t="shared" si="168"/>
        <v/>
      </c>
      <c r="N1170" s="10" t="str">
        <f t="shared" si="169"/>
        <v/>
      </c>
      <c r="O1170" s="2">
        <f t="shared" si="170"/>
        <v>45274</v>
      </c>
      <c r="P1170" s="2">
        <v>45275.516238425924</v>
      </c>
      <c r="Q1170" s="2">
        <f t="shared" si="171"/>
        <v>45280</v>
      </c>
      <c r="R1170" s="2">
        <v>45275.517106481479</v>
      </c>
      <c r="S1170">
        <f t="shared" si="172"/>
        <v>0</v>
      </c>
      <c r="T1170" s="2">
        <f t="shared" si="173"/>
        <v>45280</v>
      </c>
      <c r="U1170" t="str">
        <f t="shared" si="174"/>
        <v>NO PRAZO</v>
      </c>
    </row>
    <row r="1171" spans="1:21" hidden="1">
      <c r="A1171" s="1">
        <v>15666</v>
      </c>
      <c r="B1171" t="s">
        <v>20</v>
      </c>
      <c r="C1171" t="s">
        <v>13</v>
      </c>
      <c r="D1171" t="s">
        <v>18</v>
      </c>
      <c r="E1171" s="1">
        <v>3644</v>
      </c>
      <c r="F1171" s="1">
        <v>2023</v>
      </c>
      <c r="G1171" t="s">
        <v>11</v>
      </c>
      <c r="H1171" s="2">
        <v>45271.625277777777</v>
      </c>
      <c r="I1171" s="9">
        <f t="shared" si="166"/>
        <v>45274</v>
      </c>
      <c r="J1171" s="2" t="str">
        <f t="shared" si="167"/>
        <v/>
      </c>
      <c r="L1171" s="2" t="str">
        <f t="shared" si="168"/>
        <v/>
      </c>
      <c r="N1171" s="10" t="str">
        <f t="shared" si="169"/>
        <v/>
      </c>
      <c r="O1171" s="2">
        <f t="shared" si="170"/>
        <v>45274</v>
      </c>
      <c r="P1171" s="2">
        <v>45278.663240740738</v>
      </c>
      <c r="Q1171" s="2">
        <f t="shared" si="171"/>
        <v>45280</v>
      </c>
      <c r="R1171" s="2">
        <v>45278.663425925923</v>
      </c>
      <c r="S1171">
        <f t="shared" si="172"/>
        <v>0</v>
      </c>
      <c r="T1171" s="2">
        <f t="shared" si="173"/>
        <v>45280</v>
      </c>
      <c r="U1171" t="str">
        <f t="shared" si="174"/>
        <v>NO PRAZO</v>
      </c>
    </row>
    <row r="1172" spans="1:21" hidden="1">
      <c r="A1172" s="1">
        <v>15665</v>
      </c>
      <c r="B1172" t="s">
        <v>8</v>
      </c>
      <c r="C1172" t="s">
        <v>9</v>
      </c>
      <c r="D1172" t="s">
        <v>18</v>
      </c>
      <c r="E1172" s="1">
        <v>3643</v>
      </c>
      <c r="F1172" s="1">
        <v>2023</v>
      </c>
      <c r="G1172" t="s">
        <v>11</v>
      </c>
      <c r="H1172" s="2">
        <v>45271.583587962959</v>
      </c>
      <c r="I1172" s="9">
        <f t="shared" si="166"/>
        <v>45274</v>
      </c>
      <c r="J1172" s="2" t="str">
        <f t="shared" si="167"/>
        <v/>
      </c>
      <c r="L1172" s="2" t="str">
        <f t="shared" si="168"/>
        <v/>
      </c>
      <c r="N1172" s="10" t="str">
        <f t="shared" si="169"/>
        <v/>
      </c>
      <c r="O1172" s="2">
        <f t="shared" si="170"/>
        <v>45274</v>
      </c>
      <c r="P1172" s="2">
        <v>45272.391400462962</v>
      </c>
      <c r="Q1172" s="2">
        <f t="shared" si="171"/>
        <v>45280</v>
      </c>
      <c r="R1172" s="2">
        <v>45272.495810185188</v>
      </c>
      <c r="S1172">
        <f t="shared" si="172"/>
        <v>0</v>
      </c>
      <c r="T1172" s="2">
        <f t="shared" si="173"/>
        <v>45280</v>
      </c>
      <c r="U1172" t="str">
        <f t="shared" si="174"/>
        <v>NO PRAZO</v>
      </c>
    </row>
    <row r="1173" spans="1:21" hidden="1">
      <c r="A1173" s="1">
        <v>15664</v>
      </c>
      <c r="B1173" t="s">
        <v>20</v>
      </c>
      <c r="C1173" t="s">
        <v>13</v>
      </c>
      <c r="D1173" t="s">
        <v>18</v>
      </c>
      <c r="E1173" s="1">
        <v>3642</v>
      </c>
      <c r="F1173" s="1">
        <v>2023</v>
      </c>
      <c r="G1173" t="s">
        <v>11</v>
      </c>
      <c r="H1173" s="2">
        <v>45271.583587962959</v>
      </c>
      <c r="I1173" s="9">
        <f t="shared" si="166"/>
        <v>45274</v>
      </c>
      <c r="J1173" s="2" t="str">
        <f t="shared" si="167"/>
        <v/>
      </c>
      <c r="L1173" s="2" t="str">
        <f t="shared" si="168"/>
        <v/>
      </c>
      <c r="N1173" s="10" t="str">
        <f t="shared" si="169"/>
        <v/>
      </c>
      <c r="O1173" s="2">
        <f t="shared" si="170"/>
        <v>45274</v>
      </c>
      <c r="P1173" s="2">
        <v>45279.325289351851</v>
      </c>
      <c r="Q1173" s="2">
        <f t="shared" si="171"/>
        <v>45280</v>
      </c>
      <c r="R1173" s="2">
        <v>45279.325486111113</v>
      </c>
      <c r="S1173">
        <f t="shared" si="172"/>
        <v>0</v>
      </c>
      <c r="T1173" s="2">
        <f t="shared" si="173"/>
        <v>45280</v>
      </c>
      <c r="U1173" t="str">
        <f t="shared" si="174"/>
        <v>NO PRAZO</v>
      </c>
    </row>
    <row r="1174" spans="1:21" hidden="1">
      <c r="A1174" s="1">
        <v>15662</v>
      </c>
      <c r="B1174" t="s">
        <v>24</v>
      </c>
      <c r="C1174" t="s">
        <v>13</v>
      </c>
      <c r="D1174" t="s">
        <v>18</v>
      </c>
      <c r="E1174" s="1">
        <v>3640</v>
      </c>
      <c r="F1174" s="1">
        <v>2023</v>
      </c>
      <c r="G1174" t="s">
        <v>11</v>
      </c>
      <c r="H1174" s="2">
        <v>45268.736747685187</v>
      </c>
      <c r="I1174" s="9">
        <f t="shared" si="166"/>
        <v>45273</v>
      </c>
      <c r="J1174" s="2" t="str">
        <f t="shared" si="167"/>
        <v/>
      </c>
      <c r="L1174" s="2" t="str">
        <f t="shared" si="168"/>
        <v/>
      </c>
      <c r="N1174" s="10" t="str">
        <f t="shared" si="169"/>
        <v/>
      </c>
      <c r="O1174" s="2">
        <f t="shared" si="170"/>
        <v>45273</v>
      </c>
      <c r="P1174" s="2">
        <v>45268.752337962964</v>
      </c>
      <c r="Q1174" s="2">
        <f t="shared" si="171"/>
        <v>45279</v>
      </c>
      <c r="R1174" s="2">
        <v>45271.64</v>
      </c>
      <c r="S1174">
        <f t="shared" si="172"/>
        <v>0</v>
      </c>
      <c r="T1174" s="2">
        <f t="shared" si="173"/>
        <v>45279</v>
      </c>
      <c r="U1174" t="str">
        <f t="shared" si="174"/>
        <v>NO PRAZO</v>
      </c>
    </row>
    <row r="1175" spans="1:21" hidden="1">
      <c r="A1175" s="1">
        <v>15655</v>
      </c>
      <c r="B1175" t="s">
        <v>12</v>
      </c>
      <c r="C1175" t="s">
        <v>13</v>
      </c>
      <c r="D1175" t="s">
        <v>18</v>
      </c>
      <c r="E1175" s="1">
        <v>3633</v>
      </c>
      <c r="F1175" s="1">
        <v>2023</v>
      </c>
      <c r="G1175" t="s">
        <v>11</v>
      </c>
      <c r="H1175" s="2">
        <v>45268.583518518521</v>
      </c>
      <c r="I1175" s="9">
        <f t="shared" si="166"/>
        <v>45273</v>
      </c>
      <c r="J1175" s="2" t="str">
        <f t="shared" si="167"/>
        <v/>
      </c>
      <c r="L1175" s="2" t="str">
        <f t="shared" si="168"/>
        <v/>
      </c>
      <c r="N1175" s="10" t="str">
        <f t="shared" si="169"/>
        <v/>
      </c>
      <c r="O1175" s="2">
        <f t="shared" si="170"/>
        <v>45273</v>
      </c>
      <c r="P1175" s="2">
        <v>45273.706226851849</v>
      </c>
      <c r="Q1175" s="2">
        <f t="shared" si="171"/>
        <v>45279</v>
      </c>
      <c r="R1175" s="2">
        <v>45274.401956018519</v>
      </c>
      <c r="S1175">
        <f t="shared" si="172"/>
        <v>0</v>
      </c>
      <c r="T1175" s="2">
        <f t="shared" si="173"/>
        <v>45279</v>
      </c>
      <c r="U1175" t="str">
        <f t="shared" si="174"/>
        <v>NO PRAZO</v>
      </c>
    </row>
    <row r="1176" spans="1:21" hidden="1">
      <c r="A1176" s="1">
        <v>15652</v>
      </c>
      <c r="B1176" t="s">
        <v>12</v>
      </c>
      <c r="C1176" t="s">
        <v>13</v>
      </c>
      <c r="D1176" t="s">
        <v>18</v>
      </c>
      <c r="E1176" s="1">
        <v>3630</v>
      </c>
      <c r="F1176" s="1">
        <v>2023</v>
      </c>
      <c r="G1176" t="s">
        <v>11</v>
      </c>
      <c r="H1176" s="2">
        <v>45267.708425925928</v>
      </c>
      <c r="I1176" s="9">
        <f t="shared" si="166"/>
        <v>45273</v>
      </c>
      <c r="J1176" s="2" t="str">
        <f t="shared" si="167"/>
        <v/>
      </c>
      <c r="L1176" s="2" t="str">
        <f t="shared" si="168"/>
        <v/>
      </c>
      <c r="N1176" s="10" t="str">
        <f t="shared" si="169"/>
        <v/>
      </c>
      <c r="O1176" s="2">
        <f t="shared" si="170"/>
        <v>45273</v>
      </c>
      <c r="P1176" s="2">
        <v>45273.70648148148</v>
      </c>
      <c r="Q1176" s="2">
        <f t="shared" si="171"/>
        <v>45279</v>
      </c>
      <c r="R1176" s="2">
        <v>45274.401030092595</v>
      </c>
      <c r="S1176">
        <f t="shared" si="172"/>
        <v>0</v>
      </c>
      <c r="T1176" s="2">
        <f t="shared" si="173"/>
        <v>45279</v>
      </c>
      <c r="U1176" t="str">
        <f t="shared" si="174"/>
        <v>NO PRAZO</v>
      </c>
    </row>
    <row r="1177" spans="1:21" hidden="1">
      <c r="A1177" s="1">
        <v>15637</v>
      </c>
      <c r="B1177" t="s">
        <v>24</v>
      </c>
      <c r="C1177" t="s">
        <v>13</v>
      </c>
      <c r="D1177" t="s">
        <v>18</v>
      </c>
      <c r="E1177" s="1">
        <v>3615</v>
      </c>
      <c r="F1177" s="1">
        <v>2023</v>
      </c>
      <c r="G1177" t="s">
        <v>11</v>
      </c>
      <c r="H1177" s="2">
        <v>45266.83353009259</v>
      </c>
      <c r="I1177" s="9">
        <f t="shared" si="166"/>
        <v>45272</v>
      </c>
      <c r="J1177" s="2" t="str">
        <f t="shared" si="167"/>
        <v/>
      </c>
      <c r="L1177" s="2" t="str">
        <f t="shared" si="168"/>
        <v/>
      </c>
      <c r="N1177" s="10" t="str">
        <f t="shared" si="169"/>
        <v/>
      </c>
      <c r="O1177" s="2">
        <f t="shared" si="170"/>
        <v>45272</v>
      </c>
      <c r="P1177" s="2">
        <v>45275.70040509259</v>
      </c>
      <c r="Q1177" s="2">
        <f t="shared" si="171"/>
        <v>45278</v>
      </c>
      <c r="R1177" s="2">
        <v>45275.702337962961</v>
      </c>
      <c r="S1177">
        <f t="shared" si="172"/>
        <v>0</v>
      </c>
      <c r="T1177" s="2">
        <f t="shared" si="173"/>
        <v>45278</v>
      </c>
      <c r="U1177" t="str">
        <f t="shared" si="174"/>
        <v>NO PRAZO</v>
      </c>
    </row>
    <row r="1178" spans="1:21" hidden="1">
      <c r="A1178" s="1">
        <v>15627</v>
      </c>
      <c r="B1178" t="s">
        <v>24</v>
      </c>
      <c r="C1178" t="s">
        <v>13</v>
      </c>
      <c r="D1178" t="s">
        <v>10</v>
      </c>
      <c r="E1178" s="1">
        <v>3605</v>
      </c>
      <c r="F1178" s="1">
        <v>2023</v>
      </c>
      <c r="G1178" t="s">
        <v>11</v>
      </c>
      <c r="H1178" s="2">
        <v>45266.583518518521</v>
      </c>
      <c r="I1178" s="9">
        <f t="shared" si="166"/>
        <v>45267</v>
      </c>
      <c r="J1178" s="2" t="str">
        <f t="shared" si="167"/>
        <v/>
      </c>
      <c r="L1178" s="2" t="str">
        <f t="shared" si="168"/>
        <v/>
      </c>
      <c r="N1178" s="10" t="str">
        <f t="shared" si="169"/>
        <v/>
      </c>
      <c r="O1178" s="2">
        <f t="shared" si="170"/>
        <v>45267</v>
      </c>
      <c r="P1178" s="2">
        <v>45267.43550925926</v>
      </c>
      <c r="Q1178" s="2">
        <f t="shared" si="171"/>
        <v>45271</v>
      </c>
      <c r="R1178" s="2">
        <v>45267.442812499998</v>
      </c>
      <c r="S1178">
        <f t="shared" si="172"/>
        <v>0</v>
      </c>
      <c r="T1178" s="2">
        <f t="shared" si="173"/>
        <v>45271</v>
      </c>
      <c r="U1178" t="str">
        <f t="shared" si="174"/>
        <v>NO PRAZO</v>
      </c>
    </row>
    <row r="1179" spans="1:21" hidden="1">
      <c r="A1179" s="1">
        <v>15625</v>
      </c>
      <c r="B1179" t="s">
        <v>20</v>
      </c>
      <c r="C1179" t="s">
        <v>13</v>
      </c>
      <c r="D1179" t="s">
        <v>10</v>
      </c>
      <c r="E1179" s="1">
        <v>3603</v>
      </c>
      <c r="F1179" s="1">
        <v>2023</v>
      </c>
      <c r="G1179" t="s">
        <v>11</v>
      </c>
      <c r="H1179" s="2">
        <v>45266.583518518521</v>
      </c>
      <c r="I1179" s="9">
        <f t="shared" si="166"/>
        <v>45267</v>
      </c>
      <c r="J1179" s="2" t="str">
        <f t="shared" si="167"/>
        <v/>
      </c>
      <c r="L1179" s="2" t="str">
        <f t="shared" si="168"/>
        <v/>
      </c>
      <c r="N1179" s="10" t="str">
        <f t="shared" si="169"/>
        <v/>
      </c>
      <c r="O1179" s="2">
        <f t="shared" si="170"/>
        <v>45267</v>
      </c>
      <c r="P1179" s="2">
        <v>45267.448564814818</v>
      </c>
      <c r="Q1179" s="2">
        <f t="shared" si="171"/>
        <v>45271</v>
      </c>
      <c r="R1179" s="2">
        <v>45267.474398148152</v>
      </c>
      <c r="S1179">
        <f t="shared" si="172"/>
        <v>0</v>
      </c>
      <c r="T1179" s="2">
        <f t="shared" si="173"/>
        <v>45271</v>
      </c>
      <c r="U1179" t="str">
        <f t="shared" si="174"/>
        <v>NO PRAZO</v>
      </c>
    </row>
    <row r="1180" spans="1:21" hidden="1">
      <c r="A1180" s="1">
        <v>15623</v>
      </c>
      <c r="B1180" t="s">
        <v>12</v>
      </c>
      <c r="C1180" t="s">
        <v>13</v>
      </c>
      <c r="D1180" t="s">
        <v>18</v>
      </c>
      <c r="E1180" s="1">
        <v>3601</v>
      </c>
      <c r="F1180" s="1">
        <v>2023</v>
      </c>
      <c r="G1180" t="s">
        <v>11</v>
      </c>
      <c r="H1180" s="2">
        <v>45266.500138888892</v>
      </c>
      <c r="I1180" s="9">
        <f t="shared" si="166"/>
        <v>45272</v>
      </c>
      <c r="J1180" s="2" t="str">
        <f t="shared" si="167"/>
        <v/>
      </c>
      <c r="L1180" s="2" t="str">
        <f t="shared" si="168"/>
        <v/>
      </c>
      <c r="N1180" s="10" t="str">
        <f t="shared" si="169"/>
        <v/>
      </c>
      <c r="O1180" s="2">
        <f t="shared" si="170"/>
        <v>45272</v>
      </c>
      <c r="P1180" s="2">
        <v>45271.640219907407</v>
      </c>
      <c r="Q1180" s="2">
        <f t="shared" si="171"/>
        <v>45278</v>
      </c>
      <c r="R1180" s="2">
        <v>45271.640347222223</v>
      </c>
      <c r="S1180">
        <f t="shared" si="172"/>
        <v>0</v>
      </c>
      <c r="T1180" s="2">
        <f t="shared" si="173"/>
        <v>45278</v>
      </c>
      <c r="U1180" t="str">
        <f t="shared" si="174"/>
        <v>NO PRAZO</v>
      </c>
    </row>
    <row r="1181" spans="1:21" hidden="1">
      <c r="A1181" s="1">
        <v>15617</v>
      </c>
      <c r="B1181" t="s">
        <v>20</v>
      </c>
      <c r="C1181" t="s">
        <v>13</v>
      </c>
      <c r="D1181" t="s">
        <v>18</v>
      </c>
      <c r="E1181" s="1">
        <v>3595</v>
      </c>
      <c r="F1181" s="1">
        <v>2023</v>
      </c>
      <c r="G1181" t="s">
        <v>11</v>
      </c>
      <c r="H1181" s="2">
        <v>45265.625162037039</v>
      </c>
      <c r="I1181" s="9">
        <f t="shared" si="166"/>
        <v>45271</v>
      </c>
      <c r="J1181" s="2" t="str">
        <f t="shared" si="167"/>
        <v/>
      </c>
      <c r="L1181" s="2" t="str">
        <f t="shared" si="168"/>
        <v/>
      </c>
      <c r="N1181" s="10" t="str">
        <f t="shared" si="169"/>
        <v/>
      </c>
      <c r="O1181" s="2">
        <f t="shared" si="170"/>
        <v>45271</v>
      </c>
      <c r="P1181" s="2">
        <v>45266.421631944446</v>
      </c>
      <c r="Q1181" s="2">
        <f t="shared" si="171"/>
        <v>45275</v>
      </c>
      <c r="R1181" s="2">
        <v>45266.523923611108</v>
      </c>
      <c r="S1181">
        <f t="shared" si="172"/>
        <v>0</v>
      </c>
      <c r="T1181" s="2">
        <f t="shared" si="173"/>
        <v>45275</v>
      </c>
      <c r="U1181" t="str">
        <f t="shared" si="174"/>
        <v>NO PRAZO</v>
      </c>
    </row>
    <row r="1182" spans="1:21" hidden="1">
      <c r="A1182" s="1">
        <v>15615</v>
      </c>
      <c r="B1182" t="s">
        <v>12</v>
      </c>
      <c r="C1182" t="s">
        <v>13</v>
      </c>
      <c r="D1182" t="s">
        <v>18</v>
      </c>
      <c r="E1182" s="1">
        <v>3593</v>
      </c>
      <c r="F1182" s="1">
        <v>2023</v>
      </c>
      <c r="G1182" t="s">
        <v>11</v>
      </c>
      <c r="H1182" s="2">
        <v>45265.500173611108</v>
      </c>
      <c r="I1182" s="9">
        <f t="shared" si="166"/>
        <v>45271</v>
      </c>
      <c r="J1182" s="2" t="str">
        <f t="shared" si="167"/>
        <v/>
      </c>
      <c r="L1182" s="2" t="str">
        <f t="shared" si="168"/>
        <v/>
      </c>
      <c r="N1182" s="10" t="str">
        <f t="shared" si="169"/>
        <v/>
      </c>
      <c r="O1182" s="2">
        <f t="shared" si="170"/>
        <v>45271</v>
      </c>
      <c r="P1182" s="2">
        <v>45271.636064814818</v>
      </c>
      <c r="Q1182" s="2">
        <f t="shared" si="171"/>
        <v>45275</v>
      </c>
      <c r="R1182" s="2">
        <v>45271.639884259261</v>
      </c>
      <c r="S1182">
        <f t="shared" si="172"/>
        <v>0</v>
      </c>
      <c r="T1182" s="2">
        <f t="shared" si="173"/>
        <v>45275</v>
      </c>
      <c r="U1182" t="str">
        <f t="shared" si="174"/>
        <v>NO PRAZO</v>
      </c>
    </row>
    <row r="1183" spans="1:21" hidden="1">
      <c r="A1183" s="1">
        <v>15610</v>
      </c>
      <c r="B1183" t="s">
        <v>20</v>
      </c>
      <c r="C1183" t="s">
        <v>13</v>
      </c>
      <c r="D1183" t="s">
        <v>21</v>
      </c>
      <c r="E1183" s="1">
        <v>3588</v>
      </c>
      <c r="F1183" s="1">
        <v>2023</v>
      </c>
      <c r="G1183" t="s">
        <v>11</v>
      </c>
      <c r="H1183" s="2">
        <v>45264.750219907408</v>
      </c>
      <c r="I1183" s="9">
        <f t="shared" si="166"/>
        <v>45267</v>
      </c>
      <c r="J1183" s="2" t="str">
        <f t="shared" si="167"/>
        <v/>
      </c>
      <c r="L1183" s="2" t="str">
        <f t="shared" si="168"/>
        <v/>
      </c>
      <c r="N1183" s="10" t="str">
        <f t="shared" si="169"/>
        <v/>
      </c>
      <c r="O1183" s="2">
        <f t="shared" si="170"/>
        <v>45267</v>
      </c>
      <c r="P1183" s="2">
        <v>45266.377685185187</v>
      </c>
      <c r="Q1183" s="2">
        <f t="shared" si="171"/>
        <v>45299</v>
      </c>
      <c r="R1183" s="2">
        <v>45273.70853009259</v>
      </c>
      <c r="S1183">
        <f t="shared" si="172"/>
        <v>0</v>
      </c>
      <c r="T1183" s="2">
        <f t="shared" si="173"/>
        <v>45299</v>
      </c>
      <c r="U1183" t="str">
        <f t="shared" si="174"/>
        <v>NO PRAZO</v>
      </c>
    </row>
    <row r="1184" spans="1:21" hidden="1">
      <c r="A1184" s="1">
        <v>15607</v>
      </c>
      <c r="B1184" t="s">
        <v>20</v>
      </c>
      <c r="C1184" t="s">
        <v>13</v>
      </c>
      <c r="D1184" t="s">
        <v>18</v>
      </c>
      <c r="E1184" s="1">
        <v>3585</v>
      </c>
      <c r="F1184" s="1">
        <v>2023</v>
      </c>
      <c r="G1184" t="s">
        <v>11</v>
      </c>
      <c r="H1184" s="2">
        <v>45264.661423611113</v>
      </c>
      <c r="I1184" s="9">
        <f t="shared" si="166"/>
        <v>45267</v>
      </c>
      <c r="J1184" s="2" t="str">
        <f t="shared" si="167"/>
        <v/>
      </c>
      <c r="L1184" s="2" t="str">
        <f t="shared" si="168"/>
        <v/>
      </c>
      <c r="N1184" s="10" t="str">
        <f t="shared" si="169"/>
        <v/>
      </c>
      <c r="O1184" s="2">
        <f t="shared" si="170"/>
        <v>45267</v>
      </c>
      <c r="P1184" s="2">
        <v>45268.631736111114</v>
      </c>
      <c r="Q1184" s="2">
        <f t="shared" si="171"/>
        <v>45274</v>
      </c>
      <c r="R1184" s="2">
        <v>45271.474016203705</v>
      </c>
      <c r="S1184">
        <f t="shared" si="172"/>
        <v>0</v>
      </c>
      <c r="T1184" s="2">
        <f t="shared" si="173"/>
        <v>45274</v>
      </c>
      <c r="U1184" t="str">
        <f t="shared" si="174"/>
        <v>NO PRAZO</v>
      </c>
    </row>
    <row r="1185" spans="1:21" hidden="1">
      <c r="A1185" s="1">
        <v>15605</v>
      </c>
      <c r="B1185" t="s">
        <v>17</v>
      </c>
      <c r="C1185" t="s">
        <v>9</v>
      </c>
      <c r="D1185" t="s">
        <v>21</v>
      </c>
      <c r="E1185" s="1">
        <v>3583</v>
      </c>
      <c r="F1185" s="1">
        <v>2023</v>
      </c>
      <c r="G1185" t="s">
        <v>11</v>
      </c>
      <c r="H1185" s="2">
        <v>45264.583518518521</v>
      </c>
      <c r="I1185" s="9">
        <f t="shared" si="166"/>
        <v>45267</v>
      </c>
      <c r="J1185" s="2" t="str">
        <f t="shared" si="167"/>
        <v/>
      </c>
      <c r="L1185" s="2" t="str">
        <f t="shared" si="168"/>
        <v/>
      </c>
      <c r="N1185" s="10" t="str">
        <f t="shared" si="169"/>
        <v/>
      </c>
      <c r="O1185" s="2">
        <f t="shared" si="170"/>
        <v>45267</v>
      </c>
      <c r="P1185" s="2">
        <v>45266.384039351855</v>
      </c>
      <c r="Q1185" s="2">
        <f t="shared" si="171"/>
        <v>45299</v>
      </c>
      <c r="R1185" s="2">
        <v>45266.463182870371</v>
      </c>
      <c r="S1185">
        <f t="shared" si="172"/>
        <v>0</v>
      </c>
      <c r="T1185" s="2">
        <f t="shared" si="173"/>
        <v>45299</v>
      </c>
      <c r="U1185" t="str">
        <f t="shared" si="174"/>
        <v>NO PRAZO</v>
      </c>
    </row>
    <row r="1186" spans="1:21" hidden="1">
      <c r="A1186" s="1">
        <v>15598</v>
      </c>
      <c r="B1186" t="s">
        <v>20</v>
      </c>
      <c r="C1186" t="s">
        <v>13</v>
      </c>
      <c r="D1186" t="s">
        <v>18</v>
      </c>
      <c r="E1186" s="1">
        <v>3576</v>
      </c>
      <c r="F1186" s="1">
        <v>2023</v>
      </c>
      <c r="G1186" t="s">
        <v>11</v>
      </c>
      <c r="H1186" s="2">
        <v>45261.750115740739</v>
      </c>
      <c r="I1186" s="9">
        <f t="shared" si="166"/>
        <v>45266</v>
      </c>
      <c r="J1186" s="2" t="str">
        <f t="shared" si="167"/>
        <v/>
      </c>
      <c r="L1186" s="2" t="str">
        <f t="shared" si="168"/>
        <v/>
      </c>
      <c r="N1186" s="10" t="str">
        <f t="shared" si="169"/>
        <v/>
      </c>
      <c r="O1186" s="2">
        <f t="shared" si="170"/>
        <v>45266</v>
      </c>
      <c r="P1186" s="2">
        <v>45268.406724537039</v>
      </c>
      <c r="Q1186" s="2">
        <f t="shared" si="171"/>
        <v>45273</v>
      </c>
      <c r="R1186" s="2">
        <v>45268.406921296293</v>
      </c>
      <c r="S1186">
        <f t="shared" si="172"/>
        <v>0</v>
      </c>
      <c r="T1186" s="2">
        <f t="shared" si="173"/>
        <v>45273</v>
      </c>
      <c r="U1186" t="str">
        <f t="shared" si="174"/>
        <v>NO PRAZO</v>
      </c>
    </row>
    <row r="1187" spans="1:21" hidden="1">
      <c r="A1187" s="1">
        <v>15595</v>
      </c>
      <c r="B1187" t="s">
        <v>24</v>
      </c>
      <c r="C1187" t="s">
        <v>13</v>
      </c>
      <c r="D1187" t="s">
        <v>18</v>
      </c>
      <c r="E1187" s="1">
        <v>3573</v>
      </c>
      <c r="F1187" s="1">
        <v>2023</v>
      </c>
      <c r="G1187" t="s">
        <v>11</v>
      </c>
      <c r="H1187" s="2">
        <v>45261.625115740739</v>
      </c>
      <c r="I1187" s="9">
        <f t="shared" si="166"/>
        <v>45266</v>
      </c>
      <c r="J1187" s="2" t="str">
        <f t="shared" si="167"/>
        <v/>
      </c>
      <c r="L1187" s="2" t="str">
        <f t="shared" si="168"/>
        <v/>
      </c>
      <c r="N1187" s="10" t="str">
        <f t="shared" si="169"/>
        <v/>
      </c>
      <c r="O1187" s="2">
        <f t="shared" si="170"/>
        <v>45266</v>
      </c>
      <c r="P1187" s="2">
        <v>45268.68178240741</v>
      </c>
      <c r="Q1187" s="2">
        <f t="shared" si="171"/>
        <v>45273</v>
      </c>
      <c r="R1187" s="2">
        <v>45268.7031712963</v>
      </c>
      <c r="S1187">
        <f t="shared" si="172"/>
        <v>0</v>
      </c>
      <c r="T1187" s="2">
        <f t="shared" si="173"/>
        <v>45273</v>
      </c>
      <c r="U1187" t="str">
        <f t="shared" si="174"/>
        <v>NO PRAZO</v>
      </c>
    </row>
    <row r="1188" spans="1:21" hidden="1">
      <c r="A1188" s="1">
        <v>15584</v>
      </c>
      <c r="B1188" t="s">
        <v>12</v>
      </c>
      <c r="C1188" t="s">
        <v>13</v>
      </c>
      <c r="D1188" t="s">
        <v>18</v>
      </c>
      <c r="E1188" s="1">
        <v>3562</v>
      </c>
      <c r="F1188" s="1">
        <v>2023</v>
      </c>
      <c r="G1188" t="s">
        <v>11</v>
      </c>
      <c r="H1188" s="2">
        <v>45260.750104166669</v>
      </c>
      <c r="I1188" s="9">
        <f t="shared" si="166"/>
        <v>45265</v>
      </c>
      <c r="J1188" s="2" t="str">
        <f t="shared" si="167"/>
        <v/>
      </c>
      <c r="L1188" s="2" t="str">
        <f t="shared" si="168"/>
        <v/>
      </c>
      <c r="N1188" s="10" t="str">
        <f t="shared" si="169"/>
        <v/>
      </c>
      <c r="O1188" s="2">
        <f t="shared" si="170"/>
        <v>45265</v>
      </c>
      <c r="P1188" s="2">
        <v>45264.513726851852</v>
      </c>
      <c r="Q1188" s="2">
        <f t="shared" si="171"/>
        <v>45272</v>
      </c>
      <c r="R1188" s="2">
        <v>45267.446527777778</v>
      </c>
      <c r="S1188">
        <f t="shared" si="172"/>
        <v>0</v>
      </c>
      <c r="T1188" s="2">
        <f t="shared" si="173"/>
        <v>45272</v>
      </c>
      <c r="U1188" t="str">
        <f t="shared" si="174"/>
        <v>NO PRAZO</v>
      </c>
    </row>
    <row r="1189" spans="1:21" hidden="1">
      <c r="A1189" s="1">
        <v>15576</v>
      </c>
      <c r="B1189" t="s">
        <v>17</v>
      </c>
      <c r="C1189" t="s">
        <v>9</v>
      </c>
      <c r="D1189" t="s">
        <v>18</v>
      </c>
      <c r="E1189" s="1">
        <v>3554</v>
      </c>
      <c r="F1189" s="1">
        <v>2023</v>
      </c>
      <c r="G1189" t="s">
        <v>11</v>
      </c>
      <c r="H1189" s="2">
        <v>45260.458460648151</v>
      </c>
      <c r="I1189" s="9">
        <f t="shared" si="166"/>
        <v>45265</v>
      </c>
      <c r="J1189" s="2" t="str">
        <f t="shared" si="167"/>
        <v/>
      </c>
      <c r="L1189" s="2" t="str">
        <f t="shared" si="168"/>
        <v/>
      </c>
      <c r="N1189" s="10" t="str">
        <f t="shared" si="169"/>
        <v/>
      </c>
      <c r="O1189" s="2">
        <f t="shared" si="170"/>
        <v>45265</v>
      </c>
      <c r="P1189" s="2">
        <v>45266.414629629631</v>
      </c>
      <c r="Q1189" s="2">
        <f t="shared" si="171"/>
        <v>45272</v>
      </c>
      <c r="R1189" s="2">
        <v>45266.415497685186</v>
      </c>
      <c r="S1189">
        <f t="shared" si="172"/>
        <v>0</v>
      </c>
      <c r="T1189" s="2">
        <f t="shared" si="173"/>
        <v>45272</v>
      </c>
      <c r="U1189" t="str">
        <f t="shared" si="174"/>
        <v>NO PRAZO</v>
      </c>
    </row>
    <row r="1190" spans="1:21" hidden="1">
      <c r="A1190" s="1">
        <v>15575</v>
      </c>
      <c r="B1190" t="s">
        <v>20</v>
      </c>
      <c r="C1190" t="s">
        <v>13</v>
      </c>
      <c r="D1190" t="s">
        <v>14</v>
      </c>
      <c r="E1190" s="1">
        <v>3553</v>
      </c>
      <c r="F1190" s="1">
        <v>2023</v>
      </c>
      <c r="G1190" t="s">
        <v>11</v>
      </c>
      <c r="H1190" s="2">
        <v>45260.458460648151</v>
      </c>
      <c r="I1190" s="9">
        <f t="shared" si="166"/>
        <v>45261</v>
      </c>
      <c r="J1190" s="2" t="str">
        <f t="shared" si="167"/>
        <v/>
      </c>
      <c r="L1190" s="2" t="str">
        <f t="shared" si="168"/>
        <v/>
      </c>
      <c r="N1190" s="10" t="str">
        <f t="shared" si="169"/>
        <v/>
      </c>
      <c r="O1190" s="2">
        <f t="shared" si="170"/>
        <v>45261</v>
      </c>
      <c r="P1190" s="2">
        <v>45264.636701388888</v>
      </c>
      <c r="Q1190" s="2">
        <f t="shared" si="171"/>
        <v>45264</v>
      </c>
      <c r="R1190" s="2">
        <v>45264.704953703702</v>
      </c>
      <c r="S1190">
        <f t="shared" si="172"/>
        <v>0</v>
      </c>
      <c r="T1190" s="2">
        <f t="shared" si="173"/>
        <v>45264</v>
      </c>
      <c r="U1190" t="str">
        <f t="shared" si="174"/>
        <v>NO PRAZO</v>
      </c>
    </row>
    <row r="1191" spans="1:21">
      <c r="A1191" s="1">
        <v>15570</v>
      </c>
      <c r="B1191" t="s">
        <v>17</v>
      </c>
      <c r="C1191" t="s">
        <v>9</v>
      </c>
      <c r="D1191" t="s">
        <v>18</v>
      </c>
      <c r="E1191" s="1">
        <v>3548</v>
      </c>
      <c r="F1191" s="1">
        <v>2023</v>
      </c>
      <c r="G1191" t="s">
        <v>11</v>
      </c>
      <c r="H1191" s="2">
        <v>45259.708460648151</v>
      </c>
      <c r="I1191" s="9">
        <f t="shared" si="166"/>
        <v>45264</v>
      </c>
      <c r="J1191" s="2" t="str">
        <f t="shared" si="167"/>
        <v/>
      </c>
      <c r="L1191" s="2" t="str">
        <f t="shared" si="168"/>
        <v/>
      </c>
      <c r="N1191" s="10" t="str">
        <f t="shared" si="169"/>
        <v/>
      </c>
      <c r="O1191" s="2">
        <f t="shared" si="170"/>
        <v>45264</v>
      </c>
      <c r="P1191" s="2">
        <v>45293.704942129632</v>
      </c>
      <c r="Q1191" s="2">
        <f t="shared" si="171"/>
        <v>45271</v>
      </c>
      <c r="R1191" s="2">
        <v>45294.33965277778</v>
      </c>
      <c r="S1191">
        <f t="shared" si="172"/>
        <v>23</v>
      </c>
      <c r="T1191" s="2">
        <f t="shared" si="173"/>
        <v>45271</v>
      </c>
      <c r="U1191" t="str">
        <f t="shared" si="174"/>
        <v>ATRASO</v>
      </c>
    </row>
    <row r="1192" spans="1:21" hidden="1">
      <c r="A1192" s="1">
        <v>15568</v>
      </c>
      <c r="B1192" t="s">
        <v>20</v>
      </c>
      <c r="C1192" t="s">
        <v>13</v>
      </c>
      <c r="D1192" t="s">
        <v>18</v>
      </c>
      <c r="E1192" s="1">
        <v>3546</v>
      </c>
      <c r="F1192" s="1">
        <v>2023</v>
      </c>
      <c r="G1192" t="s">
        <v>11</v>
      </c>
      <c r="H1192" s="2">
        <v>45259.66679398148</v>
      </c>
      <c r="I1192" s="9">
        <f t="shared" si="166"/>
        <v>45264</v>
      </c>
      <c r="J1192" s="2" t="str">
        <f t="shared" si="167"/>
        <v/>
      </c>
      <c r="L1192" s="2" t="str">
        <f t="shared" si="168"/>
        <v/>
      </c>
      <c r="N1192" s="10" t="str">
        <f t="shared" si="169"/>
        <v/>
      </c>
      <c r="O1192" s="2">
        <f t="shared" si="170"/>
        <v>45264</v>
      </c>
      <c r="P1192" s="2">
        <v>45265.600763888891</v>
      </c>
      <c r="Q1192" s="2">
        <f t="shared" si="171"/>
        <v>45271</v>
      </c>
      <c r="R1192" s="2">
        <v>45265.600914351853</v>
      </c>
      <c r="S1192">
        <f t="shared" si="172"/>
        <v>0</v>
      </c>
      <c r="T1192" s="2">
        <f t="shared" si="173"/>
        <v>45271</v>
      </c>
      <c r="U1192" t="str">
        <f t="shared" si="174"/>
        <v>NO PRAZO</v>
      </c>
    </row>
    <row r="1193" spans="1:21" hidden="1">
      <c r="A1193" s="1">
        <v>15567</v>
      </c>
      <c r="B1193" t="s">
        <v>8</v>
      </c>
      <c r="C1193" t="s">
        <v>13</v>
      </c>
      <c r="D1193" t="s">
        <v>18</v>
      </c>
      <c r="E1193" s="1">
        <v>3545</v>
      </c>
      <c r="F1193" s="1">
        <v>2023</v>
      </c>
      <c r="G1193" t="s">
        <v>11</v>
      </c>
      <c r="H1193" s="2">
        <v>45259.661597222221</v>
      </c>
      <c r="I1193" s="9">
        <f t="shared" si="166"/>
        <v>45264</v>
      </c>
      <c r="J1193" s="2" t="str">
        <f t="shared" si="167"/>
        <v/>
      </c>
      <c r="L1193" s="2" t="str">
        <f t="shared" si="168"/>
        <v/>
      </c>
      <c r="N1193" s="10" t="str">
        <f t="shared" si="169"/>
        <v/>
      </c>
      <c r="O1193" s="2">
        <f t="shared" si="170"/>
        <v>45264</v>
      </c>
      <c r="P1193" s="2">
        <v>45259.673136574071</v>
      </c>
      <c r="Q1193" s="2">
        <f t="shared" si="171"/>
        <v>45271</v>
      </c>
      <c r="R1193" s="2">
        <v>45260.469363425924</v>
      </c>
      <c r="S1193">
        <f t="shared" si="172"/>
        <v>0</v>
      </c>
      <c r="T1193" s="2">
        <f t="shared" si="173"/>
        <v>45271</v>
      </c>
      <c r="U1193" t="str">
        <f t="shared" si="174"/>
        <v>NO PRAZO</v>
      </c>
    </row>
    <row r="1194" spans="1:21">
      <c r="A1194" s="1">
        <v>15557</v>
      </c>
      <c r="B1194" t="s">
        <v>12</v>
      </c>
      <c r="C1194" t="s">
        <v>13</v>
      </c>
      <c r="D1194" t="s">
        <v>16</v>
      </c>
      <c r="E1194" s="1">
        <v>3535</v>
      </c>
      <c r="F1194" s="1">
        <v>2023</v>
      </c>
      <c r="G1194" t="s">
        <v>11</v>
      </c>
      <c r="H1194" s="2">
        <v>45259.375138888892</v>
      </c>
      <c r="I1194" s="9">
        <f t="shared" si="166"/>
        <v>45260</v>
      </c>
      <c r="J1194" s="2" t="str">
        <f t="shared" si="167"/>
        <v/>
      </c>
      <c r="L1194" s="2" t="str">
        <f t="shared" si="168"/>
        <v/>
      </c>
      <c r="N1194" s="10" t="str">
        <f t="shared" si="169"/>
        <v/>
      </c>
      <c r="O1194" s="2">
        <f t="shared" si="170"/>
        <v>45260</v>
      </c>
      <c r="P1194" s="2">
        <v>45267.505740740744</v>
      </c>
      <c r="Q1194" s="2">
        <f t="shared" si="171"/>
        <v>45266</v>
      </c>
      <c r="R1194" s="2">
        <v>45267.855868055558</v>
      </c>
      <c r="S1194">
        <f t="shared" si="172"/>
        <v>1</v>
      </c>
      <c r="T1194" s="2">
        <f t="shared" si="173"/>
        <v>45266</v>
      </c>
      <c r="U1194" t="str">
        <f t="shared" si="174"/>
        <v>ATRASO</v>
      </c>
    </row>
    <row r="1195" spans="1:21" hidden="1">
      <c r="A1195" s="1">
        <v>15554</v>
      </c>
      <c r="B1195" t="s">
        <v>20</v>
      </c>
      <c r="C1195" t="s">
        <v>13</v>
      </c>
      <c r="D1195" t="s">
        <v>18</v>
      </c>
      <c r="E1195" s="1">
        <v>3532</v>
      </c>
      <c r="F1195" s="1">
        <v>2023</v>
      </c>
      <c r="G1195" t="s">
        <v>11</v>
      </c>
      <c r="H1195" s="2">
        <v>45258.500162037039</v>
      </c>
      <c r="I1195" s="9">
        <f t="shared" si="166"/>
        <v>45261</v>
      </c>
      <c r="J1195" s="2" t="str">
        <f t="shared" si="167"/>
        <v/>
      </c>
      <c r="L1195" s="2" t="str">
        <f t="shared" si="168"/>
        <v/>
      </c>
      <c r="N1195" s="10" t="str">
        <f t="shared" si="169"/>
        <v/>
      </c>
      <c r="O1195" s="2">
        <f t="shared" si="170"/>
        <v>45261</v>
      </c>
      <c r="P1195" s="2">
        <v>45258.667546296296</v>
      </c>
      <c r="Q1195" s="2">
        <f t="shared" si="171"/>
        <v>45267</v>
      </c>
      <c r="R1195" s="2">
        <v>45259.751828703702</v>
      </c>
      <c r="S1195">
        <f t="shared" si="172"/>
        <v>0</v>
      </c>
      <c r="T1195" s="2">
        <f t="shared" si="173"/>
        <v>45267</v>
      </c>
      <c r="U1195" t="str">
        <f t="shared" si="174"/>
        <v>NO PRAZO</v>
      </c>
    </row>
    <row r="1196" spans="1:21" hidden="1">
      <c r="A1196" s="1">
        <v>15553</v>
      </c>
      <c r="B1196" t="s">
        <v>8</v>
      </c>
      <c r="C1196" t="s">
        <v>9</v>
      </c>
      <c r="D1196" t="s">
        <v>16</v>
      </c>
      <c r="E1196" s="1">
        <v>3531</v>
      </c>
      <c r="F1196" s="1">
        <v>2023</v>
      </c>
      <c r="G1196" t="s">
        <v>11</v>
      </c>
      <c r="H1196" s="2">
        <v>45258.458495370367</v>
      </c>
      <c r="I1196" s="9">
        <f t="shared" si="166"/>
        <v>45259</v>
      </c>
      <c r="J1196" s="2" t="str">
        <f t="shared" si="167"/>
        <v/>
      </c>
      <c r="L1196" s="2" t="str">
        <f t="shared" si="168"/>
        <v/>
      </c>
      <c r="N1196" s="10" t="str">
        <f t="shared" si="169"/>
        <v/>
      </c>
      <c r="O1196" s="2">
        <f t="shared" si="170"/>
        <v>45259</v>
      </c>
      <c r="P1196" s="2">
        <v>45265.509189814817</v>
      </c>
      <c r="Q1196" s="2">
        <f t="shared" si="171"/>
        <v>45265</v>
      </c>
      <c r="R1196" s="2">
        <v>45265.700486111113</v>
      </c>
      <c r="S1196">
        <f t="shared" si="172"/>
        <v>0</v>
      </c>
      <c r="T1196" s="2">
        <f t="shared" si="173"/>
        <v>45265</v>
      </c>
      <c r="U1196" t="str">
        <f t="shared" si="174"/>
        <v>NO PRAZO</v>
      </c>
    </row>
    <row r="1197" spans="1:21" hidden="1">
      <c r="A1197" s="1">
        <v>15551</v>
      </c>
      <c r="B1197" t="s">
        <v>8</v>
      </c>
      <c r="C1197" t="s">
        <v>9</v>
      </c>
      <c r="D1197" t="s">
        <v>16</v>
      </c>
      <c r="E1197" s="1">
        <v>3529</v>
      </c>
      <c r="F1197" s="1">
        <v>2023</v>
      </c>
      <c r="G1197" t="s">
        <v>11</v>
      </c>
      <c r="H1197" s="2">
        <v>45258.375150462962</v>
      </c>
      <c r="I1197" s="9">
        <f t="shared" si="166"/>
        <v>45259</v>
      </c>
      <c r="J1197" s="2" t="str">
        <f t="shared" si="167"/>
        <v/>
      </c>
      <c r="L1197" s="2" t="str">
        <f t="shared" si="168"/>
        <v/>
      </c>
      <c r="N1197" s="10" t="str">
        <f t="shared" si="169"/>
        <v/>
      </c>
      <c r="O1197" s="2">
        <f t="shared" si="170"/>
        <v>45259</v>
      </c>
      <c r="P1197" s="2">
        <v>45265.505798611113</v>
      </c>
      <c r="Q1197" s="2">
        <f t="shared" si="171"/>
        <v>45265</v>
      </c>
      <c r="R1197" s="2">
        <v>45265.530671296299</v>
      </c>
      <c r="S1197">
        <f t="shared" si="172"/>
        <v>0</v>
      </c>
      <c r="T1197" s="2">
        <f t="shared" si="173"/>
        <v>45265</v>
      </c>
      <c r="U1197" t="str">
        <f t="shared" si="174"/>
        <v>NO PRAZO</v>
      </c>
    </row>
    <row r="1198" spans="1:21" hidden="1">
      <c r="A1198" s="1">
        <v>15550</v>
      </c>
      <c r="B1198" t="s">
        <v>8</v>
      </c>
      <c r="C1198" t="s">
        <v>9</v>
      </c>
      <c r="D1198" t="s">
        <v>16</v>
      </c>
      <c r="E1198" s="1">
        <v>3528</v>
      </c>
      <c r="F1198" s="1">
        <v>2023</v>
      </c>
      <c r="G1198" t="s">
        <v>11</v>
      </c>
      <c r="H1198" s="2">
        <v>45258.375150462962</v>
      </c>
      <c r="I1198" s="9">
        <f t="shared" si="166"/>
        <v>45259</v>
      </c>
      <c r="J1198" s="2" t="str">
        <f t="shared" si="167"/>
        <v/>
      </c>
      <c r="L1198" s="2" t="str">
        <f t="shared" si="168"/>
        <v/>
      </c>
      <c r="N1198" s="10" t="str">
        <f t="shared" si="169"/>
        <v/>
      </c>
      <c r="O1198" s="2">
        <f t="shared" si="170"/>
        <v>45259</v>
      </c>
      <c r="P1198" s="2">
        <v>45265.509317129632</v>
      </c>
      <c r="Q1198" s="2">
        <f t="shared" si="171"/>
        <v>45265</v>
      </c>
      <c r="R1198" s="2">
        <v>45265.700254629628</v>
      </c>
      <c r="S1198">
        <f t="shared" si="172"/>
        <v>0</v>
      </c>
      <c r="T1198" s="2">
        <f t="shared" si="173"/>
        <v>45265</v>
      </c>
      <c r="U1198" t="str">
        <f t="shared" si="174"/>
        <v>NO PRAZO</v>
      </c>
    </row>
    <row r="1199" spans="1:21">
      <c r="A1199" s="1">
        <v>15530</v>
      </c>
      <c r="B1199" t="s">
        <v>19</v>
      </c>
      <c r="C1199" t="s">
        <v>13</v>
      </c>
      <c r="D1199" t="s">
        <v>14</v>
      </c>
      <c r="E1199" s="1">
        <v>3508</v>
      </c>
      <c r="F1199" s="1">
        <v>2023</v>
      </c>
      <c r="G1199" t="s">
        <v>11</v>
      </c>
      <c r="H1199" s="2">
        <v>45257.416875000003</v>
      </c>
      <c r="I1199" s="9">
        <f t="shared" si="166"/>
        <v>45258</v>
      </c>
      <c r="J1199" s="2" t="str">
        <f t="shared" si="167"/>
        <v/>
      </c>
      <c r="L1199" s="2" t="str">
        <f t="shared" si="168"/>
        <v/>
      </c>
      <c r="N1199" s="10" t="str">
        <f t="shared" si="169"/>
        <v/>
      </c>
      <c r="O1199" s="2">
        <f t="shared" si="170"/>
        <v>45258</v>
      </c>
      <c r="P1199" s="2">
        <v>45278.442094907405</v>
      </c>
      <c r="Q1199" s="2">
        <f t="shared" si="171"/>
        <v>45259</v>
      </c>
      <c r="R1199" s="2">
        <v>45278.663946759261</v>
      </c>
      <c r="S1199">
        <f t="shared" si="172"/>
        <v>19</v>
      </c>
      <c r="T1199" s="2">
        <f t="shared" si="173"/>
        <v>45259</v>
      </c>
      <c r="U1199" t="str">
        <f t="shared" si="174"/>
        <v>ATRASO</v>
      </c>
    </row>
    <row r="1200" spans="1:21">
      <c r="A1200" s="1">
        <v>15520</v>
      </c>
      <c r="B1200" t="s">
        <v>22</v>
      </c>
      <c r="C1200" t="s">
        <v>13</v>
      </c>
      <c r="D1200" t="s">
        <v>10</v>
      </c>
      <c r="E1200" s="1">
        <v>3498</v>
      </c>
      <c r="F1200" s="1">
        <v>2023</v>
      </c>
      <c r="G1200" t="s">
        <v>11</v>
      </c>
      <c r="H1200" s="2">
        <v>45254.583437499998</v>
      </c>
      <c r="I1200" s="9">
        <f t="shared" si="166"/>
        <v>45257</v>
      </c>
      <c r="J1200" s="2" t="str">
        <f t="shared" si="167"/>
        <v/>
      </c>
      <c r="L1200" s="2" t="str">
        <f t="shared" si="168"/>
        <v/>
      </c>
      <c r="N1200" s="10" t="str">
        <f t="shared" si="169"/>
        <v/>
      </c>
      <c r="O1200" s="2">
        <f t="shared" si="170"/>
        <v>45257</v>
      </c>
      <c r="P1200" s="2">
        <v>45268.40662037037</v>
      </c>
      <c r="Q1200" s="2">
        <f t="shared" si="171"/>
        <v>45258</v>
      </c>
      <c r="R1200" s="2">
        <v>45268.452303240738</v>
      </c>
      <c r="S1200">
        <f t="shared" si="172"/>
        <v>10</v>
      </c>
      <c r="T1200" s="2">
        <f t="shared" si="173"/>
        <v>45258</v>
      </c>
      <c r="U1200" t="str">
        <f t="shared" si="174"/>
        <v>ATRASO</v>
      </c>
    </row>
    <row r="1201" spans="1:21" hidden="1">
      <c r="A1201" s="1">
        <v>15514</v>
      </c>
      <c r="B1201" t="s">
        <v>24</v>
      </c>
      <c r="C1201" t="s">
        <v>13</v>
      </c>
      <c r="D1201" t="s">
        <v>10</v>
      </c>
      <c r="E1201" s="1">
        <v>3492</v>
      </c>
      <c r="F1201" s="1">
        <v>2023</v>
      </c>
      <c r="G1201" t="s">
        <v>11</v>
      </c>
      <c r="H1201" s="2">
        <v>45254.375150462962</v>
      </c>
      <c r="I1201" s="9">
        <f t="shared" si="166"/>
        <v>45257</v>
      </c>
      <c r="J1201" s="2" t="str">
        <f t="shared" si="167"/>
        <v/>
      </c>
      <c r="L1201" s="2" t="str">
        <f t="shared" si="168"/>
        <v/>
      </c>
      <c r="N1201" s="10" t="str">
        <f t="shared" si="169"/>
        <v/>
      </c>
      <c r="O1201" s="2">
        <f t="shared" si="170"/>
        <v>45257</v>
      </c>
      <c r="P1201" s="2">
        <v>45254.625335648147</v>
      </c>
      <c r="Q1201" s="2">
        <f t="shared" si="171"/>
        <v>45258</v>
      </c>
      <c r="R1201" s="2">
        <v>45254.691504629627</v>
      </c>
      <c r="S1201">
        <f t="shared" si="172"/>
        <v>0</v>
      </c>
      <c r="T1201" s="2">
        <f t="shared" si="173"/>
        <v>45258</v>
      </c>
      <c r="U1201" t="str">
        <f t="shared" si="174"/>
        <v>NO PRAZO</v>
      </c>
    </row>
    <row r="1202" spans="1:21" hidden="1">
      <c r="A1202" s="1">
        <v>15509</v>
      </c>
      <c r="B1202" t="s">
        <v>20</v>
      </c>
      <c r="C1202" t="s">
        <v>13</v>
      </c>
      <c r="D1202" t="s">
        <v>18</v>
      </c>
      <c r="E1202" s="1">
        <v>3487</v>
      </c>
      <c r="F1202" s="1">
        <v>2023</v>
      </c>
      <c r="G1202" t="s">
        <v>11</v>
      </c>
      <c r="H1202" s="2">
        <v>45253.500115740739</v>
      </c>
      <c r="I1202" s="9">
        <f t="shared" si="166"/>
        <v>45258</v>
      </c>
      <c r="J1202" s="2" t="str">
        <f t="shared" si="167"/>
        <v/>
      </c>
      <c r="L1202" s="2" t="str">
        <f t="shared" si="168"/>
        <v/>
      </c>
      <c r="N1202" s="10" t="str">
        <f t="shared" si="169"/>
        <v/>
      </c>
      <c r="O1202" s="2">
        <f t="shared" si="170"/>
        <v>45258</v>
      </c>
      <c r="P1202" s="2">
        <v>45260.52621527778</v>
      </c>
      <c r="Q1202" s="2">
        <f t="shared" si="171"/>
        <v>45264</v>
      </c>
      <c r="R1202" s="2">
        <v>45260.526585648149</v>
      </c>
      <c r="S1202">
        <f t="shared" si="172"/>
        <v>0</v>
      </c>
      <c r="T1202" s="2">
        <f t="shared" si="173"/>
        <v>45264</v>
      </c>
      <c r="U1202" t="str">
        <f t="shared" si="174"/>
        <v>NO PRAZO</v>
      </c>
    </row>
    <row r="1203" spans="1:21" hidden="1">
      <c r="A1203" s="1">
        <v>15508</v>
      </c>
      <c r="B1203" t="s">
        <v>24</v>
      </c>
      <c r="C1203" t="s">
        <v>13</v>
      </c>
      <c r="D1203" t="s">
        <v>10</v>
      </c>
      <c r="E1203" s="1">
        <v>3486</v>
      </c>
      <c r="F1203" s="1">
        <v>2023</v>
      </c>
      <c r="G1203" t="s">
        <v>11</v>
      </c>
      <c r="H1203" s="2">
        <v>45253.458449074074</v>
      </c>
      <c r="I1203" s="9">
        <f t="shared" si="166"/>
        <v>45254</v>
      </c>
      <c r="J1203" s="2" t="str">
        <f t="shared" si="167"/>
        <v/>
      </c>
      <c r="L1203" s="2" t="str">
        <f t="shared" si="168"/>
        <v/>
      </c>
      <c r="N1203" s="10" t="str">
        <f t="shared" si="169"/>
        <v/>
      </c>
      <c r="O1203" s="2">
        <f t="shared" si="170"/>
        <v>45254</v>
      </c>
      <c r="P1203" s="2">
        <v>45254.623738425929</v>
      </c>
      <c r="Q1203" s="2">
        <f t="shared" si="171"/>
        <v>45257</v>
      </c>
      <c r="R1203" s="2">
        <v>45254.69122685185</v>
      </c>
      <c r="S1203">
        <f t="shared" si="172"/>
        <v>0</v>
      </c>
      <c r="T1203" s="2">
        <f t="shared" si="173"/>
        <v>45257</v>
      </c>
      <c r="U1203" t="str">
        <f t="shared" si="174"/>
        <v>NO PRAZO</v>
      </c>
    </row>
    <row r="1204" spans="1:21" hidden="1">
      <c r="A1204" s="1">
        <v>15505</v>
      </c>
      <c r="B1204" t="s">
        <v>12</v>
      </c>
      <c r="C1204" t="s">
        <v>13</v>
      </c>
      <c r="D1204" t="s">
        <v>18</v>
      </c>
      <c r="E1204" s="1">
        <v>3483</v>
      </c>
      <c r="F1204" s="1">
        <v>2023</v>
      </c>
      <c r="G1204" t="s">
        <v>11</v>
      </c>
      <c r="H1204" s="2">
        <v>45252.583437499998</v>
      </c>
      <c r="I1204" s="9">
        <f t="shared" si="166"/>
        <v>45257</v>
      </c>
      <c r="J1204" s="2" t="str">
        <f t="shared" si="167"/>
        <v/>
      </c>
      <c r="L1204" s="2" t="str">
        <f t="shared" si="168"/>
        <v/>
      </c>
      <c r="N1204" s="10" t="str">
        <f t="shared" si="169"/>
        <v/>
      </c>
      <c r="O1204" s="2">
        <f t="shared" si="170"/>
        <v>45257</v>
      </c>
      <c r="P1204" s="2">
        <v>45257.617361111108</v>
      </c>
      <c r="Q1204" s="2">
        <f t="shared" si="171"/>
        <v>45261</v>
      </c>
      <c r="R1204" s="2">
        <v>45258.40116898148</v>
      </c>
      <c r="S1204">
        <f t="shared" si="172"/>
        <v>0</v>
      </c>
      <c r="T1204" s="2">
        <f t="shared" si="173"/>
        <v>45261</v>
      </c>
      <c r="U1204" t="str">
        <f t="shared" si="174"/>
        <v>NO PRAZO</v>
      </c>
    </row>
    <row r="1205" spans="1:21">
      <c r="A1205" s="1">
        <v>15502</v>
      </c>
      <c r="B1205" t="s">
        <v>8</v>
      </c>
      <c r="C1205" t="s">
        <v>9</v>
      </c>
      <c r="D1205" t="s">
        <v>10</v>
      </c>
      <c r="E1205" s="1">
        <v>3480</v>
      </c>
      <c r="F1205" s="1">
        <v>2023</v>
      </c>
      <c r="G1205" t="s">
        <v>11</v>
      </c>
      <c r="H1205" s="2">
        <v>45252.500127314815</v>
      </c>
      <c r="I1205" s="9">
        <f t="shared" si="166"/>
        <v>45253</v>
      </c>
      <c r="J1205" s="2" t="str">
        <f t="shared" si="167"/>
        <v/>
      </c>
      <c r="L1205" s="2" t="str">
        <f t="shared" si="168"/>
        <v/>
      </c>
      <c r="N1205" s="10" t="str">
        <f t="shared" si="169"/>
        <v/>
      </c>
      <c r="O1205" s="2">
        <f t="shared" si="170"/>
        <v>45253</v>
      </c>
      <c r="P1205" s="2">
        <v>45259.404548611114</v>
      </c>
      <c r="Q1205" s="2">
        <f t="shared" si="171"/>
        <v>45254</v>
      </c>
      <c r="R1205" s="2">
        <v>45259.520196759258</v>
      </c>
      <c r="S1205">
        <f t="shared" si="172"/>
        <v>5</v>
      </c>
      <c r="T1205" s="2">
        <f t="shared" si="173"/>
        <v>45254</v>
      </c>
      <c r="U1205" t="str">
        <f t="shared" si="174"/>
        <v>ATRASO</v>
      </c>
    </row>
    <row r="1206" spans="1:21" hidden="1">
      <c r="A1206" s="1">
        <v>15487</v>
      </c>
      <c r="B1206" t="s">
        <v>17</v>
      </c>
      <c r="C1206" t="s">
        <v>9</v>
      </c>
      <c r="D1206" t="s">
        <v>18</v>
      </c>
      <c r="E1206" s="1">
        <v>3465</v>
      </c>
      <c r="F1206" s="1">
        <v>2023</v>
      </c>
      <c r="G1206" t="s">
        <v>11</v>
      </c>
      <c r="H1206" s="2">
        <v>45251.458460648151</v>
      </c>
      <c r="I1206" s="9">
        <f t="shared" si="166"/>
        <v>45254</v>
      </c>
      <c r="J1206" s="2" t="str">
        <f t="shared" si="167"/>
        <v/>
      </c>
      <c r="L1206" s="2" t="str">
        <f t="shared" si="168"/>
        <v/>
      </c>
      <c r="N1206" s="10" t="str">
        <f t="shared" si="169"/>
        <v/>
      </c>
      <c r="O1206" s="2">
        <f t="shared" si="170"/>
        <v>45254</v>
      </c>
      <c r="P1206" s="2">
        <v>45257.616909722223</v>
      </c>
      <c r="Q1206" s="2">
        <f t="shared" si="171"/>
        <v>45260</v>
      </c>
      <c r="R1206" s="2">
        <v>45258.400185185186</v>
      </c>
      <c r="S1206">
        <f t="shared" si="172"/>
        <v>0</v>
      </c>
      <c r="T1206" s="2">
        <f t="shared" si="173"/>
        <v>45260</v>
      </c>
      <c r="U1206" t="str">
        <f t="shared" si="174"/>
        <v>NO PRAZO</v>
      </c>
    </row>
    <row r="1207" spans="1:21">
      <c r="A1207" s="1">
        <v>15486</v>
      </c>
      <c r="B1207" t="s">
        <v>20</v>
      </c>
      <c r="C1207" t="s">
        <v>13</v>
      </c>
      <c r="D1207" t="s">
        <v>18</v>
      </c>
      <c r="E1207" s="1">
        <v>3464</v>
      </c>
      <c r="F1207" s="1">
        <v>2023</v>
      </c>
      <c r="G1207" t="s">
        <v>11</v>
      </c>
      <c r="H1207" s="2">
        <v>45250.583437499998</v>
      </c>
      <c r="I1207" s="9">
        <f t="shared" si="166"/>
        <v>45253</v>
      </c>
      <c r="J1207" s="2" t="str">
        <f t="shared" si="167"/>
        <v/>
      </c>
      <c r="L1207" s="2" t="str">
        <f t="shared" si="168"/>
        <v/>
      </c>
      <c r="N1207" s="10" t="str">
        <f t="shared" si="169"/>
        <v/>
      </c>
      <c r="O1207" s="2">
        <f t="shared" si="170"/>
        <v>45253</v>
      </c>
      <c r="P1207" s="2">
        <v>45260.706643518519</v>
      </c>
      <c r="Q1207" s="2">
        <f t="shared" si="171"/>
        <v>45259</v>
      </c>
      <c r="R1207" s="2">
        <v>45342.712881944448</v>
      </c>
      <c r="S1207">
        <f t="shared" si="172"/>
        <v>83</v>
      </c>
      <c r="T1207" s="2">
        <f t="shared" si="173"/>
        <v>45259</v>
      </c>
      <c r="U1207" t="str">
        <f t="shared" si="174"/>
        <v>ATRASO</v>
      </c>
    </row>
    <row r="1208" spans="1:21">
      <c r="A1208" s="1">
        <v>15474</v>
      </c>
      <c r="B1208" t="s">
        <v>20</v>
      </c>
      <c r="C1208" t="s">
        <v>13</v>
      </c>
      <c r="D1208" t="s">
        <v>18</v>
      </c>
      <c r="E1208" s="1">
        <v>3452</v>
      </c>
      <c r="F1208" s="1">
        <v>2023</v>
      </c>
      <c r="G1208" t="s">
        <v>11</v>
      </c>
      <c r="H1208" s="2">
        <v>45247.708379629628</v>
      </c>
      <c r="I1208" s="9">
        <f t="shared" si="166"/>
        <v>45253</v>
      </c>
      <c r="J1208" s="2" t="str">
        <f t="shared" si="167"/>
        <v/>
      </c>
      <c r="L1208" s="2" t="str">
        <f t="shared" si="168"/>
        <v/>
      </c>
      <c r="N1208" s="10" t="str">
        <f t="shared" si="169"/>
        <v/>
      </c>
      <c r="O1208" s="2">
        <f t="shared" si="170"/>
        <v>45253</v>
      </c>
      <c r="P1208" s="2">
        <v>45260.704363425924</v>
      </c>
      <c r="Q1208" s="2">
        <f t="shared" si="171"/>
        <v>45259</v>
      </c>
      <c r="R1208" s="2">
        <v>45348.554155092592</v>
      </c>
      <c r="S1208">
        <f t="shared" si="172"/>
        <v>89</v>
      </c>
      <c r="T1208" s="2">
        <f t="shared" si="173"/>
        <v>45259</v>
      </c>
      <c r="U1208" t="str">
        <f t="shared" si="174"/>
        <v>ATRASO</v>
      </c>
    </row>
    <row r="1209" spans="1:21">
      <c r="A1209" s="1">
        <v>15473</v>
      </c>
      <c r="B1209" t="s">
        <v>20</v>
      </c>
      <c r="C1209" t="s">
        <v>13</v>
      </c>
      <c r="D1209" t="s">
        <v>18</v>
      </c>
      <c r="E1209" s="1">
        <v>3451</v>
      </c>
      <c r="F1209" s="1">
        <v>2023</v>
      </c>
      <c r="G1209" t="s">
        <v>11</v>
      </c>
      <c r="H1209" s="2">
        <v>45247.708379629628</v>
      </c>
      <c r="I1209" s="9">
        <f t="shared" si="166"/>
        <v>45253</v>
      </c>
      <c r="J1209" s="2" t="str">
        <f t="shared" si="167"/>
        <v/>
      </c>
      <c r="L1209" s="2" t="str">
        <f t="shared" si="168"/>
        <v/>
      </c>
      <c r="N1209" s="10" t="str">
        <f t="shared" si="169"/>
        <v/>
      </c>
      <c r="O1209" s="2">
        <f t="shared" si="170"/>
        <v>45253</v>
      </c>
      <c r="P1209" s="2">
        <v>45260.491030092591</v>
      </c>
      <c r="Q1209" s="2">
        <f t="shared" si="171"/>
        <v>45259</v>
      </c>
      <c r="R1209" s="2">
        <v>45260.491226851853</v>
      </c>
      <c r="S1209">
        <f t="shared" si="172"/>
        <v>1</v>
      </c>
      <c r="T1209" s="2">
        <f t="shared" si="173"/>
        <v>45259</v>
      </c>
      <c r="U1209" t="str">
        <f t="shared" si="174"/>
        <v>ATRASO</v>
      </c>
    </row>
    <row r="1210" spans="1:21" hidden="1">
      <c r="A1210" s="1">
        <v>15470</v>
      </c>
      <c r="B1210" t="s">
        <v>20</v>
      </c>
      <c r="C1210" t="s">
        <v>13</v>
      </c>
      <c r="D1210" t="s">
        <v>18</v>
      </c>
      <c r="E1210" s="1">
        <v>3448</v>
      </c>
      <c r="F1210" s="1">
        <v>2023</v>
      </c>
      <c r="G1210" t="s">
        <v>11</v>
      </c>
      <c r="H1210" s="2">
        <v>45247.666759259257</v>
      </c>
      <c r="I1210" s="9">
        <f t="shared" si="166"/>
        <v>45253</v>
      </c>
      <c r="J1210" s="2" t="str">
        <f t="shared" si="167"/>
        <v/>
      </c>
      <c r="L1210" s="2" t="str">
        <f t="shared" si="168"/>
        <v/>
      </c>
      <c r="N1210" s="10" t="str">
        <f t="shared" si="169"/>
        <v/>
      </c>
      <c r="O1210" s="2">
        <f t="shared" si="170"/>
        <v>45253</v>
      </c>
      <c r="P1210" s="2">
        <v>45257.708252314813</v>
      </c>
      <c r="Q1210" s="2">
        <f t="shared" si="171"/>
        <v>45259</v>
      </c>
      <c r="R1210" s="2">
        <v>45259.674861111111</v>
      </c>
      <c r="S1210">
        <f t="shared" si="172"/>
        <v>0</v>
      </c>
      <c r="T1210" s="2">
        <f t="shared" si="173"/>
        <v>45259</v>
      </c>
      <c r="U1210" t="str">
        <f t="shared" si="174"/>
        <v>NO PRAZO</v>
      </c>
    </row>
    <row r="1211" spans="1:21" hidden="1">
      <c r="A1211" s="1">
        <v>15456</v>
      </c>
      <c r="B1211" t="s">
        <v>12</v>
      </c>
      <c r="C1211" t="s">
        <v>13</v>
      </c>
      <c r="D1211" t="s">
        <v>18</v>
      </c>
      <c r="E1211" s="1">
        <v>3434</v>
      </c>
      <c r="F1211" s="1">
        <v>2023</v>
      </c>
      <c r="G1211" t="s">
        <v>11</v>
      </c>
      <c r="H1211" s="2">
        <v>45246.666759259257</v>
      </c>
      <c r="I1211" s="9">
        <f t="shared" si="166"/>
        <v>45252</v>
      </c>
      <c r="J1211" s="2" t="str">
        <f t="shared" si="167"/>
        <v/>
      </c>
      <c r="L1211" s="2" t="str">
        <f t="shared" si="168"/>
        <v/>
      </c>
      <c r="N1211" s="10" t="str">
        <f t="shared" si="169"/>
        <v/>
      </c>
      <c r="O1211" s="2">
        <f t="shared" si="170"/>
        <v>45252</v>
      </c>
      <c r="P1211" s="2">
        <v>45258.7268287037</v>
      </c>
      <c r="Q1211" s="2">
        <f t="shared" si="171"/>
        <v>45258</v>
      </c>
      <c r="R1211" s="2">
        <v>45258.727025462962</v>
      </c>
      <c r="S1211">
        <f t="shared" si="172"/>
        <v>0</v>
      </c>
      <c r="T1211" s="2">
        <f t="shared" si="173"/>
        <v>45258</v>
      </c>
      <c r="U1211" t="str">
        <f t="shared" si="174"/>
        <v>NO PRAZO</v>
      </c>
    </row>
    <row r="1212" spans="1:21">
      <c r="A1212" s="1">
        <v>15455</v>
      </c>
      <c r="B1212" t="s">
        <v>20</v>
      </c>
      <c r="C1212" t="s">
        <v>13</v>
      </c>
      <c r="D1212" t="s">
        <v>10</v>
      </c>
      <c r="E1212" s="1">
        <v>3433</v>
      </c>
      <c r="F1212" s="1">
        <v>2023</v>
      </c>
      <c r="G1212" t="s">
        <v>11</v>
      </c>
      <c r="H1212" s="2">
        <v>45246.666759259257</v>
      </c>
      <c r="I1212" s="9">
        <f t="shared" si="166"/>
        <v>45247</v>
      </c>
      <c r="J1212" s="2" t="str">
        <f t="shared" si="167"/>
        <v/>
      </c>
      <c r="L1212" s="2" t="str">
        <f t="shared" si="168"/>
        <v/>
      </c>
      <c r="N1212" s="10" t="str">
        <f t="shared" si="169"/>
        <v/>
      </c>
      <c r="O1212" s="2">
        <f t="shared" si="170"/>
        <v>45247</v>
      </c>
      <c r="P1212" s="2">
        <v>45257.715150462966</v>
      </c>
      <c r="Q1212" s="2">
        <f t="shared" si="171"/>
        <v>45251</v>
      </c>
      <c r="R1212" s="2">
        <v>45260.690949074073</v>
      </c>
      <c r="S1212">
        <f t="shared" si="172"/>
        <v>9</v>
      </c>
      <c r="T1212" s="2">
        <f t="shared" si="173"/>
        <v>45251</v>
      </c>
      <c r="U1212" t="str">
        <f t="shared" si="174"/>
        <v>ATRASO</v>
      </c>
    </row>
    <row r="1213" spans="1:21">
      <c r="A1213" s="1">
        <v>15449</v>
      </c>
      <c r="B1213" t="s">
        <v>8</v>
      </c>
      <c r="C1213" t="s">
        <v>9</v>
      </c>
      <c r="D1213" t="s">
        <v>10</v>
      </c>
      <c r="E1213" s="1">
        <v>3427</v>
      </c>
      <c r="F1213" s="1">
        <v>2023</v>
      </c>
      <c r="G1213" t="s">
        <v>11</v>
      </c>
      <c r="H1213" s="2">
        <v>45246.625104166669</v>
      </c>
      <c r="I1213" s="9">
        <f t="shared" si="166"/>
        <v>45247</v>
      </c>
      <c r="J1213" s="2" t="str">
        <f t="shared" si="167"/>
        <v/>
      </c>
      <c r="L1213" s="2" t="str">
        <f t="shared" si="168"/>
        <v/>
      </c>
      <c r="N1213" s="10" t="str">
        <f t="shared" si="169"/>
        <v/>
      </c>
      <c r="O1213" s="2">
        <f t="shared" si="170"/>
        <v>45247</v>
      </c>
      <c r="P1213" s="2">
        <v>45259.413321759261</v>
      </c>
      <c r="Q1213" s="2">
        <f t="shared" si="171"/>
        <v>45251</v>
      </c>
      <c r="R1213" s="2">
        <v>45259.520243055558</v>
      </c>
      <c r="S1213">
        <f t="shared" si="172"/>
        <v>8</v>
      </c>
      <c r="T1213" s="2">
        <f t="shared" si="173"/>
        <v>45251</v>
      </c>
      <c r="U1213" t="str">
        <f t="shared" si="174"/>
        <v>ATRASO</v>
      </c>
    </row>
    <row r="1214" spans="1:21">
      <c r="A1214" s="1">
        <v>15442</v>
      </c>
      <c r="B1214" t="s">
        <v>8</v>
      </c>
      <c r="C1214" t="s">
        <v>9</v>
      </c>
      <c r="D1214" t="s">
        <v>10</v>
      </c>
      <c r="E1214" s="1">
        <v>3420</v>
      </c>
      <c r="F1214" s="1">
        <v>2023</v>
      </c>
      <c r="G1214" t="s">
        <v>11</v>
      </c>
      <c r="H1214" s="2">
        <v>45244.833449074074</v>
      </c>
      <c r="I1214" s="9">
        <f t="shared" si="166"/>
        <v>45246</v>
      </c>
      <c r="J1214" s="2" t="str">
        <f t="shared" si="167"/>
        <v/>
      </c>
      <c r="L1214" s="2" t="str">
        <f t="shared" si="168"/>
        <v/>
      </c>
      <c r="N1214" s="10" t="str">
        <f t="shared" si="169"/>
        <v/>
      </c>
      <c r="O1214" s="2">
        <f t="shared" si="170"/>
        <v>45246</v>
      </c>
      <c r="P1214" s="2">
        <v>45258.794363425928</v>
      </c>
      <c r="Q1214" s="2">
        <f t="shared" si="171"/>
        <v>45247</v>
      </c>
      <c r="R1214" s="2">
        <v>45259.52034722222</v>
      </c>
      <c r="S1214">
        <f t="shared" si="172"/>
        <v>12</v>
      </c>
      <c r="T1214" s="2">
        <f t="shared" si="173"/>
        <v>45247</v>
      </c>
      <c r="U1214" t="str">
        <f t="shared" si="174"/>
        <v>ATRASO</v>
      </c>
    </row>
    <row r="1215" spans="1:21">
      <c r="A1215" s="1">
        <v>15441</v>
      </c>
      <c r="B1215" t="s">
        <v>8</v>
      </c>
      <c r="C1215" t="s">
        <v>9</v>
      </c>
      <c r="D1215" t="s">
        <v>18</v>
      </c>
      <c r="E1215" s="1">
        <v>3419</v>
      </c>
      <c r="F1215" s="1">
        <v>2023</v>
      </c>
      <c r="G1215" t="s">
        <v>11</v>
      </c>
      <c r="H1215" s="2">
        <v>45244.708391203705</v>
      </c>
      <c r="I1215" s="9">
        <f t="shared" si="166"/>
        <v>45251</v>
      </c>
      <c r="J1215" s="2" t="str">
        <f t="shared" si="167"/>
        <v/>
      </c>
      <c r="L1215" s="2" t="str">
        <f t="shared" si="168"/>
        <v/>
      </c>
      <c r="N1215" s="10" t="str">
        <f t="shared" si="169"/>
        <v/>
      </c>
      <c r="O1215" s="2">
        <f t="shared" si="170"/>
        <v>45251</v>
      </c>
      <c r="P1215" s="2">
        <v>45266.436180555553</v>
      </c>
      <c r="Q1215" s="2">
        <f t="shared" si="171"/>
        <v>45257</v>
      </c>
      <c r="R1215" s="2">
        <v>45272.438217592593</v>
      </c>
      <c r="S1215">
        <f t="shared" si="172"/>
        <v>15</v>
      </c>
      <c r="T1215" s="2">
        <f t="shared" si="173"/>
        <v>45257</v>
      </c>
      <c r="U1215" t="str">
        <f t="shared" si="174"/>
        <v>ATRASO</v>
      </c>
    </row>
    <row r="1216" spans="1:21">
      <c r="A1216" s="1">
        <v>15437</v>
      </c>
      <c r="B1216" t="s">
        <v>12</v>
      </c>
      <c r="C1216" t="s">
        <v>13</v>
      </c>
      <c r="D1216" t="s">
        <v>18</v>
      </c>
      <c r="E1216" s="1">
        <v>3415</v>
      </c>
      <c r="F1216" s="1">
        <v>2023</v>
      </c>
      <c r="G1216" t="s">
        <v>11</v>
      </c>
      <c r="H1216" s="2">
        <v>45244.500115740739</v>
      </c>
      <c r="I1216" s="9">
        <f t="shared" ref="I1216:I1279" si="175">IF(OR(D1216="ORIENTAÇÃO",D1216="BUG IMPEDITIVO",D1216="BUG NÃO IMPEDITIVO"),WORKDAY(H1216,1,Z$2:Z$500),IF(OR(D1216="MELHORIA PEQUENA",D1216="MELHORIA MÉDIA"),WORKDAY(H1216,3,Z$2:Z$500),""))</f>
        <v>45251</v>
      </c>
      <c r="J1216" s="2" t="str">
        <f t="shared" si="167"/>
        <v/>
      </c>
      <c r="L1216" s="2" t="str">
        <f t="shared" si="168"/>
        <v/>
      </c>
      <c r="N1216" s="10" t="str">
        <f t="shared" si="169"/>
        <v/>
      </c>
      <c r="O1216" s="2">
        <f t="shared" si="170"/>
        <v>45251</v>
      </c>
      <c r="P1216" s="2">
        <v>45258.648518518516</v>
      </c>
      <c r="Q1216" s="2">
        <f t="shared" si="171"/>
        <v>45257</v>
      </c>
      <c r="R1216" s="2">
        <v>45258.662210648145</v>
      </c>
      <c r="S1216">
        <f t="shared" si="172"/>
        <v>1</v>
      </c>
      <c r="T1216" s="2">
        <f t="shared" si="173"/>
        <v>45257</v>
      </c>
      <c r="U1216" t="str">
        <f t="shared" si="174"/>
        <v>ATRASO</v>
      </c>
    </row>
    <row r="1217" spans="1:21">
      <c r="A1217" s="1">
        <v>15428</v>
      </c>
      <c r="B1217" t="s">
        <v>12</v>
      </c>
      <c r="C1217" t="s">
        <v>13</v>
      </c>
      <c r="D1217" t="s">
        <v>18</v>
      </c>
      <c r="E1217" s="1">
        <v>3406</v>
      </c>
      <c r="F1217" s="1">
        <v>2023</v>
      </c>
      <c r="G1217" t="s">
        <v>11</v>
      </c>
      <c r="H1217" s="2">
        <v>45243.666724537034</v>
      </c>
      <c r="I1217" s="9">
        <f t="shared" si="175"/>
        <v>45247</v>
      </c>
      <c r="J1217" s="2" t="str">
        <f t="shared" si="167"/>
        <v/>
      </c>
      <c r="L1217" s="2" t="str">
        <f t="shared" si="168"/>
        <v/>
      </c>
      <c r="N1217" s="10" t="str">
        <f t="shared" si="169"/>
        <v/>
      </c>
      <c r="O1217" s="2">
        <f t="shared" si="170"/>
        <v>45247</v>
      </c>
      <c r="P1217" s="2">
        <v>45254.647974537038</v>
      </c>
      <c r="Q1217" s="2">
        <f t="shared" si="171"/>
        <v>45254</v>
      </c>
      <c r="R1217" s="2">
        <v>45258.402650462966</v>
      </c>
      <c r="S1217">
        <f t="shared" si="172"/>
        <v>4</v>
      </c>
      <c r="T1217" s="2">
        <f t="shared" si="173"/>
        <v>45254</v>
      </c>
      <c r="U1217" t="str">
        <f t="shared" si="174"/>
        <v>ATRASO</v>
      </c>
    </row>
    <row r="1218" spans="1:21" hidden="1">
      <c r="A1218" s="1">
        <v>15425</v>
      </c>
      <c r="B1218" t="s">
        <v>24</v>
      </c>
      <c r="C1218" t="s">
        <v>13</v>
      </c>
      <c r="D1218" t="s">
        <v>14</v>
      </c>
      <c r="E1218" s="1">
        <v>3403</v>
      </c>
      <c r="F1218" s="1">
        <v>2023</v>
      </c>
      <c r="G1218" t="s">
        <v>11</v>
      </c>
      <c r="H1218" s="2">
        <v>45243.458425925928</v>
      </c>
      <c r="I1218" s="9">
        <f t="shared" si="175"/>
        <v>45244</v>
      </c>
      <c r="J1218" s="2" t="str">
        <f t="shared" si="167"/>
        <v/>
      </c>
      <c r="L1218" s="2" t="str">
        <f t="shared" si="168"/>
        <v/>
      </c>
      <c r="N1218" s="10" t="str">
        <f t="shared" si="169"/>
        <v/>
      </c>
      <c r="O1218" s="2">
        <f t="shared" si="170"/>
        <v>45244</v>
      </c>
      <c r="P1218" s="2">
        <v>45246.413356481484</v>
      </c>
      <c r="Q1218" s="2">
        <f t="shared" si="171"/>
        <v>45246</v>
      </c>
      <c r="R1218" s="2">
        <v>45246.422303240739</v>
      </c>
      <c r="S1218">
        <f t="shared" si="172"/>
        <v>0</v>
      </c>
      <c r="T1218" s="2">
        <f t="shared" si="173"/>
        <v>45246</v>
      </c>
      <c r="U1218" t="str">
        <f t="shared" si="174"/>
        <v>NO PRAZO</v>
      </c>
    </row>
    <row r="1219" spans="1:21" hidden="1">
      <c r="A1219" s="1">
        <v>15421</v>
      </c>
      <c r="B1219" t="s">
        <v>12</v>
      </c>
      <c r="C1219" t="s">
        <v>13</v>
      </c>
      <c r="D1219" t="s">
        <v>18</v>
      </c>
      <c r="E1219" s="1">
        <v>3399</v>
      </c>
      <c r="F1219" s="1">
        <v>2023</v>
      </c>
      <c r="G1219" t="s">
        <v>11</v>
      </c>
      <c r="H1219" s="2">
        <v>45240.666770833333</v>
      </c>
      <c r="I1219" s="9">
        <f t="shared" si="175"/>
        <v>45246</v>
      </c>
      <c r="J1219" s="2" t="str">
        <f t="shared" ref="J1219:J1282" si="176">IF(K1219&lt;&gt;"",I1219,"")</f>
        <v/>
      </c>
      <c r="L1219" s="2" t="str">
        <f t="shared" ref="L1219:L1282" si="177">IF(J1219="","",WORKDAY(J1219,14,Z$2:Z$500))</f>
        <v/>
      </c>
      <c r="N1219" s="10" t="str">
        <f t="shared" ref="N1219:N1282" si="178">IF(M1219="","",MAX(0,INT(M1219)-INT(L1219)))</f>
        <v/>
      </c>
      <c r="O1219" s="2">
        <f t="shared" ref="O1219:O1282" si="179">IF(L1219="",I1219,WORKDAY(L1219,1,Z$2:Z$500))</f>
        <v>45246</v>
      </c>
      <c r="P1219" s="2">
        <v>45243.640462962961</v>
      </c>
      <c r="Q1219" s="2">
        <f t="shared" ref="Q1219:Q1282" si="180">IF(OR(D1219="ORIENTAÇÃO",D1219="BUG IMPEDITIVO"),WORKDAY(O1219,1,Z$2:Z$500),IF(OR(D1219="MELHORIA PEQUENA",D1219="BUG NÃO IMPEDITIVO"),WORKDAY(O1219,4,Z$2:Z$500),IF(D1219="MELHORIA MÉDIA",WORKDAY(O1219,19,Z$2:Z$500),"")))</f>
        <v>45253</v>
      </c>
      <c r="R1219" s="2">
        <v>45243.640706018516</v>
      </c>
      <c r="S1219">
        <f t="shared" ref="S1219:S1282" si="181">MAX(0,INT(R1219)-INT(Q1219))</f>
        <v>0</v>
      </c>
      <c r="T1219" s="2">
        <f t="shared" ref="T1219:T1282" si="182">IF(D1219="MELHORIA MÉDIA",IF(K1219&lt;&gt;"",WORKDAY(I1219,34,$Z$2:$Z$1000),WORKDAY(I1219,19,$Z$2:$Z$1000)),IF(OR(D1219="MELHORIA PEQUENA",D1219="BUG NÃO IMPEDITIVO"),WORKDAY(I1219,4,$Z$2:$Z$1000),IF(OR(D1219="ORIENTAÇÃO",D1219="BUG IMPEDITIVO"),WORKDAY(I1219,1,$Z$2:$Z$1000),"")))</f>
        <v>45253</v>
      </c>
      <c r="U1219" t="str">
        <f t="shared" ref="U1219:U1282" si="183">IF(INT(R1219)&lt;=INT(T1219),"NO PRAZO","ATRASO")</f>
        <v>NO PRAZO</v>
      </c>
    </row>
    <row r="1220" spans="1:21">
      <c r="A1220" s="1">
        <v>15419</v>
      </c>
      <c r="B1220" t="s">
        <v>20</v>
      </c>
      <c r="C1220" t="s">
        <v>13</v>
      </c>
      <c r="D1220" t="s">
        <v>18</v>
      </c>
      <c r="E1220" s="1">
        <v>3397</v>
      </c>
      <c r="F1220" s="1">
        <v>2023</v>
      </c>
      <c r="G1220" t="s">
        <v>11</v>
      </c>
      <c r="H1220" s="2">
        <v>45240.583437499998</v>
      </c>
      <c r="I1220" s="9">
        <f t="shared" si="175"/>
        <v>45246</v>
      </c>
      <c r="J1220" s="2" t="str">
        <f t="shared" si="176"/>
        <v/>
      </c>
      <c r="L1220" s="2" t="str">
        <f t="shared" si="177"/>
        <v/>
      </c>
      <c r="N1220" s="10" t="str">
        <f t="shared" si="178"/>
        <v/>
      </c>
      <c r="O1220" s="2">
        <f t="shared" si="179"/>
        <v>45246</v>
      </c>
      <c r="P1220" s="2">
        <v>45254.610914351855</v>
      </c>
      <c r="Q1220" s="2">
        <f t="shared" si="180"/>
        <v>45253</v>
      </c>
      <c r="R1220" s="2">
        <v>45265.430219907408</v>
      </c>
      <c r="S1220">
        <f t="shared" si="181"/>
        <v>12</v>
      </c>
      <c r="T1220" s="2">
        <f t="shared" si="182"/>
        <v>45253</v>
      </c>
      <c r="U1220" t="str">
        <f t="shared" si="183"/>
        <v>ATRASO</v>
      </c>
    </row>
    <row r="1221" spans="1:21" hidden="1">
      <c r="A1221" s="1">
        <v>15416</v>
      </c>
      <c r="B1221" t="s">
        <v>22</v>
      </c>
      <c r="C1221" t="s">
        <v>13</v>
      </c>
      <c r="D1221" t="s">
        <v>18</v>
      </c>
      <c r="E1221" s="1">
        <v>3394</v>
      </c>
      <c r="F1221" s="1">
        <v>2023</v>
      </c>
      <c r="G1221" t="s">
        <v>11</v>
      </c>
      <c r="H1221" s="2">
        <v>45240.375115740739</v>
      </c>
      <c r="I1221" s="9">
        <f t="shared" si="175"/>
        <v>45246</v>
      </c>
      <c r="J1221" s="2" t="str">
        <f t="shared" si="176"/>
        <v/>
      </c>
      <c r="L1221" s="2" t="str">
        <f t="shared" si="177"/>
        <v/>
      </c>
      <c r="N1221" s="10" t="str">
        <f t="shared" si="178"/>
        <v/>
      </c>
      <c r="O1221" s="2">
        <f t="shared" si="179"/>
        <v>45246</v>
      </c>
      <c r="P1221" s="2">
        <v>45240.648865740739</v>
      </c>
      <c r="Q1221" s="2">
        <f t="shared" si="180"/>
        <v>45253</v>
      </c>
      <c r="R1221" s="2">
        <v>45240.728113425925</v>
      </c>
      <c r="S1221">
        <f t="shared" si="181"/>
        <v>0</v>
      </c>
      <c r="T1221" s="2">
        <f t="shared" si="182"/>
        <v>45253</v>
      </c>
      <c r="U1221" t="str">
        <f t="shared" si="183"/>
        <v>NO PRAZO</v>
      </c>
    </row>
    <row r="1222" spans="1:21" hidden="1">
      <c r="A1222" s="1">
        <v>15415</v>
      </c>
      <c r="B1222" t="s">
        <v>12</v>
      </c>
      <c r="C1222" t="s">
        <v>13</v>
      </c>
      <c r="D1222" t="s">
        <v>18</v>
      </c>
      <c r="E1222" s="1">
        <v>3393</v>
      </c>
      <c r="F1222" s="1">
        <v>2023</v>
      </c>
      <c r="G1222" t="s">
        <v>11</v>
      </c>
      <c r="H1222" s="2">
        <v>45239.833518518521</v>
      </c>
      <c r="I1222" s="9">
        <f t="shared" si="175"/>
        <v>45244</v>
      </c>
      <c r="J1222" s="2" t="str">
        <f t="shared" si="176"/>
        <v/>
      </c>
      <c r="L1222" s="2" t="str">
        <f t="shared" si="177"/>
        <v/>
      </c>
      <c r="N1222" s="10" t="str">
        <f t="shared" si="178"/>
        <v/>
      </c>
      <c r="O1222" s="2">
        <f t="shared" si="179"/>
        <v>45244</v>
      </c>
      <c r="P1222" s="2">
        <v>45243.640046296299</v>
      </c>
      <c r="Q1222" s="2">
        <f t="shared" si="180"/>
        <v>45252</v>
      </c>
      <c r="R1222" s="2">
        <v>45243.640844907408</v>
      </c>
      <c r="S1222">
        <f t="shared" si="181"/>
        <v>0</v>
      </c>
      <c r="T1222" s="2">
        <f t="shared" si="182"/>
        <v>45252</v>
      </c>
      <c r="U1222" t="str">
        <f t="shared" si="183"/>
        <v>NO PRAZO</v>
      </c>
    </row>
    <row r="1223" spans="1:21" hidden="1">
      <c r="A1223" s="1">
        <v>15410</v>
      </c>
      <c r="B1223" t="s">
        <v>20</v>
      </c>
      <c r="C1223" t="s">
        <v>13</v>
      </c>
      <c r="D1223" t="s">
        <v>18</v>
      </c>
      <c r="E1223" s="1">
        <v>3388</v>
      </c>
      <c r="F1223" s="1">
        <v>2023</v>
      </c>
      <c r="G1223" t="s">
        <v>11</v>
      </c>
      <c r="H1223" s="2">
        <v>45239.66684027778</v>
      </c>
      <c r="I1223" s="9">
        <f t="shared" si="175"/>
        <v>45244</v>
      </c>
      <c r="J1223" s="2" t="str">
        <f t="shared" si="176"/>
        <v/>
      </c>
      <c r="L1223" s="2" t="str">
        <f t="shared" si="177"/>
        <v/>
      </c>
      <c r="N1223" s="10" t="str">
        <f t="shared" si="178"/>
        <v/>
      </c>
      <c r="O1223" s="2">
        <f t="shared" si="179"/>
        <v>45244</v>
      </c>
      <c r="P1223" s="2">
        <v>45246.688402777778</v>
      </c>
      <c r="Q1223" s="2">
        <f t="shared" si="180"/>
        <v>45252</v>
      </c>
      <c r="R1223" s="2">
        <v>45246.688518518517</v>
      </c>
      <c r="S1223">
        <f t="shared" si="181"/>
        <v>0</v>
      </c>
      <c r="T1223" s="2">
        <f t="shared" si="182"/>
        <v>45252</v>
      </c>
      <c r="U1223" t="str">
        <f t="shared" si="183"/>
        <v>NO PRAZO</v>
      </c>
    </row>
    <row r="1224" spans="1:21" hidden="1">
      <c r="A1224" s="1">
        <v>15408</v>
      </c>
      <c r="B1224" t="s">
        <v>24</v>
      </c>
      <c r="C1224" t="s">
        <v>13</v>
      </c>
      <c r="D1224" t="s">
        <v>14</v>
      </c>
      <c r="E1224" s="1">
        <v>3386</v>
      </c>
      <c r="F1224" s="1">
        <v>2023</v>
      </c>
      <c r="G1224" t="s">
        <v>11</v>
      </c>
      <c r="H1224" s="2">
        <v>45239.625173611108</v>
      </c>
      <c r="I1224" s="9">
        <f t="shared" si="175"/>
        <v>45240</v>
      </c>
      <c r="J1224" s="2" t="str">
        <f t="shared" si="176"/>
        <v/>
      </c>
      <c r="L1224" s="2" t="str">
        <f t="shared" si="177"/>
        <v/>
      </c>
      <c r="N1224" s="10" t="str">
        <f t="shared" si="178"/>
        <v/>
      </c>
      <c r="O1224" s="2">
        <f t="shared" si="179"/>
        <v>45240</v>
      </c>
      <c r="P1224" s="2">
        <v>45240.503703703704</v>
      </c>
      <c r="Q1224" s="2">
        <f t="shared" si="180"/>
        <v>45243</v>
      </c>
      <c r="R1224" s="2">
        <v>45240.73537037037</v>
      </c>
      <c r="S1224">
        <f t="shared" si="181"/>
        <v>0</v>
      </c>
      <c r="T1224" s="2">
        <f t="shared" si="182"/>
        <v>45243</v>
      </c>
      <c r="U1224" t="str">
        <f t="shared" si="183"/>
        <v>NO PRAZO</v>
      </c>
    </row>
    <row r="1225" spans="1:21" hidden="1">
      <c r="A1225" s="1">
        <v>15407</v>
      </c>
      <c r="B1225" t="s">
        <v>24</v>
      </c>
      <c r="C1225" t="s">
        <v>13</v>
      </c>
      <c r="D1225" t="s">
        <v>14</v>
      </c>
      <c r="E1225" s="1">
        <v>3385</v>
      </c>
      <c r="F1225" s="1">
        <v>2023</v>
      </c>
      <c r="G1225" t="s">
        <v>11</v>
      </c>
      <c r="H1225" s="2">
        <v>45239.625173611108</v>
      </c>
      <c r="I1225" s="9">
        <f t="shared" si="175"/>
        <v>45240</v>
      </c>
      <c r="J1225" s="2" t="str">
        <f t="shared" si="176"/>
        <v/>
      </c>
      <c r="L1225" s="2" t="str">
        <f t="shared" si="177"/>
        <v/>
      </c>
      <c r="N1225" s="10" t="str">
        <f t="shared" si="178"/>
        <v/>
      </c>
      <c r="O1225" s="2">
        <f t="shared" si="179"/>
        <v>45240</v>
      </c>
      <c r="P1225" s="2">
        <v>45240.503229166665</v>
      </c>
      <c r="Q1225" s="2">
        <f t="shared" si="180"/>
        <v>45243</v>
      </c>
      <c r="R1225" s="2">
        <v>45240.735115740739</v>
      </c>
      <c r="S1225">
        <f t="shared" si="181"/>
        <v>0</v>
      </c>
      <c r="T1225" s="2">
        <f t="shared" si="182"/>
        <v>45243</v>
      </c>
      <c r="U1225" t="str">
        <f t="shared" si="183"/>
        <v>NO PRAZO</v>
      </c>
    </row>
    <row r="1226" spans="1:21" hidden="1">
      <c r="A1226" s="1">
        <v>15398</v>
      </c>
      <c r="B1226" t="s">
        <v>20</v>
      </c>
      <c r="C1226" t="s">
        <v>13</v>
      </c>
      <c r="D1226" t="s">
        <v>18</v>
      </c>
      <c r="E1226" s="1">
        <v>3376</v>
      </c>
      <c r="F1226" s="1">
        <v>2023</v>
      </c>
      <c r="G1226" t="s">
        <v>11</v>
      </c>
      <c r="H1226" s="2">
        <v>45239.458495370367</v>
      </c>
      <c r="I1226" s="9">
        <f t="shared" si="175"/>
        <v>45244</v>
      </c>
      <c r="J1226" s="2" t="str">
        <f t="shared" si="176"/>
        <v/>
      </c>
      <c r="L1226" s="2" t="str">
        <f t="shared" si="177"/>
        <v/>
      </c>
      <c r="N1226" s="10" t="str">
        <f t="shared" si="178"/>
        <v/>
      </c>
      <c r="O1226" s="2">
        <f t="shared" si="179"/>
        <v>45244</v>
      </c>
      <c r="P1226" s="2">
        <v>45244.441770833335</v>
      </c>
      <c r="Q1226" s="2">
        <f t="shared" si="180"/>
        <v>45252</v>
      </c>
      <c r="R1226" s="2">
        <v>45244.442025462966</v>
      </c>
      <c r="S1226">
        <f t="shared" si="181"/>
        <v>0</v>
      </c>
      <c r="T1226" s="2">
        <f t="shared" si="182"/>
        <v>45252</v>
      </c>
      <c r="U1226" t="str">
        <f t="shared" si="183"/>
        <v>NO PRAZO</v>
      </c>
    </row>
    <row r="1227" spans="1:21" hidden="1">
      <c r="A1227" s="1">
        <v>15388</v>
      </c>
      <c r="B1227" t="s">
        <v>24</v>
      </c>
      <c r="C1227" t="s">
        <v>13</v>
      </c>
      <c r="D1227" t="s">
        <v>14</v>
      </c>
      <c r="E1227" s="1">
        <v>3366</v>
      </c>
      <c r="F1227" s="1">
        <v>2023</v>
      </c>
      <c r="G1227" t="s">
        <v>11</v>
      </c>
      <c r="H1227" s="2">
        <v>45238.583495370367</v>
      </c>
      <c r="I1227" s="9">
        <f t="shared" si="175"/>
        <v>45239</v>
      </c>
      <c r="J1227" s="2" t="str">
        <f t="shared" si="176"/>
        <v/>
      </c>
      <c r="L1227" s="2" t="str">
        <f t="shared" si="177"/>
        <v/>
      </c>
      <c r="N1227" s="10" t="str">
        <f t="shared" si="178"/>
        <v/>
      </c>
      <c r="O1227" s="2">
        <f t="shared" si="179"/>
        <v>45239</v>
      </c>
      <c r="P1227" s="2">
        <v>45240.415960648148</v>
      </c>
      <c r="Q1227" s="2">
        <f t="shared" si="180"/>
        <v>45240</v>
      </c>
      <c r="R1227" s="2">
        <v>45240.416539351849</v>
      </c>
      <c r="S1227">
        <f t="shared" si="181"/>
        <v>0</v>
      </c>
      <c r="T1227" s="2">
        <f t="shared" si="182"/>
        <v>45240</v>
      </c>
      <c r="U1227" t="str">
        <f t="shared" si="183"/>
        <v>NO PRAZO</v>
      </c>
    </row>
    <row r="1228" spans="1:21" hidden="1">
      <c r="A1228" s="1">
        <v>15387</v>
      </c>
      <c r="B1228" t="s">
        <v>24</v>
      </c>
      <c r="C1228" t="s">
        <v>13</v>
      </c>
      <c r="D1228" t="s">
        <v>14</v>
      </c>
      <c r="E1228" s="1">
        <v>3365</v>
      </c>
      <c r="F1228" s="1">
        <v>2023</v>
      </c>
      <c r="G1228" t="s">
        <v>11</v>
      </c>
      <c r="H1228" s="2">
        <v>45238.500173611108</v>
      </c>
      <c r="I1228" s="9">
        <f t="shared" si="175"/>
        <v>45239</v>
      </c>
      <c r="J1228" s="2" t="str">
        <f t="shared" si="176"/>
        <v/>
      </c>
      <c r="L1228" s="2" t="str">
        <f t="shared" si="177"/>
        <v/>
      </c>
      <c r="N1228" s="10" t="str">
        <f t="shared" si="178"/>
        <v/>
      </c>
      <c r="O1228" s="2">
        <f t="shared" si="179"/>
        <v>45239</v>
      </c>
      <c r="P1228" s="2">
        <v>45240.413819444446</v>
      </c>
      <c r="Q1228" s="2">
        <f t="shared" si="180"/>
        <v>45240</v>
      </c>
      <c r="R1228" s="2">
        <v>45240.415567129632</v>
      </c>
      <c r="S1228">
        <f t="shared" si="181"/>
        <v>0</v>
      </c>
      <c r="T1228" s="2">
        <f t="shared" si="182"/>
        <v>45240</v>
      </c>
      <c r="U1228" t="str">
        <f t="shared" si="183"/>
        <v>NO PRAZO</v>
      </c>
    </row>
    <row r="1229" spans="1:21">
      <c r="A1229" s="1">
        <v>15381</v>
      </c>
      <c r="B1229" t="s">
        <v>20</v>
      </c>
      <c r="C1229" t="s">
        <v>13</v>
      </c>
      <c r="D1229" t="s">
        <v>14</v>
      </c>
      <c r="E1229" s="1">
        <v>3359</v>
      </c>
      <c r="F1229" s="1">
        <v>2023</v>
      </c>
      <c r="G1229" t="s">
        <v>11</v>
      </c>
      <c r="H1229" s="2">
        <v>45237.583518518521</v>
      </c>
      <c r="I1229" s="9">
        <f t="shared" si="175"/>
        <v>45238</v>
      </c>
      <c r="J1229" s="2" t="str">
        <f t="shared" si="176"/>
        <v/>
      </c>
      <c r="L1229" s="2" t="str">
        <f t="shared" si="177"/>
        <v/>
      </c>
      <c r="N1229" s="10" t="str">
        <f t="shared" si="178"/>
        <v/>
      </c>
      <c r="O1229" s="2">
        <f t="shared" si="179"/>
        <v>45238</v>
      </c>
      <c r="P1229" s="2">
        <v>45246.653715277775</v>
      </c>
      <c r="Q1229" s="2">
        <f t="shared" si="180"/>
        <v>45239</v>
      </c>
      <c r="R1229" s="2">
        <v>45246.744583333333</v>
      </c>
      <c r="S1229">
        <f t="shared" si="181"/>
        <v>7</v>
      </c>
      <c r="T1229" s="2">
        <f t="shared" si="182"/>
        <v>45239</v>
      </c>
      <c r="U1229" t="str">
        <f t="shared" si="183"/>
        <v>ATRASO</v>
      </c>
    </row>
    <row r="1230" spans="1:21" hidden="1">
      <c r="A1230" s="1">
        <v>15356</v>
      </c>
      <c r="B1230" t="s">
        <v>17</v>
      </c>
      <c r="C1230" t="s">
        <v>9</v>
      </c>
      <c r="D1230" t="s">
        <v>18</v>
      </c>
      <c r="E1230" s="1">
        <v>3334</v>
      </c>
      <c r="F1230" s="1">
        <v>2023</v>
      </c>
      <c r="G1230" t="s">
        <v>11</v>
      </c>
      <c r="H1230" s="2">
        <v>45236.666863425926</v>
      </c>
      <c r="I1230" s="9">
        <f t="shared" si="175"/>
        <v>45239</v>
      </c>
      <c r="J1230" s="2" t="str">
        <f t="shared" si="176"/>
        <v/>
      </c>
      <c r="L1230" s="2" t="str">
        <f t="shared" si="177"/>
        <v/>
      </c>
      <c r="N1230" s="10" t="str">
        <f t="shared" si="178"/>
        <v/>
      </c>
      <c r="O1230" s="2">
        <f t="shared" si="179"/>
        <v>45239</v>
      </c>
      <c r="P1230" s="2">
        <v>45243.43241898148</v>
      </c>
      <c r="Q1230" s="2">
        <f t="shared" si="180"/>
        <v>45246</v>
      </c>
      <c r="R1230" s="2">
        <v>45243.432569444441</v>
      </c>
      <c r="S1230">
        <f t="shared" si="181"/>
        <v>0</v>
      </c>
      <c r="T1230" s="2">
        <f t="shared" si="182"/>
        <v>45246</v>
      </c>
      <c r="U1230" t="str">
        <f t="shared" si="183"/>
        <v>NO PRAZO</v>
      </c>
    </row>
    <row r="1231" spans="1:21" hidden="1">
      <c r="A1231" s="1">
        <v>15354</v>
      </c>
      <c r="B1231" t="s">
        <v>19</v>
      </c>
      <c r="C1231" t="s">
        <v>13</v>
      </c>
      <c r="D1231" t="s">
        <v>10</v>
      </c>
      <c r="E1231" s="1">
        <v>3332</v>
      </c>
      <c r="F1231" s="1">
        <v>2023</v>
      </c>
      <c r="G1231" t="s">
        <v>11</v>
      </c>
      <c r="H1231" s="2">
        <v>45236.500150462962</v>
      </c>
      <c r="I1231" s="9">
        <f t="shared" si="175"/>
        <v>45237</v>
      </c>
      <c r="J1231" s="2" t="str">
        <f t="shared" si="176"/>
        <v/>
      </c>
      <c r="L1231" s="2" t="str">
        <f t="shared" si="177"/>
        <v/>
      </c>
      <c r="N1231" s="10" t="str">
        <f t="shared" si="178"/>
        <v/>
      </c>
      <c r="O1231" s="2">
        <f t="shared" si="179"/>
        <v>45237</v>
      </c>
      <c r="P1231" s="2">
        <v>45238.50984953704</v>
      </c>
      <c r="Q1231" s="2">
        <f t="shared" si="180"/>
        <v>45238</v>
      </c>
      <c r="R1231" s="2">
        <v>45238.618715277778</v>
      </c>
      <c r="S1231">
        <f t="shared" si="181"/>
        <v>0</v>
      </c>
      <c r="T1231" s="2">
        <f t="shared" si="182"/>
        <v>45238</v>
      </c>
      <c r="U1231" t="str">
        <f t="shared" si="183"/>
        <v>NO PRAZO</v>
      </c>
    </row>
    <row r="1232" spans="1:21" hidden="1">
      <c r="A1232" s="1">
        <v>15349</v>
      </c>
      <c r="B1232" t="s">
        <v>23</v>
      </c>
      <c r="C1232" t="s">
        <v>13</v>
      </c>
      <c r="D1232" t="s">
        <v>18</v>
      </c>
      <c r="E1232" s="1">
        <v>3327</v>
      </c>
      <c r="F1232" s="1">
        <v>2023</v>
      </c>
      <c r="G1232" t="s">
        <v>11</v>
      </c>
      <c r="H1232" s="2">
        <v>45233.743611111109</v>
      </c>
      <c r="I1232" s="9">
        <f t="shared" si="175"/>
        <v>45238</v>
      </c>
      <c r="J1232" s="2" t="str">
        <f t="shared" si="176"/>
        <v/>
      </c>
      <c r="L1232" s="2" t="str">
        <f t="shared" si="177"/>
        <v/>
      </c>
      <c r="N1232" s="10" t="str">
        <f t="shared" si="178"/>
        <v/>
      </c>
      <c r="O1232" s="2">
        <f t="shared" si="179"/>
        <v>45238</v>
      </c>
      <c r="P1232" s="2">
        <v>45233.744849537034</v>
      </c>
      <c r="Q1232" s="2">
        <f t="shared" si="180"/>
        <v>45244</v>
      </c>
      <c r="R1232" s="2">
        <v>45237.607847222222</v>
      </c>
      <c r="S1232">
        <f t="shared" si="181"/>
        <v>0</v>
      </c>
      <c r="T1232" s="2">
        <f t="shared" si="182"/>
        <v>45244</v>
      </c>
      <c r="U1232" t="str">
        <f t="shared" si="183"/>
        <v>NO PRAZO</v>
      </c>
    </row>
    <row r="1233" spans="1:21" hidden="1">
      <c r="A1233" s="1">
        <v>15345</v>
      </c>
      <c r="B1233" t="s">
        <v>22</v>
      </c>
      <c r="C1233" t="s">
        <v>13</v>
      </c>
      <c r="D1233" t="s">
        <v>18</v>
      </c>
      <c r="E1233" s="1">
        <v>3323</v>
      </c>
      <c r="F1233" s="1">
        <v>2023</v>
      </c>
      <c r="G1233" t="s">
        <v>11</v>
      </c>
      <c r="H1233" s="2">
        <v>45233.583518518521</v>
      </c>
      <c r="I1233" s="9">
        <f t="shared" si="175"/>
        <v>45238</v>
      </c>
      <c r="J1233" s="2" t="str">
        <f t="shared" si="176"/>
        <v/>
      </c>
      <c r="L1233" s="2" t="str">
        <f t="shared" si="177"/>
        <v/>
      </c>
      <c r="N1233" s="10" t="str">
        <f t="shared" si="178"/>
        <v/>
      </c>
      <c r="O1233" s="2">
        <f t="shared" si="179"/>
        <v>45238</v>
      </c>
      <c r="P1233" s="2">
        <v>45238.546990740739</v>
      </c>
      <c r="Q1233" s="2">
        <f t="shared" si="180"/>
        <v>45244</v>
      </c>
      <c r="R1233" s="2">
        <v>45238.548101851855</v>
      </c>
      <c r="S1233">
        <f t="shared" si="181"/>
        <v>0</v>
      </c>
      <c r="T1233" s="2">
        <f t="shared" si="182"/>
        <v>45244</v>
      </c>
      <c r="U1233" t="str">
        <f t="shared" si="183"/>
        <v>NO PRAZO</v>
      </c>
    </row>
    <row r="1234" spans="1:21" hidden="1">
      <c r="A1234" s="1">
        <v>15330</v>
      </c>
      <c r="B1234" t="s">
        <v>20</v>
      </c>
      <c r="C1234" t="s">
        <v>13</v>
      </c>
      <c r="D1234" t="s">
        <v>18</v>
      </c>
      <c r="E1234" s="1">
        <v>3308</v>
      </c>
      <c r="F1234" s="1">
        <v>2023</v>
      </c>
      <c r="G1234" t="s">
        <v>11</v>
      </c>
      <c r="H1234" s="2">
        <v>45230.666851851849</v>
      </c>
      <c r="I1234" s="9">
        <f t="shared" si="175"/>
        <v>45236</v>
      </c>
      <c r="J1234" s="2" t="str">
        <f t="shared" si="176"/>
        <v/>
      </c>
      <c r="L1234" s="2" t="str">
        <f t="shared" si="177"/>
        <v/>
      </c>
      <c r="N1234" s="10" t="str">
        <f t="shared" si="178"/>
        <v/>
      </c>
      <c r="O1234" s="2">
        <f t="shared" si="179"/>
        <v>45236</v>
      </c>
      <c r="P1234" s="2">
        <v>45236.713518518518</v>
      </c>
      <c r="Q1234" s="2">
        <f t="shared" si="180"/>
        <v>45240</v>
      </c>
      <c r="R1234" s="2">
        <v>45236.713761574072</v>
      </c>
      <c r="S1234">
        <f t="shared" si="181"/>
        <v>0</v>
      </c>
      <c r="T1234" s="2">
        <f t="shared" si="182"/>
        <v>45240</v>
      </c>
      <c r="U1234" t="str">
        <f t="shared" si="183"/>
        <v>NO PRAZO</v>
      </c>
    </row>
    <row r="1235" spans="1:21" hidden="1">
      <c r="A1235" s="1">
        <v>15328</v>
      </c>
      <c r="B1235" t="s">
        <v>19</v>
      </c>
      <c r="C1235" t="s">
        <v>13</v>
      </c>
      <c r="D1235" t="s">
        <v>18</v>
      </c>
      <c r="E1235" s="1">
        <v>3306</v>
      </c>
      <c r="F1235" s="1">
        <v>2023</v>
      </c>
      <c r="G1235" t="s">
        <v>11</v>
      </c>
      <c r="H1235" s="2">
        <v>45230.583495370367</v>
      </c>
      <c r="I1235" s="9">
        <f t="shared" si="175"/>
        <v>45236</v>
      </c>
      <c r="J1235" s="2" t="str">
        <f t="shared" si="176"/>
        <v/>
      </c>
      <c r="L1235" s="2" t="str">
        <f t="shared" si="177"/>
        <v/>
      </c>
      <c r="N1235" s="10" t="str">
        <f t="shared" si="178"/>
        <v/>
      </c>
      <c r="O1235" s="2">
        <f t="shared" si="179"/>
        <v>45236</v>
      </c>
      <c r="P1235" s="2">
        <v>45230.604490740741</v>
      </c>
      <c r="Q1235" s="2">
        <f t="shared" si="180"/>
        <v>45240</v>
      </c>
      <c r="R1235" s="2">
        <v>45230.61277777778</v>
      </c>
      <c r="S1235">
        <f t="shared" si="181"/>
        <v>0</v>
      </c>
      <c r="T1235" s="2">
        <f t="shared" si="182"/>
        <v>45240</v>
      </c>
      <c r="U1235" t="str">
        <f t="shared" si="183"/>
        <v>NO PRAZO</v>
      </c>
    </row>
    <row r="1236" spans="1:21" hidden="1">
      <c r="A1236" s="1">
        <v>15322</v>
      </c>
      <c r="B1236" t="s">
        <v>12</v>
      </c>
      <c r="C1236" t="s">
        <v>13</v>
      </c>
      <c r="D1236" t="s">
        <v>18</v>
      </c>
      <c r="E1236" s="1">
        <v>3300</v>
      </c>
      <c r="F1236" s="1">
        <v>2023</v>
      </c>
      <c r="G1236" t="s">
        <v>11</v>
      </c>
      <c r="H1236" s="2">
        <v>45229.708460648151</v>
      </c>
      <c r="I1236" s="9">
        <f t="shared" si="175"/>
        <v>45233</v>
      </c>
      <c r="J1236" s="2" t="str">
        <f t="shared" si="176"/>
        <v/>
      </c>
      <c r="L1236" s="2" t="str">
        <f t="shared" si="177"/>
        <v/>
      </c>
      <c r="N1236" s="10" t="str">
        <f t="shared" si="178"/>
        <v/>
      </c>
      <c r="O1236" s="2">
        <f t="shared" si="179"/>
        <v>45233</v>
      </c>
      <c r="P1236" s="2">
        <v>45236.438101851854</v>
      </c>
      <c r="Q1236" s="2">
        <f t="shared" si="180"/>
        <v>45239</v>
      </c>
      <c r="R1236" s="2">
        <v>45236.71197916667</v>
      </c>
      <c r="S1236">
        <f t="shared" si="181"/>
        <v>0</v>
      </c>
      <c r="T1236" s="2">
        <f t="shared" si="182"/>
        <v>45239</v>
      </c>
      <c r="U1236" t="str">
        <f t="shared" si="183"/>
        <v>NO PRAZO</v>
      </c>
    </row>
    <row r="1237" spans="1:21" hidden="1">
      <c r="A1237" s="1">
        <v>15319</v>
      </c>
      <c r="B1237" t="s">
        <v>20</v>
      </c>
      <c r="C1237" t="s">
        <v>13</v>
      </c>
      <c r="D1237" t="s">
        <v>18</v>
      </c>
      <c r="E1237" s="1">
        <v>3297</v>
      </c>
      <c r="F1237" s="1">
        <v>2023</v>
      </c>
      <c r="G1237" t="s">
        <v>11</v>
      </c>
      <c r="H1237" s="2">
        <v>45229.666828703703</v>
      </c>
      <c r="I1237" s="9">
        <f t="shared" si="175"/>
        <v>45233</v>
      </c>
      <c r="J1237" s="2" t="str">
        <f t="shared" si="176"/>
        <v/>
      </c>
      <c r="L1237" s="2" t="str">
        <f t="shared" si="177"/>
        <v/>
      </c>
      <c r="N1237" s="10" t="str">
        <f t="shared" si="178"/>
        <v/>
      </c>
      <c r="O1237" s="2">
        <f t="shared" si="179"/>
        <v>45233</v>
      </c>
      <c r="P1237" s="2">
        <v>45236.592916666668</v>
      </c>
      <c r="Q1237" s="2">
        <f t="shared" si="180"/>
        <v>45239</v>
      </c>
      <c r="R1237" s="2">
        <v>45238.664837962962</v>
      </c>
      <c r="S1237">
        <f t="shared" si="181"/>
        <v>0</v>
      </c>
      <c r="T1237" s="2">
        <f t="shared" si="182"/>
        <v>45239</v>
      </c>
      <c r="U1237" t="str">
        <f t="shared" si="183"/>
        <v>NO PRAZO</v>
      </c>
    </row>
    <row r="1238" spans="1:21" hidden="1">
      <c r="A1238" s="1">
        <v>15317</v>
      </c>
      <c r="B1238" t="s">
        <v>20</v>
      </c>
      <c r="C1238" t="s">
        <v>9</v>
      </c>
      <c r="D1238" t="s">
        <v>18</v>
      </c>
      <c r="E1238" s="1">
        <v>3295</v>
      </c>
      <c r="F1238" s="1">
        <v>2023</v>
      </c>
      <c r="G1238" t="s">
        <v>11</v>
      </c>
      <c r="H1238" s="2">
        <v>45229.641446759262</v>
      </c>
      <c r="I1238" s="9">
        <f t="shared" si="175"/>
        <v>45233</v>
      </c>
      <c r="J1238" s="2" t="str">
        <f t="shared" si="176"/>
        <v/>
      </c>
      <c r="L1238" s="2" t="str">
        <f t="shared" si="177"/>
        <v/>
      </c>
      <c r="N1238" s="10" t="str">
        <f t="shared" si="178"/>
        <v/>
      </c>
      <c r="O1238" s="2">
        <f t="shared" si="179"/>
        <v>45233</v>
      </c>
      <c r="P1238" s="2">
        <v>45229.808321759258</v>
      </c>
      <c r="Q1238" s="2">
        <f t="shared" si="180"/>
        <v>45239</v>
      </c>
      <c r="R1238" s="2">
        <v>45229.808645833335</v>
      </c>
      <c r="S1238">
        <f t="shared" si="181"/>
        <v>0</v>
      </c>
      <c r="T1238" s="2">
        <f t="shared" si="182"/>
        <v>45239</v>
      </c>
      <c r="U1238" t="str">
        <f t="shared" si="183"/>
        <v>NO PRAZO</v>
      </c>
    </row>
    <row r="1239" spans="1:21" hidden="1">
      <c r="A1239" s="1">
        <v>15315</v>
      </c>
      <c r="B1239" t="s">
        <v>24</v>
      </c>
      <c r="C1239" t="s">
        <v>13</v>
      </c>
      <c r="D1239" t="s">
        <v>18</v>
      </c>
      <c r="E1239" s="1">
        <v>3293</v>
      </c>
      <c r="F1239" s="1">
        <v>2023</v>
      </c>
      <c r="G1239" t="s">
        <v>11</v>
      </c>
      <c r="H1239" s="2">
        <v>45229.583495370367</v>
      </c>
      <c r="I1239" s="9">
        <f t="shared" si="175"/>
        <v>45233</v>
      </c>
      <c r="J1239" s="2" t="str">
        <f t="shared" si="176"/>
        <v/>
      </c>
      <c r="L1239" s="2" t="str">
        <f t="shared" si="177"/>
        <v/>
      </c>
      <c r="N1239" s="10" t="str">
        <f t="shared" si="178"/>
        <v/>
      </c>
      <c r="O1239" s="2">
        <f t="shared" si="179"/>
        <v>45233</v>
      </c>
      <c r="P1239" s="2">
        <v>45237.709432870368</v>
      </c>
      <c r="Q1239" s="2">
        <f t="shared" si="180"/>
        <v>45239</v>
      </c>
      <c r="R1239" s="2">
        <v>45237.709930555553</v>
      </c>
      <c r="S1239">
        <f t="shared" si="181"/>
        <v>0</v>
      </c>
      <c r="T1239" s="2">
        <f t="shared" si="182"/>
        <v>45239</v>
      </c>
      <c r="U1239" t="str">
        <f t="shared" si="183"/>
        <v>NO PRAZO</v>
      </c>
    </row>
    <row r="1240" spans="1:21" hidden="1">
      <c r="A1240" s="1">
        <v>15314</v>
      </c>
      <c r="B1240" t="s">
        <v>24</v>
      </c>
      <c r="C1240" t="s">
        <v>13</v>
      </c>
      <c r="D1240" t="s">
        <v>18</v>
      </c>
      <c r="E1240" s="1">
        <v>3292</v>
      </c>
      <c r="F1240" s="1">
        <v>2023</v>
      </c>
      <c r="G1240" t="s">
        <v>11</v>
      </c>
      <c r="H1240" s="2">
        <v>45229.583495370367</v>
      </c>
      <c r="I1240" s="9">
        <f t="shared" si="175"/>
        <v>45233</v>
      </c>
      <c r="J1240" s="2" t="str">
        <f t="shared" si="176"/>
        <v/>
      </c>
      <c r="L1240" s="2" t="str">
        <f t="shared" si="177"/>
        <v/>
      </c>
      <c r="N1240" s="10" t="str">
        <f t="shared" si="178"/>
        <v/>
      </c>
      <c r="O1240" s="2">
        <f t="shared" si="179"/>
        <v>45233</v>
      </c>
      <c r="P1240" s="2">
        <v>45237.708715277775</v>
      </c>
      <c r="Q1240" s="2">
        <f t="shared" si="180"/>
        <v>45239</v>
      </c>
      <c r="R1240" s="2">
        <v>45237.709224537037</v>
      </c>
      <c r="S1240">
        <f t="shared" si="181"/>
        <v>0</v>
      </c>
      <c r="T1240" s="2">
        <f t="shared" si="182"/>
        <v>45239</v>
      </c>
      <c r="U1240" t="str">
        <f t="shared" si="183"/>
        <v>NO PRAZO</v>
      </c>
    </row>
    <row r="1241" spans="1:21" hidden="1">
      <c r="A1241" s="1">
        <v>15309</v>
      </c>
      <c r="B1241" t="s">
        <v>17</v>
      </c>
      <c r="C1241" t="s">
        <v>9</v>
      </c>
      <c r="D1241" t="s">
        <v>18</v>
      </c>
      <c r="E1241" s="1">
        <v>3287</v>
      </c>
      <c r="F1241" s="1">
        <v>2023</v>
      </c>
      <c r="G1241" t="s">
        <v>11</v>
      </c>
      <c r="H1241" s="2">
        <v>45226.583495370367</v>
      </c>
      <c r="I1241" s="9">
        <f t="shared" si="175"/>
        <v>45231</v>
      </c>
      <c r="J1241" s="2" t="str">
        <f t="shared" si="176"/>
        <v/>
      </c>
      <c r="L1241" s="2" t="str">
        <f t="shared" si="177"/>
        <v/>
      </c>
      <c r="N1241" s="10" t="str">
        <f t="shared" si="178"/>
        <v/>
      </c>
      <c r="O1241" s="2">
        <f t="shared" si="179"/>
        <v>45231</v>
      </c>
      <c r="P1241" s="2">
        <v>45236.435439814813</v>
      </c>
      <c r="Q1241" s="2">
        <f t="shared" si="180"/>
        <v>45238</v>
      </c>
      <c r="R1241" s="2">
        <v>45236.436296296299</v>
      </c>
      <c r="S1241">
        <f t="shared" si="181"/>
        <v>0</v>
      </c>
      <c r="T1241" s="2">
        <f t="shared" si="182"/>
        <v>45238</v>
      </c>
      <c r="U1241" t="str">
        <f t="shared" si="183"/>
        <v>NO PRAZO</v>
      </c>
    </row>
    <row r="1242" spans="1:21" hidden="1">
      <c r="A1242" s="1">
        <v>15307</v>
      </c>
      <c r="B1242" t="s">
        <v>22</v>
      </c>
      <c r="C1242" t="s">
        <v>13</v>
      </c>
      <c r="D1242" t="s">
        <v>18</v>
      </c>
      <c r="E1242" s="1">
        <v>3285</v>
      </c>
      <c r="F1242" s="1">
        <v>2023</v>
      </c>
      <c r="G1242" t="s">
        <v>11</v>
      </c>
      <c r="H1242" s="2">
        <v>45226.583495370367</v>
      </c>
      <c r="I1242" s="9">
        <f t="shared" si="175"/>
        <v>45231</v>
      </c>
      <c r="J1242" s="2" t="str">
        <f t="shared" si="176"/>
        <v/>
      </c>
      <c r="L1242" s="2" t="str">
        <f t="shared" si="177"/>
        <v/>
      </c>
      <c r="N1242" s="10" t="str">
        <f t="shared" si="178"/>
        <v/>
      </c>
      <c r="O1242" s="2">
        <f t="shared" si="179"/>
        <v>45231</v>
      </c>
      <c r="P1242" s="2">
        <v>45237.707731481481</v>
      </c>
      <c r="Q1242" s="2">
        <f t="shared" si="180"/>
        <v>45238</v>
      </c>
      <c r="R1242" s="2">
        <v>45237.708252314813</v>
      </c>
      <c r="S1242">
        <f t="shared" si="181"/>
        <v>0</v>
      </c>
      <c r="T1242" s="2">
        <f t="shared" si="182"/>
        <v>45238</v>
      </c>
      <c r="U1242" t="str">
        <f t="shared" si="183"/>
        <v>NO PRAZO</v>
      </c>
    </row>
    <row r="1243" spans="1:21" hidden="1">
      <c r="A1243" s="1">
        <v>15300</v>
      </c>
      <c r="B1243" t="s">
        <v>24</v>
      </c>
      <c r="C1243" t="s">
        <v>13</v>
      </c>
      <c r="D1243" t="s">
        <v>18</v>
      </c>
      <c r="E1243" s="1">
        <v>3278</v>
      </c>
      <c r="F1243" s="1">
        <v>2023</v>
      </c>
      <c r="G1243" t="s">
        <v>11</v>
      </c>
      <c r="H1243" s="2">
        <v>45225.583460648151</v>
      </c>
      <c r="I1243" s="9">
        <f t="shared" si="175"/>
        <v>45230</v>
      </c>
      <c r="J1243" s="2" t="str">
        <f t="shared" si="176"/>
        <v/>
      </c>
      <c r="L1243" s="2" t="str">
        <f t="shared" si="177"/>
        <v/>
      </c>
      <c r="N1243" s="10" t="str">
        <f t="shared" si="178"/>
        <v/>
      </c>
      <c r="O1243" s="2">
        <f t="shared" si="179"/>
        <v>45230</v>
      </c>
      <c r="P1243" s="2">
        <v>45237.705706018518</v>
      </c>
      <c r="Q1243" s="2">
        <f t="shared" si="180"/>
        <v>45237</v>
      </c>
      <c r="R1243" s="2">
        <v>45237.707268518519</v>
      </c>
      <c r="S1243">
        <f t="shared" si="181"/>
        <v>0</v>
      </c>
      <c r="T1243" s="2">
        <f t="shared" si="182"/>
        <v>45237</v>
      </c>
      <c r="U1243" t="str">
        <f t="shared" si="183"/>
        <v>NO PRAZO</v>
      </c>
    </row>
    <row r="1244" spans="1:21" hidden="1">
      <c r="A1244" s="1">
        <v>15296</v>
      </c>
      <c r="B1244" t="s">
        <v>20</v>
      </c>
      <c r="C1244" t="s">
        <v>13</v>
      </c>
      <c r="D1244" t="s">
        <v>18</v>
      </c>
      <c r="E1244" s="1">
        <v>3274</v>
      </c>
      <c r="F1244" s="1">
        <v>2023</v>
      </c>
      <c r="G1244" t="s">
        <v>11</v>
      </c>
      <c r="H1244" s="2">
        <v>45224.625150462962</v>
      </c>
      <c r="I1244" s="9">
        <f t="shared" si="175"/>
        <v>45229</v>
      </c>
      <c r="J1244" s="2" t="str">
        <f t="shared" si="176"/>
        <v/>
      </c>
      <c r="L1244" s="2" t="str">
        <f t="shared" si="177"/>
        <v/>
      </c>
      <c r="N1244" s="10" t="str">
        <f t="shared" si="178"/>
        <v/>
      </c>
      <c r="O1244" s="2">
        <f t="shared" si="179"/>
        <v>45229</v>
      </c>
      <c r="P1244" s="2">
        <v>45230.645208333335</v>
      </c>
      <c r="Q1244" s="2">
        <f t="shared" si="180"/>
        <v>45236</v>
      </c>
      <c r="R1244" s="2">
        <v>45230.645798611113</v>
      </c>
      <c r="S1244">
        <f t="shared" si="181"/>
        <v>0</v>
      </c>
      <c r="T1244" s="2">
        <f t="shared" si="182"/>
        <v>45236</v>
      </c>
      <c r="U1244" t="str">
        <f t="shared" si="183"/>
        <v>NO PRAZO</v>
      </c>
    </row>
    <row r="1245" spans="1:21" hidden="1">
      <c r="A1245" s="1">
        <v>15280</v>
      </c>
      <c r="B1245" t="s">
        <v>24</v>
      </c>
      <c r="C1245" t="s">
        <v>13</v>
      </c>
      <c r="D1245" t="s">
        <v>10</v>
      </c>
      <c r="E1245" s="1">
        <v>3258</v>
      </c>
      <c r="F1245" s="1">
        <v>2023</v>
      </c>
      <c r="G1245" t="s">
        <v>11</v>
      </c>
      <c r="H1245" s="2">
        <v>45224.458506944444</v>
      </c>
      <c r="I1245" s="9">
        <f t="shared" si="175"/>
        <v>45225</v>
      </c>
      <c r="J1245" s="2" t="str">
        <f t="shared" si="176"/>
        <v/>
      </c>
      <c r="L1245" s="2" t="str">
        <f t="shared" si="177"/>
        <v/>
      </c>
      <c r="N1245" s="10" t="str">
        <f t="shared" si="178"/>
        <v/>
      </c>
      <c r="O1245" s="2">
        <f t="shared" si="179"/>
        <v>45225</v>
      </c>
      <c r="P1245" s="2">
        <v>45225.5231712963</v>
      </c>
      <c r="Q1245" s="2">
        <f t="shared" si="180"/>
        <v>45226</v>
      </c>
      <c r="R1245" s="2">
        <v>45225.727349537039</v>
      </c>
      <c r="S1245">
        <f t="shared" si="181"/>
        <v>0</v>
      </c>
      <c r="T1245" s="2">
        <f t="shared" si="182"/>
        <v>45226</v>
      </c>
      <c r="U1245" t="str">
        <f t="shared" si="183"/>
        <v>NO PRAZO</v>
      </c>
    </row>
    <row r="1246" spans="1:21" hidden="1">
      <c r="A1246" s="1">
        <v>15279</v>
      </c>
      <c r="B1246" t="s">
        <v>24</v>
      </c>
      <c r="C1246" t="s">
        <v>13</v>
      </c>
      <c r="D1246" t="s">
        <v>10</v>
      </c>
      <c r="E1246" s="1">
        <v>3257</v>
      </c>
      <c r="F1246" s="1">
        <v>2023</v>
      </c>
      <c r="G1246" t="s">
        <v>11</v>
      </c>
      <c r="H1246" s="2">
        <v>45224.458506944444</v>
      </c>
      <c r="I1246" s="9">
        <f t="shared" si="175"/>
        <v>45225</v>
      </c>
      <c r="J1246" s="2" t="str">
        <f t="shared" si="176"/>
        <v/>
      </c>
      <c r="L1246" s="2" t="str">
        <f t="shared" si="177"/>
        <v/>
      </c>
      <c r="N1246" s="10" t="str">
        <f t="shared" si="178"/>
        <v/>
      </c>
      <c r="O1246" s="2">
        <f t="shared" si="179"/>
        <v>45225</v>
      </c>
      <c r="P1246" s="2">
        <v>45225.52270833333</v>
      </c>
      <c r="Q1246" s="2">
        <f t="shared" si="180"/>
        <v>45226</v>
      </c>
      <c r="R1246" s="2">
        <v>45225.727303240739</v>
      </c>
      <c r="S1246">
        <f t="shared" si="181"/>
        <v>0</v>
      </c>
      <c r="T1246" s="2">
        <f t="shared" si="182"/>
        <v>45226</v>
      </c>
      <c r="U1246" t="str">
        <f t="shared" si="183"/>
        <v>NO PRAZO</v>
      </c>
    </row>
    <row r="1247" spans="1:21" hidden="1">
      <c r="A1247" s="1">
        <v>15269</v>
      </c>
      <c r="B1247" t="s">
        <v>20</v>
      </c>
      <c r="C1247" t="s">
        <v>13</v>
      </c>
      <c r="D1247" t="s">
        <v>18</v>
      </c>
      <c r="E1247" s="1">
        <v>3247</v>
      </c>
      <c r="F1247" s="1">
        <v>2023</v>
      </c>
      <c r="G1247" t="s">
        <v>11</v>
      </c>
      <c r="H1247" s="2">
        <v>45223.750150462962</v>
      </c>
      <c r="I1247" s="9">
        <f t="shared" si="175"/>
        <v>45226</v>
      </c>
      <c r="J1247" s="2" t="str">
        <f t="shared" si="176"/>
        <v/>
      </c>
      <c r="L1247" s="2" t="str">
        <f t="shared" si="177"/>
        <v/>
      </c>
      <c r="N1247" s="10" t="str">
        <f t="shared" si="178"/>
        <v/>
      </c>
      <c r="O1247" s="2">
        <f t="shared" si="179"/>
        <v>45226</v>
      </c>
      <c r="P1247" s="2">
        <v>45224.450069444443</v>
      </c>
      <c r="Q1247" s="2">
        <f t="shared" si="180"/>
        <v>45233</v>
      </c>
      <c r="R1247" s="2">
        <v>45226.415196759262</v>
      </c>
      <c r="S1247">
        <f t="shared" si="181"/>
        <v>0</v>
      </c>
      <c r="T1247" s="2">
        <f t="shared" si="182"/>
        <v>45233</v>
      </c>
      <c r="U1247" t="str">
        <f t="shared" si="183"/>
        <v>NO PRAZO</v>
      </c>
    </row>
    <row r="1248" spans="1:21" hidden="1">
      <c r="A1248" s="1">
        <v>15268</v>
      </c>
      <c r="B1248" t="s">
        <v>19</v>
      </c>
      <c r="C1248" t="s">
        <v>13</v>
      </c>
      <c r="D1248" t="s">
        <v>14</v>
      </c>
      <c r="E1248" s="1">
        <v>3246</v>
      </c>
      <c r="F1248" s="1">
        <v>2023</v>
      </c>
      <c r="G1248" t="s">
        <v>11</v>
      </c>
      <c r="H1248" s="2">
        <v>45223.666817129626</v>
      </c>
      <c r="I1248" s="9">
        <f t="shared" si="175"/>
        <v>45224</v>
      </c>
      <c r="J1248" s="2" t="str">
        <f t="shared" si="176"/>
        <v/>
      </c>
      <c r="L1248" s="2" t="str">
        <f t="shared" si="177"/>
        <v/>
      </c>
      <c r="N1248" s="10" t="str">
        <f t="shared" si="178"/>
        <v/>
      </c>
      <c r="O1248" s="2">
        <f t="shared" si="179"/>
        <v>45224</v>
      </c>
      <c r="P1248" s="2">
        <v>45224.447731481479</v>
      </c>
      <c r="Q1248" s="2">
        <f t="shared" si="180"/>
        <v>45225</v>
      </c>
      <c r="R1248" s="2">
        <v>45224.629907407405</v>
      </c>
      <c r="S1248">
        <f t="shared" si="181"/>
        <v>0</v>
      </c>
      <c r="T1248" s="2">
        <f t="shared" si="182"/>
        <v>45225</v>
      </c>
      <c r="U1248" t="str">
        <f t="shared" si="183"/>
        <v>NO PRAZO</v>
      </c>
    </row>
    <row r="1249" spans="1:21" hidden="1">
      <c r="A1249" s="1">
        <v>15266</v>
      </c>
      <c r="B1249" t="s">
        <v>22</v>
      </c>
      <c r="C1249" t="s">
        <v>13</v>
      </c>
      <c r="D1249" t="s">
        <v>10</v>
      </c>
      <c r="E1249" s="1">
        <v>3244</v>
      </c>
      <c r="F1249" s="1">
        <v>2023</v>
      </c>
      <c r="G1249" t="s">
        <v>11</v>
      </c>
      <c r="H1249" s="2">
        <v>45223.625150462962</v>
      </c>
      <c r="I1249" s="9">
        <f t="shared" si="175"/>
        <v>45224</v>
      </c>
      <c r="J1249" s="2" t="str">
        <f t="shared" si="176"/>
        <v/>
      </c>
      <c r="L1249" s="2" t="str">
        <f t="shared" si="177"/>
        <v/>
      </c>
      <c r="N1249" s="10" t="str">
        <f t="shared" si="178"/>
        <v/>
      </c>
      <c r="O1249" s="2">
        <f t="shared" si="179"/>
        <v>45224</v>
      </c>
      <c r="P1249" s="2">
        <v>45224.62332175926</v>
      </c>
      <c r="Q1249" s="2">
        <f t="shared" si="180"/>
        <v>45225</v>
      </c>
      <c r="R1249" s="2">
        <v>45224.741539351853</v>
      </c>
      <c r="S1249">
        <f t="shared" si="181"/>
        <v>0</v>
      </c>
      <c r="T1249" s="2">
        <f t="shared" si="182"/>
        <v>45225</v>
      </c>
      <c r="U1249" t="str">
        <f t="shared" si="183"/>
        <v>NO PRAZO</v>
      </c>
    </row>
    <row r="1250" spans="1:21" hidden="1">
      <c r="A1250" s="1">
        <v>15264</v>
      </c>
      <c r="B1250" t="s">
        <v>19</v>
      </c>
      <c r="C1250" t="s">
        <v>13</v>
      </c>
      <c r="D1250" t="s">
        <v>14</v>
      </c>
      <c r="E1250" s="1">
        <v>3242</v>
      </c>
      <c r="F1250" s="1">
        <v>2023</v>
      </c>
      <c r="G1250" t="s">
        <v>11</v>
      </c>
      <c r="H1250" s="2">
        <v>45223.583460648151</v>
      </c>
      <c r="I1250" s="9">
        <f t="shared" si="175"/>
        <v>45224</v>
      </c>
      <c r="J1250" s="2" t="str">
        <f t="shared" si="176"/>
        <v/>
      </c>
      <c r="L1250" s="2" t="str">
        <f t="shared" si="177"/>
        <v/>
      </c>
      <c r="N1250" s="10" t="str">
        <f t="shared" si="178"/>
        <v/>
      </c>
      <c r="O1250" s="2">
        <f t="shared" si="179"/>
        <v>45224</v>
      </c>
      <c r="P1250" s="2">
        <v>45224.569976851853</v>
      </c>
      <c r="Q1250" s="2">
        <f t="shared" si="180"/>
        <v>45225</v>
      </c>
      <c r="R1250" s="2">
        <v>45224.652627314812</v>
      </c>
      <c r="S1250">
        <f t="shared" si="181"/>
        <v>0</v>
      </c>
      <c r="T1250" s="2">
        <f t="shared" si="182"/>
        <v>45225</v>
      </c>
      <c r="U1250" t="str">
        <f t="shared" si="183"/>
        <v>NO PRAZO</v>
      </c>
    </row>
    <row r="1251" spans="1:21" hidden="1">
      <c r="A1251" s="1">
        <v>15262</v>
      </c>
      <c r="B1251" t="s">
        <v>24</v>
      </c>
      <c r="C1251" t="s">
        <v>13</v>
      </c>
      <c r="D1251" t="s">
        <v>10</v>
      </c>
      <c r="E1251" s="1">
        <v>3240</v>
      </c>
      <c r="F1251" s="1">
        <v>2023</v>
      </c>
      <c r="G1251" t="s">
        <v>11</v>
      </c>
      <c r="H1251" s="2">
        <v>45223.583460648151</v>
      </c>
      <c r="I1251" s="9">
        <f t="shared" si="175"/>
        <v>45224</v>
      </c>
      <c r="J1251" s="2" t="str">
        <f t="shared" si="176"/>
        <v/>
      </c>
      <c r="L1251" s="2" t="str">
        <f t="shared" si="177"/>
        <v/>
      </c>
      <c r="N1251" s="10" t="str">
        <f t="shared" si="178"/>
        <v/>
      </c>
      <c r="O1251" s="2">
        <f t="shared" si="179"/>
        <v>45224</v>
      </c>
      <c r="P1251" s="2">
        <v>45224.622384259259</v>
      </c>
      <c r="Q1251" s="2">
        <f t="shared" si="180"/>
        <v>45225</v>
      </c>
      <c r="R1251" s="2">
        <v>45224.741377314815</v>
      </c>
      <c r="S1251">
        <f t="shared" si="181"/>
        <v>0</v>
      </c>
      <c r="T1251" s="2">
        <f t="shared" si="182"/>
        <v>45225</v>
      </c>
      <c r="U1251" t="str">
        <f t="shared" si="183"/>
        <v>NO PRAZO</v>
      </c>
    </row>
    <row r="1252" spans="1:21" hidden="1">
      <c r="A1252" s="1">
        <v>15261</v>
      </c>
      <c r="B1252" t="s">
        <v>24</v>
      </c>
      <c r="C1252" t="s">
        <v>13</v>
      </c>
      <c r="D1252" t="s">
        <v>10</v>
      </c>
      <c r="E1252" s="1">
        <v>3239</v>
      </c>
      <c r="F1252" s="1">
        <v>2023</v>
      </c>
      <c r="G1252" t="s">
        <v>11</v>
      </c>
      <c r="H1252" s="2">
        <v>45223.583460648151</v>
      </c>
      <c r="I1252" s="9">
        <f t="shared" si="175"/>
        <v>45224</v>
      </c>
      <c r="J1252" s="2" t="str">
        <f t="shared" si="176"/>
        <v/>
      </c>
      <c r="L1252" s="2" t="str">
        <f t="shared" si="177"/>
        <v/>
      </c>
      <c r="N1252" s="10" t="str">
        <f t="shared" si="178"/>
        <v/>
      </c>
      <c r="O1252" s="2">
        <f t="shared" si="179"/>
        <v>45224</v>
      </c>
      <c r="P1252" s="2">
        <v>45224.623032407406</v>
      </c>
      <c r="Q1252" s="2">
        <f t="shared" si="180"/>
        <v>45225</v>
      </c>
      <c r="R1252" s="2">
        <v>45224.741238425922</v>
      </c>
      <c r="S1252">
        <f t="shared" si="181"/>
        <v>0</v>
      </c>
      <c r="T1252" s="2">
        <f t="shared" si="182"/>
        <v>45225</v>
      </c>
      <c r="U1252" t="str">
        <f t="shared" si="183"/>
        <v>NO PRAZO</v>
      </c>
    </row>
    <row r="1253" spans="1:21" hidden="1">
      <c r="A1253" s="1">
        <v>15256</v>
      </c>
      <c r="B1253" t="s">
        <v>19</v>
      </c>
      <c r="C1253" t="s">
        <v>13</v>
      </c>
      <c r="D1253" t="s">
        <v>14</v>
      </c>
      <c r="E1253" s="1">
        <v>3234</v>
      </c>
      <c r="F1253" s="1">
        <v>2023</v>
      </c>
      <c r="G1253" t="s">
        <v>11</v>
      </c>
      <c r="H1253" s="2">
        <v>45222.583518518521</v>
      </c>
      <c r="I1253" s="9">
        <f t="shared" si="175"/>
        <v>45223</v>
      </c>
      <c r="J1253" s="2" t="str">
        <f t="shared" si="176"/>
        <v/>
      </c>
      <c r="L1253" s="2" t="str">
        <f t="shared" si="177"/>
        <v/>
      </c>
      <c r="N1253" s="10" t="str">
        <f t="shared" si="178"/>
        <v/>
      </c>
      <c r="O1253" s="2">
        <f t="shared" si="179"/>
        <v>45223</v>
      </c>
      <c r="P1253" s="2">
        <v>45223.437881944446</v>
      </c>
      <c r="Q1253" s="2">
        <f t="shared" si="180"/>
        <v>45224</v>
      </c>
      <c r="R1253" s="2">
        <v>45224.629467592589</v>
      </c>
      <c r="S1253">
        <f t="shared" si="181"/>
        <v>0</v>
      </c>
      <c r="T1253" s="2">
        <f t="shared" si="182"/>
        <v>45224</v>
      </c>
      <c r="U1253" t="str">
        <f t="shared" si="183"/>
        <v>NO PRAZO</v>
      </c>
    </row>
    <row r="1254" spans="1:21" hidden="1">
      <c r="A1254" s="1">
        <v>15255</v>
      </c>
      <c r="B1254" t="s">
        <v>19</v>
      </c>
      <c r="C1254" t="s">
        <v>13</v>
      </c>
      <c r="D1254" t="s">
        <v>18</v>
      </c>
      <c r="E1254" s="1">
        <v>3233</v>
      </c>
      <c r="F1254" s="1">
        <v>2023</v>
      </c>
      <c r="G1254" t="s">
        <v>11</v>
      </c>
      <c r="H1254" s="2">
        <v>45222.583518518521</v>
      </c>
      <c r="I1254" s="9">
        <f t="shared" si="175"/>
        <v>45225</v>
      </c>
      <c r="J1254" s="2" t="str">
        <f t="shared" si="176"/>
        <v/>
      </c>
      <c r="L1254" s="2" t="str">
        <f t="shared" si="177"/>
        <v/>
      </c>
      <c r="N1254" s="10" t="str">
        <f t="shared" si="178"/>
        <v/>
      </c>
      <c r="O1254" s="2">
        <f t="shared" si="179"/>
        <v>45225</v>
      </c>
      <c r="P1254" s="2">
        <v>45224.62909722222</v>
      </c>
      <c r="Q1254" s="2">
        <f t="shared" si="180"/>
        <v>45231</v>
      </c>
      <c r="R1254" s="2">
        <v>45224.629224537035</v>
      </c>
      <c r="S1254">
        <f t="shared" si="181"/>
        <v>0</v>
      </c>
      <c r="T1254" s="2">
        <f t="shared" si="182"/>
        <v>45231</v>
      </c>
      <c r="U1254" t="str">
        <f t="shared" si="183"/>
        <v>NO PRAZO</v>
      </c>
    </row>
    <row r="1255" spans="1:21" hidden="1">
      <c r="A1255" s="1">
        <v>15247</v>
      </c>
      <c r="B1255" t="s">
        <v>19</v>
      </c>
      <c r="C1255" t="s">
        <v>13</v>
      </c>
      <c r="D1255" t="s">
        <v>10</v>
      </c>
      <c r="E1255" s="1">
        <v>3225</v>
      </c>
      <c r="F1255" s="1">
        <v>2023</v>
      </c>
      <c r="G1255" t="s">
        <v>11</v>
      </c>
      <c r="H1255" s="2">
        <v>45222.41684027778</v>
      </c>
      <c r="I1255" s="9">
        <f t="shared" si="175"/>
        <v>45223</v>
      </c>
      <c r="J1255" s="2" t="str">
        <f t="shared" si="176"/>
        <v/>
      </c>
      <c r="L1255" s="2" t="str">
        <f t="shared" si="177"/>
        <v/>
      </c>
      <c r="N1255" s="10" t="str">
        <f t="shared" si="178"/>
        <v/>
      </c>
      <c r="O1255" s="2">
        <f t="shared" si="179"/>
        <v>45223</v>
      </c>
      <c r="P1255" s="2">
        <v>45223.444525462961</v>
      </c>
      <c r="Q1255" s="2">
        <f t="shared" si="180"/>
        <v>45224</v>
      </c>
      <c r="R1255" s="2">
        <v>45223.452407407407</v>
      </c>
      <c r="S1255">
        <f t="shared" si="181"/>
        <v>0</v>
      </c>
      <c r="T1255" s="2">
        <f t="shared" si="182"/>
        <v>45224</v>
      </c>
      <c r="U1255" t="str">
        <f t="shared" si="183"/>
        <v>NO PRAZO</v>
      </c>
    </row>
    <row r="1256" spans="1:21" hidden="1">
      <c r="A1256" s="1">
        <v>15244</v>
      </c>
      <c r="B1256" t="s">
        <v>19</v>
      </c>
      <c r="C1256" t="s">
        <v>13</v>
      </c>
      <c r="D1256" t="s">
        <v>18</v>
      </c>
      <c r="E1256" s="1">
        <v>3222</v>
      </c>
      <c r="F1256" s="1">
        <v>2023</v>
      </c>
      <c r="G1256" t="s">
        <v>11</v>
      </c>
      <c r="H1256" s="2">
        <v>45219.750127314815</v>
      </c>
      <c r="I1256" s="9">
        <f t="shared" si="175"/>
        <v>45224</v>
      </c>
      <c r="J1256" s="2" t="str">
        <f t="shared" si="176"/>
        <v/>
      </c>
      <c r="L1256" s="2" t="str">
        <f t="shared" si="177"/>
        <v/>
      </c>
      <c r="N1256" s="10" t="str">
        <f t="shared" si="178"/>
        <v/>
      </c>
      <c r="O1256" s="2">
        <f t="shared" si="179"/>
        <v>45224</v>
      </c>
      <c r="P1256" s="2">
        <v>45223.458564814813</v>
      </c>
      <c r="Q1256" s="2">
        <f t="shared" si="180"/>
        <v>45230</v>
      </c>
      <c r="R1256" s="2">
        <v>45224.595833333333</v>
      </c>
      <c r="S1256">
        <f t="shared" si="181"/>
        <v>0</v>
      </c>
      <c r="T1256" s="2">
        <f t="shared" si="182"/>
        <v>45230</v>
      </c>
      <c r="U1256" t="str">
        <f t="shared" si="183"/>
        <v>NO PRAZO</v>
      </c>
    </row>
    <row r="1257" spans="1:21" hidden="1">
      <c r="A1257" s="1">
        <v>15222</v>
      </c>
      <c r="B1257" t="s">
        <v>19</v>
      </c>
      <c r="C1257" t="s">
        <v>13</v>
      </c>
      <c r="D1257" t="s">
        <v>18</v>
      </c>
      <c r="E1257" s="1">
        <v>3200</v>
      </c>
      <c r="F1257" s="1">
        <v>2023</v>
      </c>
      <c r="G1257" t="s">
        <v>11</v>
      </c>
      <c r="H1257" s="2">
        <v>45219.66678240741</v>
      </c>
      <c r="I1257" s="9">
        <f t="shared" si="175"/>
        <v>45224</v>
      </c>
      <c r="J1257" s="2" t="str">
        <f t="shared" si="176"/>
        <v/>
      </c>
      <c r="L1257" s="2" t="str">
        <f t="shared" si="177"/>
        <v/>
      </c>
      <c r="N1257" s="10" t="str">
        <f t="shared" si="178"/>
        <v/>
      </c>
      <c r="O1257" s="2">
        <f t="shared" si="179"/>
        <v>45224</v>
      </c>
      <c r="P1257" s="2">
        <v>45223.42527777778</v>
      </c>
      <c r="Q1257" s="2">
        <f t="shared" si="180"/>
        <v>45230</v>
      </c>
      <c r="R1257" s="2">
        <v>45223.457766203705</v>
      </c>
      <c r="S1257">
        <f t="shared" si="181"/>
        <v>0</v>
      </c>
      <c r="T1257" s="2">
        <f t="shared" si="182"/>
        <v>45230</v>
      </c>
      <c r="U1257" t="str">
        <f t="shared" si="183"/>
        <v>NO PRAZO</v>
      </c>
    </row>
    <row r="1258" spans="1:21" hidden="1">
      <c r="A1258" s="1">
        <v>15214</v>
      </c>
      <c r="B1258" t="s">
        <v>20</v>
      </c>
      <c r="C1258" t="s">
        <v>13</v>
      </c>
      <c r="D1258" t="s">
        <v>18</v>
      </c>
      <c r="E1258" s="1">
        <v>3192</v>
      </c>
      <c r="F1258" s="1">
        <v>2023</v>
      </c>
      <c r="G1258" t="s">
        <v>11</v>
      </c>
      <c r="H1258" s="2">
        <v>45219.41679398148</v>
      </c>
      <c r="I1258" s="9">
        <f t="shared" si="175"/>
        <v>45224</v>
      </c>
      <c r="J1258" s="2" t="str">
        <f t="shared" si="176"/>
        <v/>
      </c>
      <c r="L1258" s="2" t="str">
        <f t="shared" si="177"/>
        <v/>
      </c>
      <c r="N1258" s="10" t="str">
        <f t="shared" si="178"/>
        <v/>
      </c>
      <c r="O1258" s="2">
        <f t="shared" si="179"/>
        <v>45224</v>
      </c>
      <c r="P1258" s="2">
        <v>45222.399652777778</v>
      </c>
      <c r="Q1258" s="2">
        <f t="shared" si="180"/>
        <v>45230</v>
      </c>
      <c r="R1258" s="2">
        <v>45222.412615740737</v>
      </c>
      <c r="S1258">
        <f t="shared" si="181"/>
        <v>0</v>
      </c>
      <c r="T1258" s="2">
        <f t="shared" si="182"/>
        <v>45230</v>
      </c>
      <c r="U1258" t="str">
        <f t="shared" si="183"/>
        <v>NO PRAZO</v>
      </c>
    </row>
    <row r="1259" spans="1:21" hidden="1">
      <c r="A1259" s="1">
        <v>15212</v>
      </c>
      <c r="B1259" t="s">
        <v>19</v>
      </c>
      <c r="C1259" t="s">
        <v>13</v>
      </c>
      <c r="D1259" t="s">
        <v>14</v>
      </c>
      <c r="E1259" s="1">
        <v>3190</v>
      </c>
      <c r="F1259" s="1">
        <v>2023</v>
      </c>
      <c r="G1259" t="s">
        <v>11</v>
      </c>
      <c r="H1259" s="2">
        <v>45219.375104166669</v>
      </c>
      <c r="I1259" s="9">
        <f t="shared" si="175"/>
        <v>45222</v>
      </c>
      <c r="J1259" s="2" t="str">
        <f t="shared" si="176"/>
        <v/>
      </c>
      <c r="L1259" s="2" t="str">
        <f t="shared" si="177"/>
        <v/>
      </c>
      <c r="N1259" s="10" t="str">
        <f t="shared" si="178"/>
        <v/>
      </c>
      <c r="O1259" s="2">
        <f t="shared" si="179"/>
        <v>45222</v>
      </c>
      <c r="P1259" s="2">
        <v>45222.754212962966</v>
      </c>
      <c r="Q1259" s="2">
        <f t="shared" si="180"/>
        <v>45223</v>
      </c>
      <c r="R1259" s="2">
        <v>45222.766793981478</v>
      </c>
      <c r="S1259">
        <f t="shared" si="181"/>
        <v>0</v>
      </c>
      <c r="T1259" s="2">
        <f t="shared" si="182"/>
        <v>45223</v>
      </c>
      <c r="U1259" t="str">
        <f t="shared" si="183"/>
        <v>NO PRAZO</v>
      </c>
    </row>
    <row r="1260" spans="1:21" hidden="1">
      <c r="A1260" s="1">
        <v>15195</v>
      </c>
      <c r="B1260" t="s">
        <v>20</v>
      </c>
      <c r="C1260" t="s">
        <v>13</v>
      </c>
      <c r="D1260" t="s">
        <v>18</v>
      </c>
      <c r="E1260" s="1">
        <v>3173</v>
      </c>
      <c r="F1260" s="1">
        <v>2023</v>
      </c>
      <c r="G1260" t="s">
        <v>11</v>
      </c>
      <c r="H1260" s="2">
        <v>45217.791817129626</v>
      </c>
      <c r="I1260" s="9">
        <f t="shared" si="175"/>
        <v>45222</v>
      </c>
      <c r="J1260" s="2" t="str">
        <f t="shared" si="176"/>
        <v/>
      </c>
      <c r="L1260" s="2" t="str">
        <f t="shared" si="177"/>
        <v/>
      </c>
      <c r="N1260" s="10" t="str">
        <f t="shared" si="178"/>
        <v/>
      </c>
      <c r="O1260" s="2">
        <f t="shared" si="179"/>
        <v>45222</v>
      </c>
      <c r="P1260" s="2">
        <v>45218.612627314818</v>
      </c>
      <c r="Q1260" s="2">
        <f t="shared" si="180"/>
        <v>45226</v>
      </c>
      <c r="R1260" s="2">
        <v>45222.712442129632</v>
      </c>
      <c r="S1260">
        <f t="shared" si="181"/>
        <v>0</v>
      </c>
      <c r="T1260" s="2">
        <f t="shared" si="182"/>
        <v>45226</v>
      </c>
      <c r="U1260" t="str">
        <f t="shared" si="183"/>
        <v>NO PRAZO</v>
      </c>
    </row>
    <row r="1261" spans="1:21" hidden="1">
      <c r="A1261" s="1">
        <v>15191</v>
      </c>
      <c r="B1261" t="s">
        <v>20</v>
      </c>
      <c r="C1261" t="s">
        <v>13</v>
      </c>
      <c r="D1261" t="s">
        <v>18</v>
      </c>
      <c r="E1261" s="1">
        <v>3169</v>
      </c>
      <c r="F1261" s="1">
        <v>2023</v>
      </c>
      <c r="G1261" t="s">
        <v>11</v>
      </c>
      <c r="H1261" s="2">
        <v>45217.750127314815</v>
      </c>
      <c r="I1261" s="9">
        <f t="shared" si="175"/>
        <v>45222</v>
      </c>
      <c r="J1261" s="2" t="str">
        <f t="shared" si="176"/>
        <v/>
      </c>
      <c r="L1261" s="2" t="str">
        <f t="shared" si="177"/>
        <v/>
      </c>
      <c r="N1261" s="10" t="str">
        <f t="shared" si="178"/>
        <v/>
      </c>
      <c r="O1261" s="2">
        <f t="shared" si="179"/>
        <v>45222</v>
      </c>
      <c r="P1261" s="2">
        <v>45219.489351851851</v>
      </c>
      <c r="Q1261" s="2">
        <f t="shared" si="180"/>
        <v>45226</v>
      </c>
      <c r="R1261" s="2">
        <v>45222.417812500003</v>
      </c>
      <c r="S1261">
        <f t="shared" si="181"/>
        <v>0</v>
      </c>
      <c r="T1261" s="2">
        <f t="shared" si="182"/>
        <v>45226</v>
      </c>
      <c r="U1261" t="str">
        <f t="shared" si="183"/>
        <v>NO PRAZO</v>
      </c>
    </row>
    <row r="1262" spans="1:21" hidden="1">
      <c r="A1262" s="1">
        <v>15188</v>
      </c>
      <c r="B1262" t="s">
        <v>12</v>
      </c>
      <c r="C1262" t="s">
        <v>13</v>
      </c>
      <c r="D1262" t="s">
        <v>10</v>
      </c>
      <c r="E1262" s="1">
        <v>3166</v>
      </c>
      <c r="F1262" s="1">
        <v>2023</v>
      </c>
      <c r="G1262" t="s">
        <v>11</v>
      </c>
      <c r="H1262" s="2">
        <v>45217.583460648151</v>
      </c>
      <c r="I1262" s="9">
        <f t="shared" si="175"/>
        <v>45218</v>
      </c>
      <c r="J1262" s="2" t="str">
        <f t="shared" si="176"/>
        <v/>
      </c>
      <c r="L1262" s="2" t="str">
        <f t="shared" si="177"/>
        <v/>
      </c>
      <c r="N1262" s="10" t="str">
        <f t="shared" si="178"/>
        <v/>
      </c>
      <c r="O1262" s="2">
        <f t="shared" si="179"/>
        <v>45218</v>
      </c>
      <c r="P1262" s="2">
        <v>45219.604131944441</v>
      </c>
      <c r="Q1262" s="2">
        <f t="shared" si="180"/>
        <v>45219</v>
      </c>
      <c r="R1262" s="2">
        <v>45219.604259259257</v>
      </c>
      <c r="S1262">
        <f t="shared" si="181"/>
        <v>0</v>
      </c>
      <c r="T1262" s="2">
        <f t="shared" si="182"/>
        <v>45219</v>
      </c>
      <c r="U1262" t="str">
        <f t="shared" si="183"/>
        <v>NO PRAZO</v>
      </c>
    </row>
    <row r="1263" spans="1:21" hidden="1">
      <c r="A1263" s="1">
        <v>15180</v>
      </c>
      <c r="B1263" t="s">
        <v>20</v>
      </c>
      <c r="C1263" t="s">
        <v>13</v>
      </c>
      <c r="D1263" t="s">
        <v>18</v>
      </c>
      <c r="E1263" s="1">
        <v>3158</v>
      </c>
      <c r="F1263" s="1">
        <v>2023</v>
      </c>
      <c r="G1263" t="s">
        <v>11</v>
      </c>
      <c r="H1263" s="2">
        <v>45216.70753472222</v>
      </c>
      <c r="I1263" s="9">
        <f t="shared" si="175"/>
        <v>45219</v>
      </c>
      <c r="J1263" s="2" t="str">
        <f t="shared" si="176"/>
        <v/>
      </c>
      <c r="L1263" s="2" t="str">
        <f t="shared" si="177"/>
        <v/>
      </c>
      <c r="N1263" s="10" t="str">
        <f t="shared" si="178"/>
        <v/>
      </c>
      <c r="O1263" s="2">
        <f t="shared" si="179"/>
        <v>45219</v>
      </c>
      <c r="P1263" s="2">
        <v>45218.356620370374</v>
      </c>
      <c r="Q1263" s="2">
        <f t="shared" si="180"/>
        <v>45225</v>
      </c>
      <c r="R1263" s="2">
        <v>45219.700196759259</v>
      </c>
      <c r="S1263">
        <f t="shared" si="181"/>
        <v>0</v>
      </c>
      <c r="T1263" s="2">
        <f t="shared" si="182"/>
        <v>45225</v>
      </c>
      <c r="U1263" t="str">
        <f t="shared" si="183"/>
        <v>NO PRAZO</v>
      </c>
    </row>
    <row r="1264" spans="1:21" hidden="1">
      <c r="A1264" s="1">
        <v>15179</v>
      </c>
      <c r="B1264" t="s">
        <v>20</v>
      </c>
      <c r="C1264" t="s">
        <v>13</v>
      </c>
      <c r="D1264" t="s">
        <v>18</v>
      </c>
      <c r="E1264" s="1">
        <v>3157</v>
      </c>
      <c r="F1264" s="1">
        <v>2023</v>
      </c>
      <c r="G1264" t="s">
        <v>11</v>
      </c>
      <c r="H1264" s="2">
        <v>45216.665856481479</v>
      </c>
      <c r="I1264" s="9">
        <f t="shared" si="175"/>
        <v>45219</v>
      </c>
      <c r="J1264" s="2" t="str">
        <f t="shared" si="176"/>
        <v/>
      </c>
      <c r="L1264" s="2" t="str">
        <f t="shared" si="177"/>
        <v/>
      </c>
      <c r="N1264" s="10" t="str">
        <f t="shared" si="178"/>
        <v/>
      </c>
      <c r="O1264" s="2">
        <f t="shared" si="179"/>
        <v>45219</v>
      </c>
      <c r="P1264" s="2">
        <v>45222.449803240743</v>
      </c>
      <c r="Q1264" s="2">
        <f t="shared" si="180"/>
        <v>45225</v>
      </c>
      <c r="R1264" s="2">
        <v>45222.450092592589</v>
      </c>
      <c r="S1264">
        <f t="shared" si="181"/>
        <v>0</v>
      </c>
      <c r="T1264" s="2">
        <f t="shared" si="182"/>
        <v>45225</v>
      </c>
      <c r="U1264" t="str">
        <f t="shared" si="183"/>
        <v>NO PRAZO</v>
      </c>
    </row>
    <row r="1265" spans="1:21" hidden="1">
      <c r="A1265" s="1">
        <v>15177</v>
      </c>
      <c r="B1265" t="s">
        <v>17</v>
      </c>
      <c r="C1265" t="s">
        <v>9</v>
      </c>
      <c r="D1265" t="s">
        <v>18</v>
      </c>
      <c r="E1265" s="1">
        <v>3155</v>
      </c>
      <c r="F1265" s="1">
        <v>2023</v>
      </c>
      <c r="G1265" t="s">
        <v>11</v>
      </c>
      <c r="H1265" s="2">
        <v>45216.624247685184</v>
      </c>
      <c r="I1265" s="9">
        <f t="shared" si="175"/>
        <v>45219</v>
      </c>
      <c r="J1265" s="2" t="str">
        <f t="shared" si="176"/>
        <v/>
      </c>
      <c r="L1265" s="2" t="str">
        <f t="shared" si="177"/>
        <v/>
      </c>
      <c r="N1265" s="10" t="str">
        <f t="shared" si="178"/>
        <v/>
      </c>
      <c r="O1265" s="2">
        <f t="shared" si="179"/>
        <v>45219</v>
      </c>
      <c r="P1265" s="2">
        <v>45217.428472222222</v>
      </c>
      <c r="Q1265" s="2">
        <f t="shared" si="180"/>
        <v>45225</v>
      </c>
      <c r="R1265" s="2">
        <v>45217.429340277777</v>
      </c>
      <c r="S1265">
        <f t="shared" si="181"/>
        <v>0</v>
      </c>
      <c r="T1265" s="2">
        <f t="shared" si="182"/>
        <v>45225</v>
      </c>
      <c r="U1265" t="str">
        <f t="shared" si="183"/>
        <v>NO PRAZO</v>
      </c>
    </row>
    <row r="1266" spans="1:21" hidden="1">
      <c r="A1266" s="1">
        <v>15176</v>
      </c>
      <c r="B1266" t="s">
        <v>19</v>
      </c>
      <c r="C1266" t="s">
        <v>13</v>
      </c>
      <c r="D1266" t="s">
        <v>18</v>
      </c>
      <c r="E1266" s="1">
        <v>3154</v>
      </c>
      <c r="F1266" s="1">
        <v>2023</v>
      </c>
      <c r="G1266" t="s">
        <v>11</v>
      </c>
      <c r="H1266" s="2">
        <v>45216.624247685184</v>
      </c>
      <c r="I1266" s="9">
        <f t="shared" si="175"/>
        <v>45219</v>
      </c>
      <c r="J1266" s="2" t="str">
        <f t="shared" si="176"/>
        <v/>
      </c>
      <c r="L1266" s="2" t="str">
        <f t="shared" si="177"/>
        <v/>
      </c>
      <c r="N1266" s="10" t="str">
        <f t="shared" si="178"/>
        <v/>
      </c>
      <c r="O1266" s="2">
        <f t="shared" si="179"/>
        <v>45219</v>
      </c>
      <c r="P1266" s="2">
        <v>45222.653379629628</v>
      </c>
      <c r="Q1266" s="2">
        <f t="shared" si="180"/>
        <v>45225</v>
      </c>
      <c r="R1266" s="2">
        <v>45222.765543981484</v>
      </c>
      <c r="S1266">
        <f t="shared" si="181"/>
        <v>0</v>
      </c>
      <c r="T1266" s="2">
        <f t="shared" si="182"/>
        <v>45225</v>
      </c>
      <c r="U1266" t="str">
        <f t="shared" si="183"/>
        <v>NO PRAZO</v>
      </c>
    </row>
    <row r="1267" spans="1:21" hidden="1">
      <c r="A1267" s="1">
        <v>15167</v>
      </c>
      <c r="B1267" t="s">
        <v>12</v>
      </c>
      <c r="C1267" t="s">
        <v>13</v>
      </c>
      <c r="D1267" t="s">
        <v>21</v>
      </c>
      <c r="E1267" s="1">
        <v>3145</v>
      </c>
      <c r="F1267" s="1">
        <v>2023</v>
      </c>
      <c r="G1267" t="s">
        <v>11</v>
      </c>
      <c r="H1267" s="2">
        <v>45216.374201388891</v>
      </c>
      <c r="I1267" s="9">
        <f t="shared" si="175"/>
        <v>45219</v>
      </c>
      <c r="J1267" s="2" t="str">
        <f t="shared" si="176"/>
        <v/>
      </c>
      <c r="L1267" s="2" t="str">
        <f t="shared" si="177"/>
        <v/>
      </c>
      <c r="N1267" s="10" t="str">
        <f t="shared" si="178"/>
        <v/>
      </c>
      <c r="O1267" s="2">
        <f t="shared" si="179"/>
        <v>45219</v>
      </c>
      <c r="P1267" s="2">
        <v>45219.672673611109</v>
      </c>
      <c r="Q1267" s="2">
        <f t="shared" si="180"/>
        <v>45251</v>
      </c>
      <c r="R1267" s="2">
        <v>45225.68482638889</v>
      </c>
      <c r="S1267">
        <f t="shared" si="181"/>
        <v>0</v>
      </c>
      <c r="T1267" s="2">
        <f t="shared" si="182"/>
        <v>45251</v>
      </c>
      <c r="U1267" t="str">
        <f t="shared" si="183"/>
        <v>NO PRAZO</v>
      </c>
    </row>
    <row r="1268" spans="1:21" hidden="1">
      <c r="A1268" s="1">
        <v>15165</v>
      </c>
      <c r="B1268" t="s">
        <v>12</v>
      </c>
      <c r="C1268" t="s">
        <v>13</v>
      </c>
      <c r="D1268" t="s">
        <v>18</v>
      </c>
      <c r="E1268" s="1">
        <v>3143</v>
      </c>
      <c r="F1268" s="1">
        <v>2023</v>
      </c>
      <c r="G1268" t="s">
        <v>11</v>
      </c>
      <c r="H1268" s="2">
        <v>45215.665891203702</v>
      </c>
      <c r="I1268" s="9">
        <f t="shared" si="175"/>
        <v>45218</v>
      </c>
      <c r="J1268" s="2" t="str">
        <f t="shared" si="176"/>
        <v/>
      </c>
      <c r="L1268" s="2" t="str">
        <f t="shared" si="177"/>
        <v/>
      </c>
      <c r="N1268" s="10" t="str">
        <f t="shared" si="178"/>
        <v/>
      </c>
      <c r="O1268" s="2">
        <f t="shared" si="179"/>
        <v>45218</v>
      </c>
      <c r="P1268" s="2">
        <v>45216.489965277775</v>
      </c>
      <c r="Q1268" s="2">
        <f t="shared" si="180"/>
        <v>45224</v>
      </c>
      <c r="R1268" s="2">
        <v>45218.398379629631</v>
      </c>
      <c r="S1268">
        <f t="shared" si="181"/>
        <v>0</v>
      </c>
      <c r="T1268" s="2">
        <f t="shared" si="182"/>
        <v>45224</v>
      </c>
      <c r="U1268" t="str">
        <f t="shared" si="183"/>
        <v>NO PRAZO</v>
      </c>
    </row>
    <row r="1269" spans="1:21" hidden="1">
      <c r="A1269" s="1">
        <v>15164</v>
      </c>
      <c r="B1269" t="s">
        <v>24</v>
      </c>
      <c r="C1269" t="s">
        <v>13</v>
      </c>
      <c r="D1269" t="s">
        <v>10</v>
      </c>
      <c r="E1269" s="1">
        <v>3142</v>
      </c>
      <c r="F1269" s="1">
        <v>2023</v>
      </c>
      <c r="G1269" t="s">
        <v>11</v>
      </c>
      <c r="H1269" s="2">
        <v>45215.624259259261</v>
      </c>
      <c r="I1269" s="9">
        <f t="shared" si="175"/>
        <v>45216</v>
      </c>
      <c r="J1269" s="2" t="str">
        <f t="shared" si="176"/>
        <v/>
      </c>
      <c r="L1269" s="2" t="str">
        <f t="shared" si="177"/>
        <v/>
      </c>
      <c r="N1269" s="10" t="str">
        <f t="shared" si="178"/>
        <v/>
      </c>
      <c r="O1269" s="2">
        <f t="shared" si="179"/>
        <v>45216</v>
      </c>
      <c r="P1269" s="2">
        <v>45216.684027777781</v>
      </c>
      <c r="Q1269" s="2">
        <f t="shared" si="180"/>
        <v>45217</v>
      </c>
      <c r="R1269" s="2">
        <v>45216.699664351851</v>
      </c>
      <c r="S1269">
        <f t="shared" si="181"/>
        <v>0</v>
      </c>
      <c r="T1269" s="2">
        <f t="shared" si="182"/>
        <v>45217</v>
      </c>
      <c r="U1269" t="str">
        <f t="shared" si="183"/>
        <v>NO PRAZO</v>
      </c>
    </row>
    <row r="1270" spans="1:21" hidden="1">
      <c r="A1270" s="1">
        <v>15161</v>
      </c>
      <c r="B1270" t="s">
        <v>20</v>
      </c>
      <c r="C1270" t="s">
        <v>13</v>
      </c>
      <c r="D1270" t="s">
        <v>18</v>
      </c>
      <c r="E1270" s="1">
        <v>3139</v>
      </c>
      <c r="F1270" s="1">
        <v>2023</v>
      </c>
      <c r="G1270" t="s">
        <v>11</v>
      </c>
      <c r="H1270" s="2">
        <v>45215.499259259261</v>
      </c>
      <c r="I1270" s="9">
        <f t="shared" si="175"/>
        <v>45218</v>
      </c>
      <c r="J1270" s="2" t="str">
        <f t="shared" si="176"/>
        <v/>
      </c>
      <c r="L1270" s="2" t="str">
        <f t="shared" si="177"/>
        <v/>
      </c>
      <c r="N1270" s="10" t="str">
        <f t="shared" si="178"/>
        <v/>
      </c>
      <c r="O1270" s="2">
        <f t="shared" si="179"/>
        <v>45218</v>
      </c>
      <c r="P1270" s="2">
        <v>45216.454641203702</v>
      </c>
      <c r="Q1270" s="2">
        <f t="shared" si="180"/>
        <v>45224</v>
      </c>
      <c r="R1270" s="2">
        <v>45218.642569444448</v>
      </c>
      <c r="S1270">
        <f t="shared" si="181"/>
        <v>0</v>
      </c>
      <c r="T1270" s="2">
        <f t="shared" si="182"/>
        <v>45224</v>
      </c>
      <c r="U1270" t="str">
        <f t="shared" si="183"/>
        <v>NO PRAZO</v>
      </c>
    </row>
    <row r="1271" spans="1:21" hidden="1">
      <c r="A1271" s="1">
        <v>15144</v>
      </c>
      <c r="B1271" t="s">
        <v>19</v>
      </c>
      <c r="C1271" t="s">
        <v>13</v>
      </c>
      <c r="D1271" t="s">
        <v>18</v>
      </c>
      <c r="E1271" s="1">
        <v>3122</v>
      </c>
      <c r="F1271" s="1">
        <v>2023</v>
      </c>
      <c r="G1271" t="s">
        <v>11</v>
      </c>
      <c r="H1271" s="2">
        <v>45210.707546296297</v>
      </c>
      <c r="I1271" s="9">
        <f t="shared" si="175"/>
        <v>45216</v>
      </c>
      <c r="J1271" s="2" t="str">
        <f t="shared" si="176"/>
        <v/>
      </c>
      <c r="L1271" s="2" t="str">
        <f t="shared" si="177"/>
        <v/>
      </c>
      <c r="N1271" s="10" t="str">
        <f t="shared" si="178"/>
        <v/>
      </c>
      <c r="O1271" s="2">
        <f t="shared" si="179"/>
        <v>45216</v>
      </c>
      <c r="P1271" s="2">
        <v>45216.729467592595</v>
      </c>
      <c r="Q1271" s="2">
        <f t="shared" si="180"/>
        <v>45222</v>
      </c>
      <c r="R1271" s="2">
        <v>45216.729699074072</v>
      </c>
      <c r="S1271">
        <f t="shared" si="181"/>
        <v>0</v>
      </c>
      <c r="T1271" s="2">
        <f t="shared" si="182"/>
        <v>45222</v>
      </c>
      <c r="U1271" t="str">
        <f t="shared" si="183"/>
        <v>NO PRAZO</v>
      </c>
    </row>
    <row r="1272" spans="1:21" hidden="1">
      <c r="A1272" s="1">
        <v>15125</v>
      </c>
      <c r="B1272" t="s">
        <v>17</v>
      </c>
      <c r="C1272" t="s">
        <v>9</v>
      </c>
      <c r="D1272" t="s">
        <v>10</v>
      </c>
      <c r="E1272" s="1">
        <v>3103</v>
      </c>
      <c r="F1272" s="1">
        <v>2023</v>
      </c>
      <c r="G1272" t="s">
        <v>11</v>
      </c>
      <c r="H1272" s="2">
        <v>45209.666770833333</v>
      </c>
      <c r="I1272" s="9">
        <f t="shared" si="175"/>
        <v>45210</v>
      </c>
      <c r="J1272" s="2" t="str">
        <f t="shared" si="176"/>
        <v/>
      </c>
      <c r="L1272" s="2" t="str">
        <f t="shared" si="177"/>
        <v/>
      </c>
      <c r="N1272" s="10" t="str">
        <f t="shared" si="178"/>
        <v/>
      </c>
      <c r="O1272" s="2">
        <f t="shared" si="179"/>
        <v>45210</v>
      </c>
      <c r="P1272" s="2">
        <v>45210.612673611111</v>
      </c>
      <c r="Q1272" s="2">
        <f t="shared" si="180"/>
        <v>45212</v>
      </c>
      <c r="R1272" s="2">
        <v>45210.702175925922</v>
      </c>
      <c r="S1272">
        <f t="shared" si="181"/>
        <v>0</v>
      </c>
      <c r="T1272" s="2">
        <f t="shared" si="182"/>
        <v>45212</v>
      </c>
      <c r="U1272" t="str">
        <f t="shared" si="183"/>
        <v>NO PRAZO</v>
      </c>
    </row>
    <row r="1273" spans="1:21">
      <c r="A1273" s="1">
        <v>15118</v>
      </c>
      <c r="B1273" t="s">
        <v>20</v>
      </c>
      <c r="C1273" t="s">
        <v>13</v>
      </c>
      <c r="D1273" t="s">
        <v>16</v>
      </c>
      <c r="E1273" s="1">
        <v>3096</v>
      </c>
      <c r="F1273" s="1">
        <v>2023</v>
      </c>
      <c r="G1273" t="s">
        <v>11</v>
      </c>
      <c r="H1273" s="2">
        <v>45209.500092592592</v>
      </c>
      <c r="I1273" s="9">
        <f t="shared" si="175"/>
        <v>45210</v>
      </c>
      <c r="J1273" s="2" t="str">
        <f t="shared" si="176"/>
        <v/>
      </c>
      <c r="L1273" s="2" t="str">
        <f t="shared" si="177"/>
        <v/>
      </c>
      <c r="N1273" s="10" t="str">
        <f t="shared" si="178"/>
        <v/>
      </c>
      <c r="O1273" s="2">
        <f t="shared" si="179"/>
        <v>45210</v>
      </c>
      <c r="P1273" s="2">
        <v>45210.484259259261</v>
      </c>
      <c r="Q1273" s="2">
        <f t="shared" si="180"/>
        <v>45217</v>
      </c>
      <c r="R1273" s="2">
        <v>45231.664930555555</v>
      </c>
      <c r="S1273">
        <f t="shared" si="181"/>
        <v>14</v>
      </c>
      <c r="T1273" s="2">
        <f t="shared" si="182"/>
        <v>45217</v>
      </c>
      <c r="U1273" t="str">
        <f t="shared" si="183"/>
        <v>ATRASO</v>
      </c>
    </row>
    <row r="1274" spans="1:21">
      <c r="A1274" s="1">
        <v>15117</v>
      </c>
      <c r="B1274" t="s">
        <v>19</v>
      </c>
      <c r="C1274" t="s">
        <v>13</v>
      </c>
      <c r="D1274" t="s">
        <v>14</v>
      </c>
      <c r="E1274" s="1">
        <v>3095</v>
      </c>
      <c r="F1274" s="1">
        <v>2023</v>
      </c>
      <c r="G1274" t="s">
        <v>11</v>
      </c>
      <c r="H1274" s="2">
        <v>45209.458391203705</v>
      </c>
      <c r="I1274" s="9">
        <f t="shared" si="175"/>
        <v>45210</v>
      </c>
      <c r="J1274" s="2" t="str">
        <f t="shared" si="176"/>
        <v/>
      </c>
      <c r="L1274" s="2" t="str">
        <f t="shared" si="177"/>
        <v/>
      </c>
      <c r="N1274" s="10" t="str">
        <f t="shared" si="178"/>
        <v/>
      </c>
      <c r="O1274" s="2">
        <f t="shared" si="179"/>
        <v>45210</v>
      </c>
      <c r="P1274" s="2">
        <v>45215.801493055558</v>
      </c>
      <c r="Q1274" s="2">
        <f t="shared" si="180"/>
        <v>45212</v>
      </c>
      <c r="R1274" s="2">
        <v>45215.801608796297</v>
      </c>
      <c r="S1274">
        <f t="shared" si="181"/>
        <v>3</v>
      </c>
      <c r="T1274" s="2">
        <f t="shared" si="182"/>
        <v>45212</v>
      </c>
      <c r="U1274" t="str">
        <f t="shared" si="183"/>
        <v>ATRASO</v>
      </c>
    </row>
    <row r="1275" spans="1:21" hidden="1">
      <c r="A1275" s="1">
        <v>15116</v>
      </c>
      <c r="B1275" t="s">
        <v>19</v>
      </c>
      <c r="C1275" t="s">
        <v>13</v>
      </c>
      <c r="D1275" t="s">
        <v>18</v>
      </c>
      <c r="E1275" s="1">
        <v>3094</v>
      </c>
      <c r="F1275" s="1">
        <v>2023</v>
      </c>
      <c r="G1275" t="s">
        <v>11</v>
      </c>
      <c r="H1275" s="2">
        <v>45209.458391203705</v>
      </c>
      <c r="I1275" s="9">
        <f t="shared" si="175"/>
        <v>45215</v>
      </c>
      <c r="J1275" s="2" t="str">
        <f t="shared" si="176"/>
        <v/>
      </c>
      <c r="L1275" s="2" t="str">
        <f t="shared" si="177"/>
        <v/>
      </c>
      <c r="N1275" s="10" t="str">
        <f t="shared" si="178"/>
        <v/>
      </c>
      <c r="O1275" s="2">
        <f t="shared" si="179"/>
        <v>45215</v>
      </c>
      <c r="P1275" s="2">
        <v>45216.728078703702</v>
      </c>
      <c r="Q1275" s="2">
        <f t="shared" si="180"/>
        <v>45219</v>
      </c>
      <c r="R1275" s="2">
        <v>45216.728530092594</v>
      </c>
      <c r="S1275">
        <f t="shared" si="181"/>
        <v>0</v>
      </c>
      <c r="T1275" s="2">
        <f t="shared" si="182"/>
        <v>45219</v>
      </c>
      <c r="U1275" t="str">
        <f t="shared" si="183"/>
        <v>NO PRAZO</v>
      </c>
    </row>
    <row r="1276" spans="1:21" hidden="1">
      <c r="A1276" s="1">
        <v>15110</v>
      </c>
      <c r="B1276" t="s">
        <v>12</v>
      </c>
      <c r="C1276" t="s">
        <v>13</v>
      </c>
      <c r="D1276" t="s">
        <v>18</v>
      </c>
      <c r="E1276" s="1">
        <v>3088</v>
      </c>
      <c r="F1276" s="1">
        <v>2023</v>
      </c>
      <c r="G1276" t="s">
        <v>11</v>
      </c>
      <c r="H1276" s="2">
        <v>45208.625115740739</v>
      </c>
      <c r="I1276" s="9">
        <f t="shared" si="175"/>
        <v>45212</v>
      </c>
      <c r="J1276" s="2" t="str">
        <f t="shared" si="176"/>
        <v/>
      </c>
      <c r="L1276" s="2" t="str">
        <f t="shared" si="177"/>
        <v/>
      </c>
      <c r="N1276" s="10" t="str">
        <f t="shared" si="178"/>
        <v/>
      </c>
      <c r="O1276" s="2">
        <f t="shared" si="179"/>
        <v>45212</v>
      </c>
      <c r="P1276" s="2">
        <v>45210.522164351853</v>
      </c>
      <c r="Q1276" s="2">
        <f t="shared" si="180"/>
        <v>45218</v>
      </c>
      <c r="R1276" s="2">
        <v>45215.39234953704</v>
      </c>
      <c r="S1276">
        <f t="shared" si="181"/>
        <v>0</v>
      </c>
      <c r="T1276" s="2">
        <f t="shared" si="182"/>
        <v>45218</v>
      </c>
      <c r="U1276" t="str">
        <f t="shared" si="183"/>
        <v>NO PRAZO</v>
      </c>
    </row>
    <row r="1277" spans="1:21" hidden="1">
      <c r="A1277" s="1">
        <v>15087</v>
      </c>
      <c r="B1277" t="s">
        <v>12</v>
      </c>
      <c r="C1277" t="s">
        <v>13</v>
      </c>
      <c r="D1277" t="s">
        <v>14</v>
      </c>
      <c r="E1277" s="1">
        <v>3065</v>
      </c>
      <c r="F1277" s="1">
        <v>2023</v>
      </c>
      <c r="G1277" t="s">
        <v>11</v>
      </c>
      <c r="H1277" s="2">
        <v>45204.664375</v>
      </c>
      <c r="I1277" s="9">
        <f t="shared" si="175"/>
        <v>45205</v>
      </c>
      <c r="J1277" s="2" t="str">
        <f t="shared" si="176"/>
        <v/>
      </c>
      <c r="L1277" s="2" t="str">
        <f t="shared" si="177"/>
        <v/>
      </c>
      <c r="N1277" s="10" t="str">
        <f t="shared" si="178"/>
        <v/>
      </c>
      <c r="O1277" s="2">
        <f t="shared" si="179"/>
        <v>45205</v>
      </c>
      <c r="P1277" s="2">
        <v>45204.732847222222</v>
      </c>
      <c r="Q1277" s="2">
        <f t="shared" si="180"/>
        <v>45208</v>
      </c>
      <c r="R1277" s="2">
        <v>45208.416122685187</v>
      </c>
      <c r="S1277">
        <f t="shared" si="181"/>
        <v>0</v>
      </c>
      <c r="T1277" s="2">
        <f t="shared" si="182"/>
        <v>45208</v>
      </c>
      <c r="U1277" t="str">
        <f t="shared" si="183"/>
        <v>NO PRAZO</v>
      </c>
    </row>
    <row r="1278" spans="1:21" hidden="1">
      <c r="A1278" s="1">
        <v>15086</v>
      </c>
      <c r="B1278" t="s">
        <v>19</v>
      </c>
      <c r="C1278" t="s">
        <v>13</v>
      </c>
      <c r="D1278" t="s">
        <v>16</v>
      </c>
      <c r="E1278" s="1">
        <v>3064</v>
      </c>
      <c r="F1278" s="1">
        <v>2023</v>
      </c>
      <c r="G1278" t="s">
        <v>11</v>
      </c>
      <c r="H1278" s="2">
        <v>45204.625150462962</v>
      </c>
      <c r="I1278" s="9">
        <f t="shared" si="175"/>
        <v>45205</v>
      </c>
      <c r="J1278" s="2" t="str">
        <f t="shared" si="176"/>
        <v/>
      </c>
      <c r="L1278" s="2" t="str">
        <f t="shared" si="177"/>
        <v/>
      </c>
      <c r="N1278" s="10" t="str">
        <f t="shared" si="178"/>
        <v/>
      </c>
      <c r="O1278" s="2">
        <f t="shared" si="179"/>
        <v>45205</v>
      </c>
      <c r="P1278" s="2">
        <v>45210.582418981481</v>
      </c>
      <c r="Q1278" s="2">
        <f t="shared" si="180"/>
        <v>45212</v>
      </c>
      <c r="R1278" s="2">
        <v>45210.658761574072</v>
      </c>
      <c r="S1278">
        <f t="shared" si="181"/>
        <v>0</v>
      </c>
      <c r="T1278" s="2">
        <f t="shared" si="182"/>
        <v>45212</v>
      </c>
      <c r="U1278" t="str">
        <f t="shared" si="183"/>
        <v>NO PRAZO</v>
      </c>
    </row>
    <row r="1279" spans="1:21" hidden="1">
      <c r="A1279" s="1">
        <v>15078</v>
      </c>
      <c r="B1279" t="s">
        <v>17</v>
      </c>
      <c r="C1279" t="s">
        <v>9</v>
      </c>
      <c r="D1279" t="s">
        <v>18</v>
      </c>
      <c r="E1279" s="1">
        <v>3056</v>
      </c>
      <c r="F1279" s="1">
        <v>2023</v>
      </c>
      <c r="G1279" t="s">
        <v>11</v>
      </c>
      <c r="H1279" s="2">
        <v>45203.750104166669</v>
      </c>
      <c r="I1279" s="9">
        <f t="shared" si="175"/>
        <v>45208</v>
      </c>
      <c r="J1279" s="2" t="str">
        <f t="shared" si="176"/>
        <v/>
      </c>
      <c r="L1279" s="2" t="str">
        <f t="shared" si="177"/>
        <v/>
      </c>
      <c r="N1279" s="10" t="str">
        <f t="shared" si="178"/>
        <v/>
      </c>
      <c r="O1279" s="2">
        <f t="shared" si="179"/>
        <v>45208</v>
      </c>
      <c r="P1279" s="2">
        <v>45205.61446759259</v>
      </c>
      <c r="Q1279" s="2">
        <f t="shared" si="180"/>
        <v>45215</v>
      </c>
      <c r="R1279" s="2">
        <v>45208.442060185182</v>
      </c>
      <c r="S1279">
        <f t="shared" si="181"/>
        <v>0</v>
      </c>
      <c r="T1279" s="2">
        <f t="shared" si="182"/>
        <v>45215</v>
      </c>
      <c r="U1279" t="str">
        <f t="shared" si="183"/>
        <v>NO PRAZO</v>
      </c>
    </row>
    <row r="1280" spans="1:21" hidden="1">
      <c r="A1280" s="1">
        <v>15075</v>
      </c>
      <c r="B1280" t="s">
        <v>17</v>
      </c>
      <c r="C1280" t="s">
        <v>9</v>
      </c>
      <c r="D1280" t="s">
        <v>18</v>
      </c>
      <c r="E1280" s="1">
        <v>3053</v>
      </c>
      <c r="F1280" s="1">
        <v>2023</v>
      </c>
      <c r="G1280" t="s">
        <v>11</v>
      </c>
      <c r="H1280" s="2">
        <v>45203.666759259257</v>
      </c>
      <c r="I1280" s="9">
        <f t="shared" ref="I1280:I1343" si="184">IF(OR(D1280="ORIENTAÇÃO",D1280="BUG IMPEDITIVO",D1280="BUG NÃO IMPEDITIVO"),WORKDAY(H1280,1,Z$2:Z$500),IF(OR(D1280="MELHORIA PEQUENA",D1280="MELHORIA MÉDIA"),WORKDAY(H1280,3,Z$2:Z$500),""))</f>
        <v>45208</v>
      </c>
      <c r="J1280" s="2" t="str">
        <f t="shared" si="176"/>
        <v/>
      </c>
      <c r="L1280" s="2" t="str">
        <f t="shared" si="177"/>
        <v/>
      </c>
      <c r="N1280" s="10" t="str">
        <f t="shared" si="178"/>
        <v/>
      </c>
      <c r="O1280" s="2">
        <f t="shared" si="179"/>
        <v>45208</v>
      </c>
      <c r="P1280" s="2">
        <v>45209.392766203702</v>
      </c>
      <c r="Q1280" s="2">
        <f t="shared" si="180"/>
        <v>45215</v>
      </c>
      <c r="R1280" s="2">
        <v>45209.393842592595</v>
      </c>
      <c r="S1280">
        <f t="shared" si="181"/>
        <v>0</v>
      </c>
      <c r="T1280" s="2">
        <f t="shared" si="182"/>
        <v>45215</v>
      </c>
      <c r="U1280" t="str">
        <f t="shared" si="183"/>
        <v>NO PRAZO</v>
      </c>
    </row>
    <row r="1281" spans="1:21" hidden="1">
      <c r="A1281" s="1">
        <v>15069</v>
      </c>
      <c r="B1281" t="s">
        <v>12</v>
      </c>
      <c r="C1281" t="s">
        <v>13</v>
      </c>
      <c r="D1281" t="s">
        <v>18</v>
      </c>
      <c r="E1281" s="1">
        <v>3047</v>
      </c>
      <c r="F1281" s="1">
        <v>2023</v>
      </c>
      <c r="G1281" t="s">
        <v>11</v>
      </c>
      <c r="H1281" s="2">
        <v>45203.458437499998</v>
      </c>
      <c r="I1281" s="9">
        <f t="shared" si="184"/>
        <v>45208</v>
      </c>
      <c r="J1281" s="2" t="str">
        <f t="shared" si="176"/>
        <v/>
      </c>
      <c r="L1281" s="2" t="str">
        <f t="shared" si="177"/>
        <v/>
      </c>
      <c r="N1281" s="10" t="str">
        <f t="shared" si="178"/>
        <v/>
      </c>
      <c r="O1281" s="2">
        <f t="shared" si="179"/>
        <v>45208</v>
      </c>
      <c r="P1281" s="2">
        <v>45205.585231481484</v>
      </c>
      <c r="Q1281" s="2">
        <f t="shared" si="180"/>
        <v>45215</v>
      </c>
      <c r="R1281" s="2">
        <v>45208.442511574074</v>
      </c>
      <c r="S1281">
        <f t="shared" si="181"/>
        <v>0</v>
      </c>
      <c r="T1281" s="2">
        <f t="shared" si="182"/>
        <v>45215</v>
      </c>
      <c r="U1281" t="str">
        <f t="shared" si="183"/>
        <v>NO PRAZO</v>
      </c>
    </row>
    <row r="1282" spans="1:21" hidden="1">
      <c r="A1282" s="1">
        <v>15038</v>
      </c>
      <c r="B1282" t="s">
        <v>8</v>
      </c>
      <c r="C1282" t="s">
        <v>13</v>
      </c>
      <c r="D1282" t="s">
        <v>14</v>
      </c>
      <c r="E1282" s="1">
        <v>3016</v>
      </c>
      <c r="F1282" s="1">
        <v>2023</v>
      </c>
      <c r="G1282" t="s">
        <v>11</v>
      </c>
      <c r="H1282" s="2">
        <v>45201.708425925928</v>
      </c>
      <c r="I1282" s="9">
        <f t="shared" si="184"/>
        <v>45202</v>
      </c>
      <c r="J1282" s="2" t="str">
        <f t="shared" si="176"/>
        <v/>
      </c>
      <c r="L1282" s="2" t="str">
        <f t="shared" si="177"/>
        <v/>
      </c>
      <c r="N1282" s="10" t="str">
        <f t="shared" si="178"/>
        <v/>
      </c>
      <c r="O1282" s="2">
        <f t="shared" si="179"/>
        <v>45202</v>
      </c>
      <c r="P1282" s="2">
        <v>45202.467939814815</v>
      </c>
      <c r="Q1282" s="2">
        <f t="shared" si="180"/>
        <v>45203</v>
      </c>
      <c r="R1282" s="2">
        <v>45202.502604166664</v>
      </c>
      <c r="S1282">
        <f t="shared" si="181"/>
        <v>0</v>
      </c>
      <c r="T1282" s="2">
        <f t="shared" si="182"/>
        <v>45203</v>
      </c>
      <c r="U1282" t="str">
        <f t="shared" si="183"/>
        <v>NO PRAZO</v>
      </c>
    </row>
    <row r="1283" spans="1:21" hidden="1">
      <c r="A1283" s="1">
        <v>15037</v>
      </c>
      <c r="B1283" t="s">
        <v>17</v>
      </c>
      <c r="C1283" t="s">
        <v>13</v>
      </c>
      <c r="D1283" t="s">
        <v>14</v>
      </c>
      <c r="E1283" s="1">
        <v>3015</v>
      </c>
      <c r="F1283" s="1">
        <v>2023</v>
      </c>
      <c r="G1283" t="s">
        <v>11</v>
      </c>
      <c r="H1283" s="2">
        <v>45201.66678240741</v>
      </c>
      <c r="I1283" s="9">
        <f t="shared" si="184"/>
        <v>45202</v>
      </c>
      <c r="J1283" s="2" t="str">
        <f t="shared" ref="J1283:J1346" si="185">IF(K1283&lt;&gt;"",I1283,"")</f>
        <v/>
      </c>
      <c r="L1283" s="2" t="str">
        <f t="shared" ref="L1283:L1346" si="186">IF(J1283="","",WORKDAY(J1283,14,Z$2:Z$500))</f>
        <v/>
      </c>
      <c r="N1283" s="10" t="str">
        <f t="shared" ref="N1283:N1346" si="187">IF(M1283="","",MAX(0,INT(M1283)-INT(L1283)))</f>
        <v/>
      </c>
      <c r="O1283" s="2">
        <f t="shared" ref="O1283:O1346" si="188">IF(L1283="",I1283,WORKDAY(L1283,1,Z$2:Z$500))</f>
        <v>45202</v>
      </c>
      <c r="P1283" s="2">
        <v>45202.467361111114</v>
      </c>
      <c r="Q1283" s="2">
        <f t="shared" ref="Q1283:Q1346" si="189">IF(OR(D1283="ORIENTAÇÃO",D1283="BUG IMPEDITIVO"),WORKDAY(O1283,1,Z$2:Z$500),IF(OR(D1283="MELHORIA PEQUENA",D1283="BUG NÃO IMPEDITIVO"),WORKDAY(O1283,4,Z$2:Z$500),IF(D1283="MELHORIA MÉDIA",WORKDAY(O1283,19,Z$2:Z$500),"")))</f>
        <v>45203</v>
      </c>
      <c r="R1283" s="2">
        <v>45202.502418981479</v>
      </c>
      <c r="S1283">
        <f t="shared" ref="S1283:S1346" si="190">MAX(0,INT(R1283)-INT(Q1283))</f>
        <v>0</v>
      </c>
      <c r="T1283" s="2">
        <f t="shared" ref="T1283:T1346" si="191">IF(D1283="MELHORIA MÉDIA",IF(K1283&lt;&gt;"",WORKDAY(I1283,34,$Z$2:$Z$1000),WORKDAY(I1283,19,$Z$2:$Z$1000)),IF(OR(D1283="MELHORIA PEQUENA",D1283="BUG NÃO IMPEDITIVO"),WORKDAY(I1283,4,$Z$2:$Z$1000),IF(OR(D1283="ORIENTAÇÃO",D1283="BUG IMPEDITIVO"),WORKDAY(I1283,1,$Z$2:$Z$1000),"")))</f>
        <v>45203</v>
      </c>
      <c r="U1283" t="str">
        <f t="shared" ref="U1283:U1346" si="192">IF(INT(R1283)&lt;=INT(T1283),"NO PRAZO","ATRASO")</f>
        <v>NO PRAZO</v>
      </c>
    </row>
    <row r="1284" spans="1:21" hidden="1">
      <c r="A1284" s="1">
        <v>15035</v>
      </c>
      <c r="B1284" t="s">
        <v>22</v>
      </c>
      <c r="C1284" t="s">
        <v>13</v>
      </c>
      <c r="D1284" t="s">
        <v>14</v>
      </c>
      <c r="E1284" s="1">
        <v>3013</v>
      </c>
      <c r="F1284" s="1">
        <v>2023</v>
      </c>
      <c r="G1284" t="s">
        <v>11</v>
      </c>
      <c r="H1284" s="2">
        <v>45201.583472222221</v>
      </c>
      <c r="I1284" s="9">
        <f t="shared" si="184"/>
        <v>45202</v>
      </c>
      <c r="J1284" s="2" t="str">
        <f t="shared" si="185"/>
        <v/>
      </c>
      <c r="L1284" s="2" t="str">
        <f t="shared" si="186"/>
        <v/>
      </c>
      <c r="N1284" s="10" t="str">
        <f t="shared" si="187"/>
        <v/>
      </c>
      <c r="O1284" s="2">
        <f t="shared" si="188"/>
        <v>45202</v>
      </c>
      <c r="P1284" s="2">
        <v>45202.466817129629</v>
      </c>
      <c r="Q1284" s="2">
        <f t="shared" si="189"/>
        <v>45203</v>
      </c>
      <c r="R1284" s="2">
        <v>45202.502789351849</v>
      </c>
      <c r="S1284">
        <f t="shared" si="190"/>
        <v>0</v>
      </c>
      <c r="T1284" s="2">
        <f t="shared" si="191"/>
        <v>45203</v>
      </c>
      <c r="U1284" t="str">
        <f t="shared" si="192"/>
        <v>NO PRAZO</v>
      </c>
    </row>
    <row r="1285" spans="1:21" hidden="1">
      <c r="A1285" s="1">
        <v>15032</v>
      </c>
      <c r="B1285" t="s">
        <v>20</v>
      </c>
      <c r="C1285" t="s">
        <v>13</v>
      </c>
      <c r="D1285" t="s">
        <v>18</v>
      </c>
      <c r="E1285" s="1">
        <v>3010</v>
      </c>
      <c r="F1285" s="1">
        <v>2023</v>
      </c>
      <c r="G1285" t="s">
        <v>11</v>
      </c>
      <c r="H1285" s="2">
        <v>45201.583472222221</v>
      </c>
      <c r="I1285" s="9">
        <f t="shared" si="184"/>
        <v>45204</v>
      </c>
      <c r="J1285" s="2" t="str">
        <f t="shared" si="185"/>
        <v/>
      </c>
      <c r="L1285" s="2" t="str">
        <f t="shared" si="186"/>
        <v/>
      </c>
      <c r="N1285" s="10" t="str">
        <f t="shared" si="187"/>
        <v/>
      </c>
      <c r="O1285" s="2">
        <f t="shared" si="188"/>
        <v>45204</v>
      </c>
      <c r="P1285" s="2">
        <v>45205.469097222223</v>
      </c>
      <c r="Q1285" s="2">
        <f t="shared" si="189"/>
        <v>45210</v>
      </c>
      <c r="R1285" s="2">
        <v>45205.660208333335</v>
      </c>
      <c r="S1285">
        <f t="shared" si="190"/>
        <v>0</v>
      </c>
      <c r="T1285" s="2">
        <f t="shared" si="191"/>
        <v>45210</v>
      </c>
      <c r="U1285" t="str">
        <f t="shared" si="192"/>
        <v>NO PRAZO</v>
      </c>
    </row>
    <row r="1286" spans="1:21" hidden="1">
      <c r="A1286" s="1">
        <v>15015</v>
      </c>
      <c r="B1286" t="s">
        <v>17</v>
      </c>
      <c r="C1286" t="s">
        <v>13</v>
      </c>
      <c r="D1286" t="s">
        <v>18</v>
      </c>
      <c r="E1286" s="1">
        <v>2993</v>
      </c>
      <c r="F1286" s="1">
        <v>2023</v>
      </c>
      <c r="G1286" t="s">
        <v>11</v>
      </c>
      <c r="H1286" s="2">
        <v>45198.708460648151</v>
      </c>
      <c r="I1286" s="9">
        <f t="shared" si="184"/>
        <v>45203</v>
      </c>
      <c r="J1286" s="2" t="str">
        <f t="shared" si="185"/>
        <v/>
      </c>
      <c r="L1286" s="2" t="str">
        <f t="shared" si="186"/>
        <v/>
      </c>
      <c r="N1286" s="10" t="str">
        <f t="shared" si="187"/>
        <v/>
      </c>
      <c r="O1286" s="2">
        <f t="shared" si="188"/>
        <v>45203</v>
      </c>
      <c r="P1286" s="2">
        <v>45201.390127314815</v>
      </c>
      <c r="Q1286" s="2">
        <f t="shared" si="189"/>
        <v>45209</v>
      </c>
      <c r="R1286" s="2">
        <v>45201.575752314813</v>
      </c>
      <c r="S1286">
        <f t="shared" si="190"/>
        <v>0</v>
      </c>
      <c r="T1286" s="2">
        <f t="shared" si="191"/>
        <v>45209</v>
      </c>
      <c r="U1286" t="str">
        <f t="shared" si="192"/>
        <v>NO PRAZO</v>
      </c>
    </row>
    <row r="1287" spans="1:21">
      <c r="A1287" s="1">
        <v>15002</v>
      </c>
      <c r="B1287" t="s">
        <v>17</v>
      </c>
      <c r="C1287" t="s">
        <v>9</v>
      </c>
      <c r="D1287" t="s">
        <v>21</v>
      </c>
      <c r="E1287" s="1">
        <v>2980</v>
      </c>
      <c r="F1287" s="1">
        <v>2023</v>
      </c>
      <c r="G1287" t="s">
        <v>11</v>
      </c>
      <c r="H1287" s="2">
        <v>45198.625115740739</v>
      </c>
      <c r="I1287" s="9">
        <f t="shared" si="184"/>
        <v>45203</v>
      </c>
      <c r="J1287" s="2" t="str">
        <f t="shared" si="185"/>
        <v/>
      </c>
      <c r="L1287" s="2" t="str">
        <f t="shared" si="186"/>
        <v/>
      </c>
      <c r="N1287" s="10" t="str">
        <f t="shared" si="187"/>
        <v/>
      </c>
      <c r="O1287" s="2">
        <f t="shared" si="188"/>
        <v>45203</v>
      </c>
      <c r="P1287" s="2">
        <v>45202.681030092594</v>
      </c>
      <c r="Q1287" s="2">
        <f t="shared" si="189"/>
        <v>45231</v>
      </c>
      <c r="R1287" s="2">
        <v>45525.711342592593</v>
      </c>
      <c r="S1287">
        <f t="shared" si="190"/>
        <v>294</v>
      </c>
      <c r="T1287" s="2">
        <f t="shared" si="191"/>
        <v>45231</v>
      </c>
      <c r="U1287" t="str">
        <f t="shared" si="192"/>
        <v>ATRASO</v>
      </c>
    </row>
    <row r="1288" spans="1:21" hidden="1">
      <c r="A1288" s="1">
        <v>14991</v>
      </c>
      <c r="B1288" t="s">
        <v>17</v>
      </c>
      <c r="C1288" t="s">
        <v>9</v>
      </c>
      <c r="D1288" t="s">
        <v>10</v>
      </c>
      <c r="E1288" s="1">
        <v>2969</v>
      </c>
      <c r="F1288" s="1">
        <v>2023</v>
      </c>
      <c r="G1288" t="s">
        <v>11</v>
      </c>
      <c r="H1288" s="2">
        <v>45197.583437499998</v>
      </c>
      <c r="I1288" s="9">
        <f t="shared" si="184"/>
        <v>45198</v>
      </c>
      <c r="J1288" s="2" t="str">
        <f t="shared" si="185"/>
        <v/>
      </c>
      <c r="L1288" s="2" t="str">
        <f t="shared" si="186"/>
        <v/>
      </c>
      <c r="N1288" s="10" t="str">
        <f t="shared" si="187"/>
        <v/>
      </c>
      <c r="O1288" s="2">
        <f t="shared" si="188"/>
        <v>45198</v>
      </c>
      <c r="P1288" s="2">
        <v>45197.767650462964</v>
      </c>
      <c r="Q1288" s="2">
        <f t="shared" si="189"/>
        <v>45201</v>
      </c>
      <c r="R1288" s="2">
        <v>45198.457025462965</v>
      </c>
      <c r="S1288">
        <f t="shared" si="190"/>
        <v>0</v>
      </c>
      <c r="T1288" s="2">
        <f t="shared" si="191"/>
        <v>45201</v>
      </c>
      <c r="U1288" t="str">
        <f t="shared" si="192"/>
        <v>NO PRAZO</v>
      </c>
    </row>
    <row r="1289" spans="1:21" hidden="1">
      <c r="A1289" s="1">
        <v>14990</v>
      </c>
      <c r="B1289" t="s">
        <v>17</v>
      </c>
      <c r="C1289" t="s">
        <v>9</v>
      </c>
      <c r="D1289" t="s">
        <v>18</v>
      </c>
      <c r="E1289" s="1">
        <v>2968</v>
      </c>
      <c r="F1289" s="1">
        <v>2023</v>
      </c>
      <c r="G1289" t="s">
        <v>11</v>
      </c>
      <c r="H1289" s="2">
        <v>45197.583437499998</v>
      </c>
      <c r="I1289" s="9">
        <f t="shared" si="184"/>
        <v>45202</v>
      </c>
      <c r="J1289" s="2" t="str">
        <f t="shared" si="185"/>
        <v/>
      </c>
      <c r="L1289" s="2" t="str">
        <f t="shared" si="186"/>
        <v/>
      </c>
      <c r="N1289" s="10" t="str">
        <f t="shared" si="187"/>
        <v/>
      </c>
      <c r="O1289" s="2">
        <f t="shared" si="188"/>
        <v>45202</v>
      </c>
      <c r="P1289" s="2">
        <v>45204.387812499997</v>
      </c>
      <c r="Q1289" s="2">
        <f t="shared" si="189"/>
        <v>45208</v>
      </c>
      <c r="R1289" s="2">
        <v>45204.644409722219</v>
      </c>
      <c r="S1289">
        <f t="shared" si="190"/>
        <v>0</v>
      </c>
      <c r="T1289" s="2">
        <f t="shared" si="191"/>
        <v>45208</v>
      </c>
      <c r="U1289" t="str">
        <f t="shared" si="192"/>
        <v>NO PRAZO</v>
      </c>
    </row>
    <row r="1290" spans="1:21" hidden="1">
      <c r="A1290" s="1">
        <v>14989</v>
      </c>
      <c r="B1290" t="s">
        <v>17</v>
      </c>
      <c r="C1290" t="s">
        <v>13</v>
      </c>
      <c r="D1290" t="s">
        <v>10</v>
      </c>
      <c r="E1290" s="1">
        <v>2967</v>
      </c>
      <c r="F1290" s="1">
        <v>2023</v>
      </c>
      <c r="G1290" t="s">
        <v>11</v>
      </c>
      <c r="H1290" s="2">
        <v>45197.583437499998</v>
      </c>
      <c r="I1290" s="9">
        <f t="shared" si="184"/>
        <v>45198</v>
      </c>
      <c r="J1290" s="2" t="str">
        <f t="shared" si="185"/>
        <v/>
      </c>
      <c r="L1290" s="2" t="str">
        <f t="shared" si="186"/>
        <v/>
      </c>
      <c r="N1290" s="10" t="str">
        <f t="shared" si="187"/>
        <v/>
      </c>
      <c r="O1290" s="2">
        <f t="shared" si="188"/>
        <v>45198</v>
      </c>
      <c r="P1290" s="2">
        <v>45198.429039351853</v>
      </c>
      <c r="Q1290" s="2">
        <f t="shared" si="189"/>
        <v>45201</v>
      </c>
      <c r="R1290" s="2">
        <v>45198.45684027778</v>
      </c>
      <c r="S1290">
        <f t="shared" si="190"/>
        <v>0</v>
      </c>
      <c r="T1290" s="2">
        <f t="shared" si="191"/>
        <v>45201</v>
      </c>
      <c r="U1290" t="str">
        <f t="shared" si="192"/>
        <v>NO PRAZO</v>
      </c>
    </row>
    <row r="1291" spans="1:21" hidden="1">
      <c r="A1291" s="1">
        <v>14988</v>
      </c>
      <c r="B1291" t="s">
        <v>17</v>
      </c>
      <c r="C1291" t="s">
        <v>9</v>
      </c>
      <c r="D1291" t="s">
        <v>18</v>
      </c>
      <c r="E1291" s="1">
        <v>2966</v>
      </c>
      <c r="F1291" s="1">
        <v>2023</v>
      </c>
      <c r="G1291" t="s">
        <v>11</v>
      </c>
      <c r="H1291" s="2">
        <v>45197.583437499998</v>
      </c>
      <c r="I1291" s="9">
        <f t="shared" si="184"/>
        <v>45202</v>
      </c>
      <c r="J1291" s="2" t="str">
        <f t="shared" si="185"/>
        <v/>
      </c>
      <c r="L1291" s="2" t="str">
        <f t="shared" si="186"/>
        <v/>
      </c>
      <c r="N1291" s="10" t="str">
        <f t="shared" si="187"/>
        <v/>
      </c>
      <c r="O1291" s="2">
        <f t="shared" si="188"/>
        <v>45202</v>
      </c>
      <c r="P1291" s="2">
        <v>45203.67523148148</v>
      </c>
      <c r="Q1291" s="2">
        <f t="shared" si="189"/>
        <v>45208</v>
      </c>
      <c r="R1291" s="2">
        <v>45203.676550925928</v>
      </c>
      <c r="S1291">
        <f t="shared" si="190"/>
        <v>0</v>
      </c>
      <c r="T1291" s="2">
        <f t="shared" si="191"/>
        <v>45208</v>
      </c>
      <c r="U1291" t="str">
        <f t="shared" si="192"/>
        <v>NO PRAZO</v>
      </c>
    </row>
    <row r="1292" spans="1:21" hidden="1">
      <c r="A1292" s="1">
        <v>14981</v>
      </c>
      <c r="B1292" t="s">
        <v>20</v>
      </c>
      <c r="C1292" t="s">
        <v>13</v>
      </c>
      <c r="D1292" t="s">
        <v>16</v>
      </c>
      <c r="E1292" s="1">
        <v>2959</v>
      </c>
      <c r="F1292" s="1">
        <v>2023</v>
      </c>
      <c r="G1292" t="s">
        <v>11</v>
      </c>
      <c r="H1292" s="2">
        <v>45196.581620370373</v>
      </c>
      <c r="I1292" s="9">
        <f t="shared" si="184"/>
        <v>45197</v>
      </c>
      <c r="J1292" s="2" t="str">
        <f t="shared" si="185"/>
        <v/>
      </c>
      <c r="L1292" s="2" t="str">
        <f t="shared" si="186"/>
        <v/>
      </c>
      <c r="N1292" s="10" t="str">
        <f t="shared" si="187"/>
        <v/>
      </c>
      <c r="O1292" s="2">
        <f t="shared" si="188"/>
        <v>45197</v>
      </c>
      <c r="P1292" s="2">
        <v>45202.383171296293</v>
      </c>
      <c r="Q1292" s="2">
        <f t="shared" si="189"/>
        <v>45203</v>
      </c>
      <c r="R1292" s="2">
        <v>45203.643969907411</v>
      </c>
      <c r="S1292">
        <f t="shared" si="190"/>
        <v>0</v>
      </c>
      <c r="T1292" s="2">
        <f t="shared" si="191"/>
        <v>45203</v>
      </c>
      <c r="U1292" t="str">
        <f t="shared" si="192"/>
        <v>NO PRAZO</v>
      </c>
    </row>
    <row r="1293" spans="1:21" hidden="1">
      <c r="A1293" s="1">
        <v>14980</v>
      </c>
      <c r="B1293" t="s">
        <v>17</v>
      </c>
      <c r="C1293" t="s">
        <v>13</v>
      </c>
      <c r="D1293" t="s">
        <v>10</v>
      </c>
      <c r="E1293" s="1">
        <v>2958</v>
      </c>
      <c r="F1293" s="1">
        <v>2023</v>
      </c>
      <c r="G1293" t="s">
        <v>11</v>
      </c>
      <c r="H1293" s="2">
        <v>45196.498287037037</v>
      </c>
      <c r="I1293" s="9">
        <f t="shared" si="184"/>
        <v>45197</v>
      </c>
      <c r="J1293" s="2" t="str">
        <f t="shared" si="185"/>
        <v/>
      </c>
      <c r="L1293" s="2" t="str">
        <f t="shared" si="186"/>
        <v/>
      </c>
      <c r="N1293" s="10" t="str">
        <f t="shared" si="187"/>
        <v/>
      </c>
      <c r="O1293" s="2">
        <f t="shared" si="188"/>
        <v>45197</v>
      </c>
      <c r="P1293" s="2">
        <v>45198.427986111114</v>
      </c>
      <c r="Q1293" s="2">
        <f t="shared" si="189"/>
        <v>45198</v>
      </c>
      <c r="R1293" s="2">
        <v>45198.456412037034</v>
      </c>
      <c r="S1293">
        <f t="shared" si="190"/>
        <v>0</v>
      </c>
      <c r="T1293" s="2">
        <f t="shared" si="191"/>
        <v>45198</v>
      </c>
      <c r="U1293" t="str">
        <f t="shared" si="192"/>
        <v>NO PRAZO</v>
      </c>
    </row>
    <row r="1294" spans="1:21" hidden="1">
      <c r="A1294" s="1">
        <v>14976</v>
      </c>
      <c r="B1294" t="s">
        <v>19</v>
      </c>
      <c r="C1294" t="s">
        <v>13</v>
      </c>
      <c r="D1294" t="s">
        <v>18</v>
      </c>
      <c r="E1294" s="1">
        <v>2954</v>
      </c>
      <c r="F1294" s="1">
        <v>2023</v>
      </c>
      <c r="G1294" t="s">
        <v>11</v>
      </c>
      <c r="H1294" s="2">
        <v>45195.790034722224</v>
      </c>
      <c r="I1294" s="9">
        <f t="shared" si="184"/>
        <v>45198</v>
      </c>
      <c r="J1294" s="2" t="str">
        <f t="shared" si="185"/>
        <v/>
      </c>
      <c r="L1294" s="2" t="str">
        <f t="shared" si="186"/>
        <v/>
      </c>
      <c r="N1294" s="10" t="str">
        <f t="shared" si="187"/>
        <v/>
      </c>
      <c r="O1294" s="2">
        <f t="shared" si="188"/>
        <v>45198</v>
      </c>
      <c r="P1294" s="2">
        <v>45198.453599537039</v>
      </c>
      <c r="Q1294" s="2">
        <f t="shared" si="189"/>
        <v>45204</v>
      </c>
      <c r="R1294" s="2">
        <v>45201.522187499999</v>
      </c>
      <c r="S1294">
        <f t="shared" si="190"/>
        <v>0</v>
      </c>
      <c r="T1294" s="2">
        <f t="shared" si="191"/>
        <v>45204</v>
      </c>
      <c r="U1294" t="str">
        <f t="shared" si="192"/>
        <v>NO PRAZO</v>
      </c>
    </row>
    <row r="1295" spans="1:21" hidden="1">
      <c r="A1295" s="1">
        <v>14966</v>
      </c>
      <c r="B1295" t="s">
        <v>20</v>
      </c>
      <c r="C1295" t="s">
        <v>13</v>
      </c>
      <c r="D1295" t="s">
        <v>10</v>
      </c>
      <c r="E1295" s="1">
        <v>2944</v>
      </c>
      <c r="F1295" s="1">
        <v>2023</v>
      </c>
      <c r="G1295" t="s">
        <v>11</v>
      </c>
      <c r="H1295" s="2">
        <v>45195.706655092596</v>
      </c>
      <c r="I1295" s="9">
        <f t="shared" si="184"/>
        <v>45196</v>
      </c>
      <c r="J1295" s="2" t="str">
        <f t="shared" si="185"/>
        <v/>
      </c>
      <c r="L1295" s="2" t="str">
        <f t="shared" si="186"/>
        <v/>
      </c>
      <c r="N1295" s="10" t="str">
        <f t="shared" si="187"/>
        <v/>
      </c>
      <c r="O1295" s="2">
        <f t="shared" si="188"/>
        <v>45196</v>
      </c>
      <c r="P1295" s="2">
        <v>45196.430555555555</v>
      </c>
      <c r="Q1295" s="2">
        <f t="shared" si="189"/>
        <v>45197</v>
      </c>
      <c r="R1295" s="2">
        <v>45197.583495370367</v>
      </c>
      <c r="S1295">
        <f t="shared" si="190"/>
        <v>0</v>
      </c>
      <c r="T1295" s="2">
        <f t="shared" si="191"/>
        <v>45197</v>
      </c>
      <c r="U1295" t="str">
        <f t="shared" si="192"/>
        <v>NO PRAZO</v>
      </c>
    </row>
    <row r="1296" spans="1:21">
      <c r="A1296" s="1">
        <v>14964</v>
      </c>
      <c r="B1296" t="s">
        <v>19</v>
      </c>
      <c r="C1296" t="s">
        <v>9</v>
      </c>
      <c r="D1296" t="s">
        <v>21</v>
      </c>
      <c r="E1296" s="1">
        <v>2942</v>
      </c>
      <c r="F1296" s="1">
        <v>2023</v>
      </c>
      <c r="G1296" t="s">
        <v>11</v>
      </c>
      <c r="H1296" s="2">
        <v>45195.581712962965</v>
      </c>
      <c r="I1296" s="9">
        <f t="shared" si="184"/>
        <v>45198</v>
      </c>
      <c r="J1296" s="2">
        <f t="shared" si="185"/>
        <v>45198</v>
      </c>
      <c r="K1296" s="2">
        <v>45258.737615740742</v>
      </c>
      <c r="L1296" s="2">
        <f t="shared" si="186"/>
        <v>45219</v>
      </c>
      <c r="M1296" s="2">
        <v>45331.65357638889</v>
      </c>
      <c r="N1296" s="10">
        <f t="shared" si="187"/>
        <v>112</v>
      </c>
      <c r="O1296" s="2">
        <f t="shared" si="188"/>
        <v>45222</v>
      </c>
      <c r="P1296" s="2">
        <v>45279.583298611113</v>
      </c>
      <c r="Q1296" s="2">
        <f t="shared" si="189"/>
        <v>45252</v>
      </c>
      <c r="R1296" s="2">
        <v>45338.485914351855</v>
      </c>
      <c r="S1296">
        <f t="shared" si="190"/>
        <v>86</v>
      </c>
      <c r="T1296" s="2">
        <f t="shared" si="191"/>
        <v>45252</v>
      </c>
      <c r="U1296" t="str">
        <f t="shared" si="192"/>
        <v>ATRASO</v>
      </c>
    </row>
    <row r="1297" spans="1:21">
      <c r="A1297" s="1">
        <v>14961</v>
      </c>
      <c r="B1297" t="s">
        <v>20</v>
      </c>
      <c r="C1297" t="s">
        <v>13</v>
      </c>
      <c r="D1297" t="s">
        <v>18</v>
      </c>
      <c r="E1297" s="1">
        <v>2939</v>
      </c>
      <c r="F1297" s="1">
        <v>2023</v>
      </c>
      <c r="G1297" t="s">
        <v>11</v>
      </c>
      <c r="H1297" s="2">
        <v>45195.498356481483</v>
      </c>
      <c r="I1297" s="9">
        <f t="shared" si="184"/>
        <v>45198</v>
      </c>
      <c r="J1297" s="2" t="str">
        <f t="shared" si="185"/>
        <v/>
      </c>
      <c r="L1297" s="2" t="str">
        <f t="shared" si="186"/>
        <v/>
      </c>
      <c r="N1297" s="10" t="str">
        <f t="shared" si="187"/>
        <v/>
      </c>
      <c r="O1297" s="2">
        <f t="shared" si="188"/>
        <v>45198</v>
      </c>
      <c r="P1297" s="2">
        <v>45196.429456018515</v>
      </c>
      <c r="Q1297" s="2">
        <f t="shared" si="189"/>
        <v>45204</v>
      </c>
      <c r="R1297" s="2">
        <v>45236.722951388889</v>
      </c>
      <c r="S1297">
        <f t="shared" si="190"/>
        <v>32</v>
      </c>
      <c r="T1297" s="2">
        <f t="shared" si="191"/>
        <v>45204</v>
      </c>
      <c r="U1297" t="str">
        <f t="shared" si="192"/>
        <v>ATRASO</v>
      </c>
    </row>
    <row r="1298" spans="1:21" hidden="1">
      <c r="A1298" s="1">
        <v>14923</v>
      </c>
      <c r="B1298" t="s">
        <v>20</v>
      </c>
      <c r="C1298" t="s">
        <v>13</v>
      </c>
      <c r="D1298" t="s">
        <v>16</v>
      </c>
      <c r="E1298" s="1">
        <v>2901</v>
      </c>
      <c r="F1298" s="1">
        <v>2023</v>
      </c>
      <c r="G1298" t="s">
        <v>11</v>
      </c>
      <c r="H1298" s="2">
        <v>45191.415393518517</v>
      </c>
      <c r="I1298" s="9">
        <f t="shared" si="184"/>
        <v>45194</v>
      </c>
      <c r="J1298" s="2" t="str">
        <f t="shared" si="185"/>
        <v/>
      </c>
      <c r="L1298" s="2" t="str">
        <f t="shared" si="186"/>
        <v/>
      </c>
      <c r="N1298" s="10" t="str">
        <f t="shared" si="187"/>
        <v/>
      </c>
      <c r="O1298" s="2">
        <f t="shared" si="188"/>
        <v>45194</v>
      </c>
      <c r="P1298" s="2">
        <v>45194.393240740741</v>
      </c>
      <c r="Q1298" s="2">
        <f t="shared" si="189"/>
        <v>45198</v>
      </c>
      <c r="R1298" s="2">
        <v>45194.487256944441</v>
      </c>
      <c r="S1298">
        <f t="shared" si="190"/>
        <v>0</v>
      </c>
      <c r="T1298" s="2">
        <f t="shared" si="191"/>
        <v>45198</v>
      </c>
      <c r="U1298" t="str">
        <f t="shared" si="192"/>
        <v>NO PRAZO</v>
      </c>
    </row>
    <row r="1299" spans="1:21">
      <c r="A1299" s="1">
        <v>14921</v>
      </c>
      <c r="B1299" t="s">
        <v>17</v>
      </c>
      <c r="C1299" t="s">
        <v>9</v>
      </c>
      <c r="D1299" t="s">
        <v>18</v>
      </c>
      <c r="E1299" s="1">
        <v>2899</v>
      </c>
      <c r="F1299" s="1">
        <v>2023</v>
      </c>
      <c r="G1299" t="s">
        <v>11</v>
      </c>
      <c r="H1299" s="2">
        <v>45190.498831018522</v>
      </c>
      <c r="I1299" s="9">
        <f t="shared" si="184"/>
        <v>45195</v>
      </c>
      <c r="J1299" s="2" t="str">
        <f t="shared" si="185"/>
        <v/>
      </c>
      <c r="L1299" s="2" t="str">
        <f t="shared" si="186"/>
        <v/>
      </c>
      <c r="N1299" s="10" t="str">
        <f t="shared" si="187"/>
        <v/>
      </c>
      <c r="O1299" s="2">
        <f t="shared" si="188"/>
        <v>45195</v>
      </c>
      <c r="P1299" s="2">
        <v>45236.432557870372</v>
      </c>
      <c r="Q1299" s="2">
        <f t="shared" si="189"/>
        <v>45201</v>
      </c>
      <c r="R1299" s="2">
        <v>45236.433564814812</v>
      </c>
      <c r="S1299">
        <f t="shared" si="190"/>
        <v>35</v>
      </c>
      <c r="T1299" s="2">
        <f t="shared" si="191"/>
        <v>45201</v>
      </c>
      <c r="U1299" t="str">
        <f t="shared" si="192"/>
        <v>ATRASO</v>
      </c>
    </row>
    <row r="1300" spans="1:21" hidden="1">
      <c r="A1300" s="1">
        <v>14920</v>
      </c>
      <c r="B1300" t="s">
        <v>20</v>
      </c>
      <c r="C1300" t="s">
        <v>13</v>
      </c>
      <c r="D1300" t="s">
        <v>18</v>
      </c>
      <c r="E1300" s="1">
        <v>2898</v>
      </c>
      <c r="F1300" s="1">
        <v>2023</v>
      </c>
      <c r="G1300" t="s">
        <v>11</v>
      </c>
      <c r="H1300" s="2">
        <v>45190.498831018522</v>
      </c>
      <c r="I1300" s="9">
        <f t="shared" si="184"/>
        <v>45195</v>
      </c>
      <c r="J1300" s="2" t="str">
        <f t="shared" si="185"/>
        <v/>
      </c>
      <c r="L1300" s="2" t="str">
        <f t="shared" si="186"/>
        <v/>
      </c>
      <c r="N1300" s="10" t="str">
        <f t="shared" si="187"/>
        <v/>
      </c>
      <c r="O1300" s="2">
        <f t="shared" si="188"/>
        <v>45195</v>
      </c>
      <c r="P1300" s="2">
        <v>45196.615648148145</v>
      </c>
      <c r="Q1300" s="2">
        <f t="shared" si="189"/>
        <v>45201</v>
      </c>
      <c r="R1300" s="2">
        <v>45196.616377314815</v>
      </c>
      <c r="S1300">
        <f t="shared" si="190"/>
        <v>0</v>
      </c>
      <c r="T1300" s="2">
        <f t="shared" si="191"/>
        <v>45201</v>
      </c>
      <c r="U1300" t="str">
        <f t="shared" si="192"/>
        <v>NO PRAZO</v>
      </c>
    </row>
    <row r="1301" spans="1:21" hidden="1">
      <c r="A1301" s="1">
        <v>14917</v>
      </c>
      <c r="B1301" t="s">
        <v>12</v>
      </c>
      <c r="C1301" t="s">
        <v>13</v>
      </c>
      <c r="D1301" t="s">
        <v>18</v>
      </c>
      <c r="E1301" s="1">
        <v>2895</v>
      </c>
      <c r="F1301" s="1">
        <v>2023</v>
      </c>
      <c r="G1301" t="s">
        <v>11</v>
      </c>
      <c r="H1301" s="2">
        <v>45189.665543981479</v>
      </c>
      <c r="I1301" s="9">
        <f t="shared" si="184"/>
        <v>45194</v>
      </c>
      <c r="J1301" s="2" t="str">
        <f t="shared" si="185"/>
        <v/>
      </c>
      <c r="L1301" s="2" t="str">
        <f t="shared" si="186"/>
        <v/>
      </c>
      <c r="N1301" s="10" t="str">
        <f t="shared" si="187"/>
        <v/>
      </c>
      <c r="O1301" s="2">
        <f t="shared" si="188"/>
        <v>45194</v>
      </c>
      <c r="P1301" s="2">
        <v>45190.574826388889</v>
      </c>
      <c r="Q1301" s="2">
        <f t="shared" si="189"/>
        <v>45198</v>
      </c>
      <c r="R1301" s="2">
        <v>45190.575150462966</v>
      </c>
      <c r="S1301">
        <f t="shared" si="190"/>
        <v>0</v>
      </c>
      <c r="T1301" s="2">
        <f t="shared" si="191"/>
        <v>45198</v>
      </c>
      <c r="U1301" t="str">
        <f t="shared" si="192"/>
        <v>NO PRAZO</v>
      </c>
    </row>
    <row r="1302" spans="1:21">
      <c r="A1302" s="1">
        <v>14912</v>
      </c>
      <c r="B1302" t="s">
        <v>19</v>
      </c>
      <c r="C1302" t="s">
        <v>13</v>
      </c>
      <c r="D1302" t="s">
        <v>18</v>
      </c>
      <c r="E1302" s="1">
        <v>2890</v>
      </c>
      <c r="F1302" s="1">
        <v>2023</v>
      </c>
      <c r="G1302" t="s">
        <v>11</v>
      </c>
      <c r="H1302" s="2">
        <v>45189.415567129632</v>
      </c>
      <c r="I1302" s="9">
        <f t="shared" si="184"/>
        <v>45194</v>
      </c>
      <c r="J1302" s="2" t="str">
        <f t="shared" si="185"/>
        <v/>
      </c>
      <c r="L1302" s="2" t="str">
        <f t="shared" si="186"/>
        <v/>
      </c>
      <c r="N1302" s="10" t="str">
        <f t="shared" si="187"/>
        <v/>
      </c>
      <c r="O1302" s="2">
        <f t="shared" si="188"/>
        <v>45194</v>
      </c>
      <c r="P1302" s="2">
        <v>45342.453055555554</v>
      </c>
      <c r="Q1302" s="2">
        <f t="shared" si="189"/>
        <v>45198</v>
      </c>
      <c r="R1302" s="2">
        <v>45342.584988425922</v>
      </c>
      <c r="S1302">
        <f t="shared" si="190"/>
        <v>144</v>
      </c>
      <c r="T1302" s="2">
        <f t="shared" si="191"/>
        <v>45198</v>
      </c>
      <c r="U1302" t="str">
        <f t="shared" si="192"/>
        <v>ATRASO</v>
      </c>
    </row>
    <row r="1303" spans="1:21">
      <c r="A1303" s="1">
        <v>14895</v>
      </c>
      <c r="B1303" t="s">
        <v>20</v>
      </c>
      <c r="C1303" t="s">
        <v>13</v>
      </c>
      <c r="D1303" t="s">
        <v>21</v>
      </c>
      <c r="E1303" s="1">
        <v>2873</v>
      </c>
      <c r="F1303" s="1">
        <v>2023</v>
      </c>
      <c r="G1303" t="s">
        <v>11</v>
      </c>
      <c r="H1303" s="2">
        <v>45188.582314814812</v>
      </c>
      <c r="I1303" s="9">
        <f t="shared" si="184"/>
        <v>45191</v>
      </c>
      <c r="J1303" s="2">
        <f t="shared" si="185"/>
        <v>45191</v>
      </c>
      <c r="K1303" s="2">
        <v>45260.711782407408</v>
      </c>
      <c r="L1303" s="2">
        <f t="shared" si="186"/>
        <v>45212</v>
      </c>
      <c r="M1303" s="2">
        <v>45286.923935185187</v>
      </c>
      <c r="N1303" s="10">
        <f t="shared" si="187"/>
        <v>74</v>
      </c>
      <c r="O1303" s="2">
        <f t="shared" si="188"/>
        <v>45215</v>
      </c>
      <c r="P1303" s="2">
        <v>45194.44971064815</v>
      </c>
      <c r="Q1303" s="2">
        <f t="shared" si="189"/>
        <v>45243</v>
      </c>
      <c r="R1303" s="2">
        <v>45301.464571759258</v>
      </c>
      <c r="S1303">
        <f t="shared" si="190"/>
        <v>58</v>
      </c>
      <c r="T1303" s="2">
        <f t="shared" si="191"/>
        <v>45243</v>
      </c>
      <c r="U1303" t="str">
        <f t="shared" si="192"/>
        <v>ATRASO</v>
      </c>
    </row>
    <row r="1304" spans="1:21" hidden="1">
      <c r="A1304" s="1">
        <v>14891</v>
      </c>
      <c r="B1304" t="s">
        <v>24</v>
      </c>
      <c r="C1304" t="s">
        <v>13</v>
      </c>
      <c r="D1304" t="s">
        <v>10</v>
      </c>
      <c r="E1304" s="1">
        <v>2869</v>
      </c>
      <c r="F1304" s="1">
        <v>2023</v>
      </c>
      <c r="G1304" t="s">
        <v>11</v>
      </c>
      <c r="H1304" s="2">
        <v>45188.499016203707</v>
      </c>
      <c r="I1304" s="9">
        <f t="shared" si="184"/>
        <v>45189</v>
      </c>
      <c r="J1304" s="2" t="str">
        <f t="shared" si="185"/>
        <v/>
      </c>
      <c r="L1304" s="2" t="str">
        <f t="shared" si="186"/>
        <v/>
      </c>
      <c r="N1304" s="10" t="str">
        <f t="shared" si="187"/>
        <v/>
      </c>
      <c r="O1304" s="2">
        <f t="shared" si="188"/>
        <v>45189</v>
      </c>
      <c r="P1304" s="2">
        <v>45190.359259259261</v>
      </c>
      <c r="Q1304" s="2">
        <f t="shared" si="189"/>
        <v>45190</v>
      </c>
      <c r="R1304" s="2">
        <v>45190.420949074076</v>
      </c>
      <c r="S1304">
        <f t="shared" si="190"/>
        <v>0</v>
      </c>
      <c r="T1304" s="2">
        <f t="shared" si="191"/>
        <v>45190</v>
      </c>
      <c r="U1304" t="str">
        <f t="shared" si="192"/>
        <v>NO PRAZO</v>
      </c>
    </row>
    <row r="1305" spans="1:21" hidden="1">
      <c r="A1305" s="1">
        <v>14888</v>
      </c>
      <c r="B1305" t="s">
        <v>12</v>
      </c>
      <c r="C1305" t="s">
        <v>13</v>
      </c>
      <c r="D1305" t="s">
        <v>18</v>
      </c>
      <c r="E1305" s="1">
        <v>2866</v>
      </c>
      <c r="F1305" s="1">
        <v>2023</v>
      </c>
      <c r="G1305" t="s">
        <v>11</v>
      </c>
      <c r="H1305" s="2">
        <v>45188.457337962966</v>
      </c>
      <c r="I1305" s="9">
        <f t="shared" si="184"/>
        <v>45191</v>
      </c>
      <c r="J1305" s="2" t="str">
        <f t="shared" si="185"/>
        <v/>
      </c>
      <c r="L1305" s="2" t="str">
        <f t="shared" si="186"/>
        <v/>
      </c>
      <c r="N1305" s="10" t="str">
        <f t="shared" si="187"/>
        <v/>
      </c>
      <c r="O1305" s="2">
        <f t="shared" si="188"/>
        <v>45191</v>
      </c>
      <c r="P1305" s="2">
        <v>45194.525821759256</v>
      </c>
      <c r="Q1305" s="2">
        <f t="shared" si="189"/>
        <v>45197</v>
      </c>
      <c r="R1305" s="2">
        <v>45194.527777777781</v>
      </c>
      <c r="S1305">
        <f t="shared" si="190"/>
        <v>0</v>
      </c>
      <c r="T1305" s="2">
        <f t="shared" si="191"/>
        <v>45197</v>
      </c>
      <c r="U1305" t="str">
        <f t="shared" si="192"/>
        <v>NO PRAZO</v>
      </c>
    </row>
    <row r="1306" spans="1:21" hidden="1">
      <c r="A1306" s="1">
        <v>14885</v>
      </c>
      <c r="B1306" t="s">
        <v>22</v>
      </c>
      <c r="C1306" t="s">
        <v>13</v>
      </c>
      <c r="D1306" t="s">
        <v>10</v>
      </c>
      <c r="E1306" s="1">
        <v>2863</v>
      </c>
      <c r="F1306" s="1">
        <v>2023</v>
      </c>
      <c r="G1306" t="s">
        <v>11</v>
      </c>
      <c r="H1306" s="2">
        <v>45188.415682870371</v>
      </c>
      <c r="I1306" s="9">
        <f t="shared" si="184"/>
        <v>45189</v>
      </c>
      <c r="J1306" s="2" t="str">
        <f t="shared" si="185"/>
        <v/>
      </c>
      <c r="L1306" s="2" t="str">
        <f t="shared" si="186"/>
        <v/>
      </c>
      <c r="N1306" s="10" t="str">
        <f t="shared" si="187"/>
        <v/>
      </c>
      <c r="O1306" s="2">
        <f t="shared" si="188"/>
        <v>45189</v>
      </c>
      <c r="P1306" s="2">
        <v>45190.400231481479</v>
      </c>
      <c r="Q1306" s="2">
        <f t="shared" si="189"/>
        <v>45190</v>
      </c>
      <c r="R1306" s="2">
        <v>45190.420555555553</v>
      </c>
      <c r="S1306">
        <f t="shared" si="190"/>
        <v>0</v>
      </c>
      <c r="T1306" s="2">
        <f t="shared" si="191"/>
        <v>45190</v>
      </c>
      <c r="U1306" t="str">
        <f t="shared" si="192"/>
        <v>NO PRAZO</v>
      </c>
    </row>
    <row r="1307" spans="1:21" hidden="1">
      <c r="A1307" s="1">
        <v>14884</v>
      </c>
      <c r="B1307" t="s">
        <v>19</v>
      </c>
      <c r="C1307" t="s">
        <v>13</v>
      </c>
      <c r="D1307" t="s">
        <v>14</v>
      </c>
      <c r="E1307" s="1">
        <v>2862</v>
      </c>
      <c r="F1307" s="1">
        <v>2023</v>
      </c>
      <c r="G1307" t="s">
        <v>11</v>
      </c>
      <c r="H1307" s="2">
        <v>45188.374027777776</v>
      </c>
      <c r="I1307" s="9">
        <f t="shared" si="184"/>
        <v>45189</v>
      </c>
      <c r="J1307" s="2" t="str">
        <f t="shared" si="185"/>
        <v/>
      </c>
      <c r="L1307" s="2" t="str">
        <f t="shared" si="186"/>
        <v/>
      </c>
      <c r="N1307" s="10" t="str">
        <f t="shared" si="187"/>
        <v/>
      </c>
      <c r="O1307" s="2">
        <f t="shared" si="188"/>
        <v>45189</v>
      </c>
      <c r="P1307" s="2">
        <v>45190.679270833331</v>
      </c>
      <c r="Q1307" s="2">
        <f t="shared" si="189"/>
        <v>45190</v>
      </c>
      <c r="R1307" s="2">
        <v>45190.680196759262</v>
      </c>
      <c r="S1307">
        <f t="shared" si="190"/>
        <v>0</v>
      </c>
      <c r="T1307" s="2">
        <f t="shared" si="191"/>
        <v>45190</v>
      </c>
      <c r="U1307" t="str">
        <f t="shared" si="192"/>
        <v>NO PRAZO</v>
      </c>
    </row>
    <row r="1308" spans="1:21" hidden="1">
      <c r="A1308" s="1">
        <v>14882</v>
      </c>
      <c r="B1308" t="s">
        <v>12</v>
      </c>
      <c r="C1308" t="s">
        <v>13</v>
      </c>
      <c r="D1308" t="s">
        <v>10</v>
      </c>
      <c r="E1308" s="1">
        <v>2860</v>
      </c>
      <c r="F1308" s="1">
        <v>2023</v>
      </c>
      <c r="G1308" t="s">
        <v>11</v>
      </c>
      <c r="H1308" s="2">
        <v>45187.665706018517</v>
      </c>
      <c r="I1308" s="9">
        <f t="shared" si="184"/>
        <v>45188</v>
      </c>
      <c r="J1308" s="2" t="str">
        <f t="shared" si="185"/>
        <v/>
      </c>
      <c r="L1308" s="2" t="str">
        <f t="shared" si="186"/>
        <v/>
      </c>
      <c r="N1308" s="10" t="str">
        <f t="shared" si="187"/>
        <v/>
      </c>
      <c r="O1308" s="2">
        <f t="shared" si="188"/>
        <v>45188</v>
      </c>
      <c r="P1308" s="2">
        <v>45188.482129629629</v>
      </c>
      <c r="Q1308" s="2">
        <f t="shared" si="189"/>
        <v>45189</v>
      </c>
      <c r="R1308" s="2">
        <v>45189.602118055554</v>
      </c>
      <c r="S1308">
        <f t="shared" si="190"/>
        <v>0</v>
      </c>
      <c r="T1308" s="2">
        <f t="shared" si="191"/>
        <v>45189</v>
      </c>
      <c r="U1308" t="str">
        <f t="shared" si="192"/>
        <v>NO PRAZO</v>
      </c>
    </row>
    <row r="1309" spans="1:21">
      <c r="A1309" s="1">
        <v>14878</v>
      </c>
      <c r="B1309" t="s">
        <v>20</v>
      </c>
      <c r="C1309" t="s">
        <v>13</v>
      </c>
      <c r="D1309" t="s">
        <v>18</v>
      </c>
      <c r="E1309" s="1">
        <v>2856</v>
      </c>
      <c r="F1309" s="1">
        <v>2023</v>
      </c>
      <c r="G1309" t="s">
        <v>11</v>
      </c>
      <c r="H1309" s="2">
        <v>45187.582407407404</v>
      </c>
      <c r="I1309" s="9">
        <f t="shared" si="184"/>
        <v>45190</v>
      </c>
      <c r="J1309" s="2" t="str">
        <f t="shared" si="185"/>
        <v/>
      </c>
      <c r="L1309" s="2" t="str">
        <f t="shared" si="186"/>
        <v/>
      </c>
      <c r="N1309" s="10" t="str">
        <f t="shared" si="187"/>
        <v/>
      </c>
      <c r="O1309" s="2">
        <f t="shared" si="188"/>
        <v>45190</v>
      </c>
      <c r="P1309" s="2">
        <v>45188.615046296298</v>
      </c>
      <c r="Q1309" s="2">
        <f t="shared" si="189"/>
        <v>45196</v>
      </c>
      <c r="R1309" s="2">
        <v>45264.637696759259</v>
      </c>
      <c r="S1309">
        <f t="shared" si="190"/>
        <v>68</v>
      </c>
      <c r="T1309" s="2">
        <f t="shared" si="191"/>
        <v>45196</v>
      </c>
      <c r="U1309" t="str">
        <f t="shared" si="192"/>
        <v>ATRASO</v>
      </c>
    </row>
    <row r="1310" spans="1:21" hidden="1">
      <c r="A1310" s="1">
        <v>14877</v>
      </c>
      <c r="B1310" t="s">
        <v>20</v>
      </c>
      <c r="C1310" t="s">
        <v>13</v>
      </c>
      <c r="D1310" t="s">
        <v>18</v>
      </c>
      <c r="E1310" s="1">
        <v>2855</v>
      </c>
      <c r="F1310" s="1">
        <v>2023</v>
      </c>
      <c r="G1310" t="s">
        <v>11</v>
      </c>
      <c r="H1310" s="2">
        <v>45187.582407407404</v>
      </c>
      <c r="I1310" s="9">
        <f t="shared" si="184"/>
        <v>45190</v>
      </c>
      <c r="J1310" s="2" t="str">
        <f t="shared" si="185"/>
        <v/>
      </c>
      <c r="L1310" s="2" t="str">
        <f t="shared" si="186"/>
        <v/>
      </c>
      <c r="N1310" s="10" t="str">
        <f t="shared" si="187"/>
        <v/>
      </c>
      <c r="O1310" s="2">
        <f t="shared" si="188"/>
        <v>45190</v>
      </c>
      <c r="P1310" s="2">
        <v>45194.637025462966</v>
      </c>
      <c r="Q1310" s="2">
        <f t="shared" si="189"/>
        <v>45196</v>
      </c>
      <c r="R1310" s="2">
        <v>45194.715231481481</v>
      </c>
      <c r="S1310">
        <f t="shared" si="190"/>
        <v>0</v>
      </c>
      <c r="T1310" s="2">
        <f t="shared" si="191"/>
        <v>45196</v>
      </c>
      <c r="U1310" t="str">
        <f t="shared" si="192"/>
        <v>NO PRAZO</v>
      </c>
    </row>
    <row r="1311" spans="1:21" hidden="1">
      <c r="A1311" s="1">
        <v>14856</v>
      </c>
      <c r="B1311" t="s">
        <v>20</v>
      </c>
      <c r="C1311" t="s">
        <v>13</v>
      </c>
      <c r="D1311" t="s">
        <v>18</v>
      </c>
      <c r="E1311" s="1">
        <v>2834</v>
      </c>
      <c r="F1311" s="1">
        <v>2023</v>
      </c>
      <c r="G1311" t="s">
        <v>11</v>
      </c>
      <c r="H1311" s="2">
        <v>45184.624351851853</v>
      </c>
      <c r="I1311" s="9">
        <f t="shared" si="184"/>
        <v>45189</v>
      </c>
      <c r="J1311" s="2" t="str">
        <f t="shared" si="185"/>
        <v/>
      </c>
      <c r="L1311" s="2" t="str">
        <f t="shared" si="186"/>
        <v/>
      </c>
      <c r="N1311" s="10" t="str">
        <f t="shared" si="187"/>
        <v/>
      </c>
      <c r="O1311" s="2">
        <f t="shared" si="188"/>
        <v>45189</v>
      </c>
      <c r="P1311" s="2">
        <v>45188.363969907405</v>
      </c>
      <c r="Q1311" s="2">
        <f t="shared" si="189"/>
        <v>45195</v>
      </c>
      <c r="R1311" s="2">
        <v>45190.493888888886</v>
      </c>
      <c r="S1311">
        <f t="shared" si="190"/>
        <v>0</v>
      </c>
      <c r="T1311" s="2">
        <f t="shared" si="191"/>
        <v>45195</v>
      </c>
      <c r="U1311" t="str">
        <f t="shared" si="192"/>
        <v>NO PRAZO</v>
      </c>
    </row>
    <row r="1312" spans="1:21" hidden="1">
      <c r="A1312" s="1">
        <v>14853</v>
      </c>
      <c r="B1312" t="s">
        <v>20</v>
      </c>
      <c r="C1312" t="s">
        <v>13</v>
      </c>
      <c r="D1312" t="s">
        <v>18</v>
      </c>
      <c r="E1312" s="1">
        <v>2831</v>
      </c>
      <c r="F1312" s="1">
        <v>2023</v>
      </c>
      <c r="G1312" t="s">
        <v>11</v>
      </c>
      <c r="H1312" s="2">
        <v>45184.582719907405</v>
      </c>
      <c r="I1312" s="9">
        <f t="shared" si="184"/>
        <v>45189</v>
      </c>
      <c r="J1312" s="2" t="str">
        <f t="shared" si="185"/>
        <v/>
      </c>
      <c r="L1312" s="2" t="str">
        <f t="shared" si="186"/>
        <v/>
      </c>
      <c r="N1312" s="10" t="str">
        <f t="shared" si="187"/>
        <v/>
      </c>
      <c r="O1312" s="2">
        <f t="shared" si="188"/>
        <v>45189</v>
      </c>
      <c r="P1312" s="2">
        <v>45188.433923611112</v>
      </c>
      <c r="Q1312" s="2">
        <f t="shared" si="189"/>
        <v>45195</v>
      </c>
      <c r="R1312" s="2">
        <v>45190.496076388888</v>
      </c>
      <c r="S1312">
        <f t="shared" si="190"/>
        <v>0</v>
      </c>
      <c r="T1312" s="2">
        <f t="shared" si="191"/>
        <v>45195</v>
      </c>
      <c r="U1312" t="str">
        <f t="shared" si="192"/>
        <v>NO PRAZO</v>
      </c>
    </row>
    <row r="1313" spans="1:21" hidden="1">
      <c r="A1313" s="1">
        <v>14852</v>
      </c>
      <c r="B1313" t="s">
        <v>12</v>
      </c>
      <c r="C1313" t="s">
        <v>13</v>
      </c>
      <c r="D1313" t="s">
        <v>18</v>
      </c>
      <c r="E1313" s="1">
        <v>2830</v>
      </c>
      <c r="F1313" s="1">
        <v>2023</v>
      </c>
      <c r="G1313" t="s">
        <v>11</v>
      </c>
      <c r="H1313" s="2">
        <v>45184.582719907405</v>
      </c>
      <c r="I1313" s="9">
        <f t="shared" si="184"/>
        <v>45189</v>
      </c>
      <c r="J1313" s="2" t="str">
        <f t="shared" si="185"/>
        <v/>
      </c>
      <c r="L1313" s="2" t="str">
        <f t="shared" si="186"/>
        <v/>
      </c>
      <c r="N1313" s="10" t="str">
        <f t="shared" si="187"/>
        <v/>
      </c>
      <c r="O1313" s="2">
        <f t="shared" si="188"/>
        <v>45189</v>
      </c>
      <c r="P1313" s="2">
        <v>45187.406377314815</v>
      </c>
      <c r="Q1313" s="2">
        <f t="shared" si="189"/>
        <v>45195</v>
      </c>
      <c r="R1313" s="2">
        <v>45190.452905092592</v>
      </c>
      <c r="S1313">
        <f t="shared" si="190"/>
        <v>0</v>
      </c>
      <c r="T1313" s="2">
        <f t="shared" si="191"/>
        <v>45195</v>
      </c>
      <c r="U1313" t="str">
        <f t="shared" si="192"/>
        <v>NO PRAZO</v>
      </c>
    </row>
    <row r="1314" spans="1:21" hidden="1">
      <c r="A1314" s="1">
        <v>14851</v>
      </c>
      <c r="B1314" t="s">
        <v>20</v>
      </c>
      <c r="C1314" t="s">
        <v>13</v>
      </c>
      <c r="D1314" t="s">
        <v>10</v>
      </c>
      <c r="E1314" s="1">
        <v>2829</v>
      </c>
      <c r="F1314" s="1">
        <v>2023</v>
      </c>
      <c r="G1314" t="s">
        <v>11</v>
      </c>
      <c r="H1314" s="2">
        <v>45184.457696759258</v>
      </c>
      <c r="I1314" s="9">
        <f t="shared" si="184"/>
        <v>45187</v>
      </c>
      <c r="J1314" s="2" t="str">
        <f t="shared" si="185"/>
        <v/>
      </c>
      <c r="L1314" s="2" t="str">
        <f t="shared" si="186"/>
        <v/>
      </c>
      <c r="N1314" s="10" t="str">
        <f t="shared" si="187"/>
        <v/>
      </c>
      <c r="O1314" s="2">
        <f t="shared" si="188"/>
        <v>45187</v>
      </c>
      <c r="P1314" s="2">
        <v>45188.601921296293</v>
      </c>
      <c r="Q1314" s="2">
        <f t="shared" si="189"/>
        <v>45188</v>
      </c>
      <c r="R1314" s="2">
        <v>45188.606909722221</v>
      </c>
      <c r="S1314">
        <f t="shared" si="190"/>
        <v>0</v>
      </c>
      <c r="T1314" s="2">
        <f t="shared" si="191"/>
        <v>45188</v>
      </c>
      <c r="U1314" t="str">
        <f t="shared" si="192"/>
        <v>NO PRAZO</v>
      </c>
    </row>
    <row r="1315" spans="1:21" hidden="1">
      <c r="A1315" s="1">
        <v>14842</v>
      </c>
      <c r="B1315" t="s">
        <v>12</v>
      </c>
      <c r="C1315" t="s">
        <v>13</v>
      </c>
      <c r="D1315" t="s">
        <v>18</v>
      </c>
      <c r="E1315" s="1">
        <v>2820</v>
      </c>
      <c r="F1315" s="1">
        <v>2023</v>
      </c>
      <c r="G1315" t="s">
        <v>11</v>
      </c>
      <c r="H1315" s="2">
        <v>45183.582731481481</v>
      </c>
      <c r="I1315" s="9">
        <f t="shared" si="184"/>
        <v>45188</v>
      </c>
      <c r="J1315" s="2" t="str">
        <f t="shared" si="185"/>
        <v/>
      </c>
      <c r="L1315" s="2" t="str">
        <f t="shared" si="186"/>
        <v/>
      </c>
      <c r="N1315" s="10" t="str">
        <f t="shared" si="187"/>
        <v/>
      </c>
      <c r="O1315" s="2">
        <f t="shared" si="188"/>
        <v>45188</v>
      </c>
      <c r="P1315" s="2">
        <v>45183.614895833336</v>
      </c>
      <c r="Q1315" s="2">
        <f t="shared" si="189"/>
        <v>45194</v>
      </c>
      <c r="R1315" s="2">
        <v>45183.641342592593</v>
      </c>
      <c r="S1315">
        <f t="shared" si="190"/>
        <v>0</v>
      </c>
      <c r="T1315" s="2">
        <f t="shared" si="191"/>
        <v>45194</v>
      </c>
      <c r="U1315" t="str">
        <f t="shared" si="192"/>
        <v>NO PRAZO</v>
      </c>
    </row>
    <row r="1316" spans="1:21" hidden="1">
      <c r="A1316" s="1">
        <v>14838</v>
      </c>
      <c r="B1316" t="s">
        <v>20</v>
      </c>
      <c r="C1316" t="s">
        <v>13</v>
      </c>
      <c r="D1316" t="s">
        <v>16</v>
      </c>
      <c r="E1316" s="1">
        <v>2816</v>
      </c>
      <c r="F1316" s="1">
        <v>2023</v>
      </c>
      <c r="G1316" t="s">
        <v>11</v>
      </c>
      <c r="H1316" s="2">
        <v>45183.582731481481</v>
      </c>
      <c r="I1316" s="9">
        <f t="shared" si="184"/>
        <v>45184</v>
      </c>
      <c r="J1316" s="2" t="str">
        <f t="shared" si="185"/>
        <v/>
      </c>
      <c r="L1316" s="2" t="str">
        <f t="shared" si="186"/>
        <v/>
      </c>
      <c r="N1316" s="10" t="str">
        <f t="shared" si="187"/>
        <v/>
      </c>
      <c r="O1316" s="2">
        <f t="shared" si="188"/>
        <v>45184</v>
      </c>
      <c r="P1316" s="2">
        <v>45190.721342592595</v>
      </c>
      <c r="Q1316" s="2">
        <f t="shared" si="189"/>
        <v>45190</v>
      </c>
      <c r="R1316" s="2">
        <v>45190.778564814813</v>
      </c>
      <c r="S1316">
        <f t="shared" si="190"/>
        <v>0</v>
      </c>
      <c r="T1316" s="2">
        <f t="shared" si="191"/>
        <v>45190</v>
      </c>
      <c r="U1316" t="str">
        <f t="shared" si="192"/>
        <v>NO PRAZO</v>
      </c>
    </row>
    <row r="1317" spans="1:21" hidden="1">
      <c r="A1317" s="1">
        <v>14837</v>
      </c>
      <c r="B1317" t="s">
        <v>20</v>
      </c>
      <c r="C1317" t="s">
        <v>13</v>
      </c>
      <c r="D1317" t="s">
        <v>18</v>
      </c>
      <c r="E1317" s="1">
        <v>2815</v>
      </c>
      <c r="F1317" s="1">
        <v>2023</v>
      </c>
      <c r="G1317" t="s">
        <v>11</v>
      </c>
      <c r="H1317" s="2">
        <v>45183.582731481481</v>
      </c>
      <c r="I1317" s="9">
        <f t="shared" si="184"/>
        <v>45188</v>
      </c>
      <c r="J1317" s="2" t="str">
        <f t="shared" si="185"/>
        <v/>
      </c>
      <c r="L1317" s="2" t="str">
        <f t="shared" si="186"/>
        <v/>
      </c>
      <c r="N1317" s="10" t="str">
        <f t="shared" si="187"/>
        <v/>
      </c>
      <c r="O1317" s="2">
        <f t="shared" si="188"/>
        <v>45188</v>
      </c>
      <c r="P1317" s="2">
        <v>45190.498495370368</v>
      </c>
      <c r="Q1317" s="2">
        <f t="shared" si="189"/>
        <v>45194</v>
      </c>
      <c r="R1317" s="2">
        <v>45190.717928240738</v>
      </c>
      <c r="S1317">
        <f t="shared" si="190"/>
        <v>0</v>
      </c>
      <c r="T1317" s="2">
        <f t="shared" si="191"/>
        <v>45194</v>
      </c>
      <c r="U1317" t="str">
        <f t="shared" si="192"/>
        <v>NO PRAZO</v>
      </c>
    </row>
    <row r="1318" spans="1:21" hidden="1">
      <c r="A1318" s="1">
        <v>14836</v>
      </c>
      <c r="B1318" t="s">
        <v>19</v>
      </c>
      <c r="C1318" t="s">
        <v>13</v>
      </c>
      <c r="D1318" t="s">
        <v>18</v>
      </c>
      <c r="E1318" s="1">
        <v>2814</v>
      </c>
      <c r="F1318" s="1">
        <v>2023</v>
      </c>
      <c r="G1318" t="s">
        <v>11</v>
      </c>
      <c r="H1318" s="2">
        <v>45183.582731481481</v>
      </c>
      <c r="I1318" s="9">
        <f t="shared" si="184"/>
        <v>45188</v>
      </c>
      <c r="J1318" s="2" t="str">
        <f t="shared" si="185"/>
        <v/>
      </c>
      <c r="L1318" s="2" t="str">
        <f t="shared" si="186"/>
        <v/>
      </c>
      <c r="N1318" s="10" t="str">
        <f t="shared" si="187"/>
        <v/>
      </c>
      <c r="O1318" s="2">
        <f t="shared" si="188"/>
        <v>45188</v>
      </c>
      <c r="P1318" s="2">
        <v>45184.548715277779</v>
      </c>
      <c r="Q1318" s="2">
        <f t="shared" si="189"/>
        <v>45194</v>
      </c>
      <c r="R1318" s="2">
        <v>45188.473564814813</v>
      </c>
      <c r="S1318">
        <f t="shared" si="190"/>
        <v>0</v>
      </c>
      <c r="T1318" s="2">
        <f t="shared" si="191"/>
        <v>45194</v>
      </c>
      <c r="U1318" t="str">
        <f t="shared" si="192"/>
        <v>NO PRAZO</v>
      </c>
    </row>
    <row r="1319" spans="1:21" hidden="1">
      <c r="A1319" s="1">
        <v>14827</v>
      </c>
      <c r="B1319" t="s">
        <v>12</v>
      </c>
      <c r="C1319" t="s">
        <v>13</v>
      </c>
      <c r="D1319" t="s">
        <v>10</v>
      </c>
      <c r="E1319" s="1">
        <v>2805</v>
      </c>
      <c r="F1319" s="1">
        <v>2023</v>
      </c>
      <c r="G1319" t="s">
        <v>11</v>
      </c>
      <c r="H1319" s="2">
        <v>45183.41609953704</v>
      </c>
      <c r="I1319" s="9">
        <f t="shared" si="184"/>
        <v>45184</v>
      </c>
      <c r="J1319" s="2" t="str">
        <f t="shared" si="185"/>
        <v/>
      </c>
      <c r="L1319" s="2" t="str">
        <f t="shared" si="186"/>
        <v/>
      </c>
      <c r="N1319" s="10" t="str">
        <f t="shared" si="187"/>
        <v/>
      </c>
      <c r="O1319" s="2">
        <f t="shared" si="188"/>
        <v>45184</v>
      </c>
      <c r="P1319" s="2">
        <v>45184.635578703703</v>
      </c>
      <c r="Q1319" s="2">
        <f t="shared" si="189"/>
        <v>45187</v>
      </c>
      <c r="R1319" s="2">
        <v>45184.656192129631</v>
      </c>
      <c r="S1319">
        <f t="shared" si="190"/>
        <v>0</v>
      </c>
      <c r="T1319" s="2">
        <f t="shared" si="191"/>
        <v>45187</v>
      </c>
      <c r="U1319" t="str">
        <f t="shared" si="192"/>
        <v>NO PRAZO</v>
      </c>
    </row>
    <row r="1320" spans="1:21" hidden="1">
      <c r="A1320" s="1">
        <v>14820</v>
      </c>
      <c r="B1320" t="s">
        <v>12</v>
      </c>
      <c r="C1320" t="s">
        <v>13</v>
      </c>
      <c r="D1320" t="s">
        <v>10</v>
      </c>
      <c r="E1320" s="1">
        <v>2798</v>
      </c>
      <c r="F1320" s="1">
        <v>2023</v>
      </c>
      <c r="G1320" t="s">
        <v>11</v>
      </c>
      <c r="H1320" s="2">
        <v>45182.732557870368</v>
      </c>
      <c r="I1320" s="9">
        <f t="shared" si="184"/>
        <v>45183</v>
      </c>
      <c r="J1320" s="2" t="str">
        <f t="shared" si="185"/>
        <v/>
      </c>
      <c r="L1320" s="2" t="str">
        <f t="shared" si="186"/>
        <v/>
      </c>
      <c r="N1320" s="10" t="str">
        <f t="shared" si="187"/>
        <v/>
      </c>
      <c r="O1320" s="2">
        <f t="shared" si="188"/>
        <v>45183</v>
      </c>
      <c r="P1320" s="2">
        <v>45182.734733796293</v>
      </c>
      <c r="Q1320" s="2">
        <f t="shared" si="189"/>
        <v>45184</v>
      </c>
      <c r="R1320" s="2">
        <v>45182.741053240738</v>
      </c>
      <c r="S1320">
        <f t="shared" si="190"/>
        <v>0</v>
      </c>
      <c r="T1320" s="2">
        <f t="shared" si="191"/>
        <v>45184</v>
      </c>
      <c r="U1320" t="str">
        <f t="shared" si="192"/>
        <v>NO PRAZO</v>
      </c>
    </row>
    <row r="1321" spans="1:21" hidden="1">
      <c r="A1321" s="1">
        <v>14816</v>
      </c>
      <c r="B1321" t="s">
        <v>24</v>
      </c>
      <c r="C1321" t="s">
        <v>13</v>
      </c>
      <c r="D1321" t="s">
        <v>10</v>
      </c>
      <c r="E1321" s="1">
        <v>2794</v>
      </c>
      <c r="F1321" s="1">
        <v>2023</v>
      </c>
      <c r="G1321" t="s">
        <v>11</v>
      </c>
      <c r="H1321" s="2">
        <v>45182.582812499997</v>
      </c>
      <c r="I1321" s="9">
        <f t="shared" si="184"/>
        <v>45183</v>
      </c>
      <c r="J1321" s="2" t="str">
        <f t="shared" si="185"/>
        <v/>
      </c>
      <c r="L1321" s="2" t="str">
        <f t="shared" si="186"/>
        <v/>
      </c>
      <c r="N1321" s="10" t="str">
        <f t="shared" si="187"/>
        <v/>
      </c>
      <c r="O1321" s="2">
        <f t="shared" si="188"/>
        <v>45183</v>
      </c>
      <c r="P1321" s="2">
        <v>45183.437071759261</v>
      </c>
      <c r="Q1321" s="2">
        <f t="shared" si="189"/>
        <v>45184</v>
      </c>
      <c r="R1321" s="2">
        <v>45183.439675925925</v>
      </c>
      <c r="S1321">
        <f t="shared" si="190"/>
        <v>0</v>
      </c>
      <c r="T1321" s="2">
        <f t="shared" si="191"/>
        <v>45184</v>
      </c>
      <c r="U1321" t="str">
        <f t="shared" si="192"/>
        <v>NO PRAZO</v>
      </c>
    </row>
    <row r="1322" spans="1:21" hidden="1">
      <c r="A1322" s="1">
        <v>14814</v>
      </c>
      <c r="B1322" t="s">
        <v>19</v>
      </c>
      <c r="C1322" t="s">
        <v>13</v>
      </c>
      <c r="D1322" t="s">
        <v>14</v>
      </c>
      <c r="E1322" s="1">
        <v>2792</v>
      </c>
      <c r="F1322" s="1">
        <v>2023</v>
      </c>
      <c r="G1322" t="s">
        <v>11</v>
      </c>
      <c r="H1322" s="2">
        <v>45182.499513888892</v>
      </c>
      <c r="I1322" s="9">
        <f t="shared" si="184"/>
        <v>45183</v>
      </c>
      <c r="J1322" s="2" t="str">
        <f t="shared" si="185"/>
        <v/>
      </c>
      <c r="L1322" s="2" t="str">
        <f t="shared" si="186"/>
        <v/>
      </c>
      <c r="N1322" s="10" t="str">
        <f t="shared" si="187"/>
        <v/>
      </c>
      <c r="O1322" s="2">
        <f t="shared" si="188"/>
        <v>45183</v>
      </c>
      <c r="P1322" s="2">
        <v>45183.413229166668</v>
      </c>
      <c r="Q1322" s="2">
        <f t="shared" si="189"/>
        <v>45184</v>
      </c>
      <c r="R1322" s="2">
        <v>45183.457395833335</v>
      </c>
      <c r="S1322">
        <f t="shared" si="190"/>
        <v>0</v>
      </c>
      <c r="T1322" s="2">
        <f t="shared" si="191"/>
        <v>45184</v>
      </c>
      <c r="U1322" t="str">
        <f t="shared" si="192"/>
        <v>NO PRAZO</v>
      </c>
    </row>
    <row r="1323" spans="1:21" hidden="1">
      <c r="A1323" s="1">
        <v>14813</v>
      </c>
      <c r="B1323" t="s">
        <v>17</v>
      </c>
      <c r="C1323" t="s">
        <v>9</v>
      </c>
      <c r="D1323" t="s">
        <v>18</v>
      </c>
      <c r="E1323" s="1">
        <v>2791</v>
      </c>
      <c r="F1323" s="1">
        <v>2023</v>
      </c>
      <c r="G1323" t="s">
        <v>11</v>
      </c>
      <c r="H1323" s="2">
        <v>45182.499513888892</v>
      </c>
      <c r="I1323" s="9">
        <f t="shared" si="184"/>
        <v>45187</v>
      </c>
      <c r="J1323" s="2" t="str">
        <f t="shared" si="185"/>
        <v/>
      </c>
      <c r="L1323" s="2" t="str">
        <f t="shared" si="186"/>
        <v/>
      </c>
      <c r="N1323" s="10" t="str">
        <f t="shared" si="187"/>
        <v/>
      </c>
      <c r="O1323" s="2">
        <f t="shared" si="188"/>
        <v>45187</v>
      </c>
      <c r="P1323" s="2">
        <v>45182.728159722225</v>
      </c>
      <c r="Q1323" s="2">
        <f t="shared" si="189"/>
        <v>45191</v>
      </c>
      <c r="R1323" s="2">
        <v>45187.679803240739</v>
      </c>
      <c r="S1323">
        <f t="shared" si="190"/>
        <v>0</v>
      </c>
      <c r="T1323" s="2">
        <f t="shared" si="191"/>
        <v>45191</v>
      </c>
      <c r="U1323" t="str">
        <f t="shared" si="192"/>
        <v>NO PRAZO</v>
      </c>
    </row>
    <row r="1324" spans="1:21" hidden="1">
      <c r="A1324" s="1">
        <v>14809</v>
      </c>
      <c r="B1324" t="s">
        <v>17</v>
      </c>
      <c r="C1324" t="s">
        <v>9</v>
      </c>
      <c r="D1324" t="s">
        <v>18</v>
      </c>
      <c r="E1324" s="1">
        <v>2787</v>
      </c>
      <c r="F1324" s="1">
        <v>2023</v>
      </c>
      <c r="G1324" t="s">
        <v>11</v>
      </c>
      <c r="H1324" s="2">
        <v>45182.45784722222</v>
      </c>
      <c r="I1324" s="9">
        <f t="shared" si="184"/>
        <v>45187</v>
      </c>
      <c r="J1324" s="2" t="str">
        <f t="shared" si="185"/>
        <v/>
      </c>
      <c r="L1324" s="2" t="str">
        <f t="shared" si="186"/>
        <v/>
      </c>
      <c r="N1324" s="10" t="str">
        <f t="shared" si="187"/>
        <v/>
      </c>
      <c r="O1324" s="2">
        <f t="shared" si="188"/>
        <v>45187</v>
      </c>
      <c r="P1324" s="2">
        <v>45184.680659722224</v>
      </c>
      <c r="Q1324" s="2">
        <f t="shared" si="189"/>
        <v>45191</v>
      </c>
      <c r="R1324" s="2">
        <v>45189.635335648149</v>
      </c>
      <c r="S1324">
        <f t="shared" si="190"/>
        <v>0</v>
      </c>
      <c r="T1324" s="2">
        <f t="shared" si="191"/>
        <v>45191</v>
      </c>
      <c r="U1324" t="str">
        <f t="shared" si="192"/>
        <v>NO PRAZO</v>
      </c>
    </row>
    <row r="1325" spans="1:21" hidden="1">
      <c r="A1325" s="1">
        <v>14807</v>
      </c>
      <c r="B1325" t="s">
        <v>19</v>
      </c>
      <c r="C1325" t="s">
        <v>13</v>
      </c>
      <c r="D1325" t="s">
        <v>18</v>
      </c>
      <c r="E1325" s="1">
        <v>2785</v>
      </c>
      <c r="F1325" s="1">
        <v>2023</v>
      </c>
      <c r="G1325" t="s">
        <v>11</v>
      </c>
      <c r="H1325" s="2">
        <v>45182.416180555556</v>
      </c>
      <c r="I1325" s="9">
        <f t="shared" si="184"/>
        <v>45187</v>
      </c>
      <c r="J1325" s="2" t="str">
        <f t="shared" si="185"/>
        <v/>
      </c>
      <c r="L1325" s="2" t="str">
        <f t="shared" si="186"/>
        <v/>
      </c>
      <c r="N1325" s="10" t="str">
        <f t="shared" si="187"/>
        <v/>
      </c>
      <c r="O1325" s="2">
        <f t="shared" si="188"/>
        <v>45187</v>
      </c>
      <c r="P1325" s="2">
        <v>45188.630995370368</v>
      </c>
      <c r="Q1325" s="2">
        <f t="shared" si="189"/>
        <v>45191</v>
      </c>
      <c r="R1325" s="2">
        <v>45188.631157407406</v>
      </c>
      <c r="S1325">
        <f t="shared" si="190"/>
        <v>0</v>
      </c>
      <c r="T1325" s="2">
        <f t="shared" si="191"/>
        <v>45191</v>
      </c>
      <c r="U1325" t="str">
        <f t="shared" si="192"/>
        <v>NO PRAZO</v>
      </c>
    </row>
    <row r="1326" spans="1:21" hidden="1">
      <c r="A1326" s="1">
        <v>14805</v>
      </c>
      <c r="B1326" t="s">
        <v>20</v>
      </c>
      <c r="C1326" t="s">
        <v>13</v>
      </c>
      <c r="D1326" t="s">
        <v>18</v>
      </c>
      <c r="E1326" s="1">
        <v>2783</v>
      </c>
      <c r="F1326" s="1">
        <v>2023</v>
      </c>
      <c r="G1326" t="s">
        <v>11</v>
      </c>
      <c r="H1326" s="2">
        <v>45182.416180555556</v>
      </c>
      <c r="I1326" s="9">
        <f t="shared" si="184"/>
        <v>45187</v>
      </c>
      <c r="J1326" s="2" t="str">
        <f t="shared" si="185"/>
        <v/>
      </c>
      <c r="L1326" s="2" t="str">
        <f t="shared" si="186"/>
        <v/>
      </c>
      <c r="N1326" s="10" t="str">
        <f t="shared" si="187"/>
        <v/>
      </c>
      <c r="O1326" s="2">
        <f t="shared" si="188"/>
        <v>45187</v>
      </c>
      <c r="P1326" s="2">
        <v>45183.410312499997</v>
      </c>
      <c r="Q1326" s="2">
        <f t="shared" si="189"/>
        <v>45191</v>
      </c>
      <c r="R1326" s="2">
        <v>45187.46733796296</v>
      </c>
      <c r="S1326">
        <f t="shared" si="190"/>
        <v>0</v>
      </c>
      <c r="T1326" s="2">
        <f t="shared" si="191"/>
        <v>45191</v>
      </c>
      <c r="U1326" t="str">
        <f t="shared" si="192"/>
        <v>NO PRAZO</v>
      </c>
    </row>
    <row r="1327" spans="1:21" hidden="1">
      <c r="A1327" s="1">
        <v>14794</v>
      </c>
      <c r="B1327" t="s">
        <v>12</v>
      </c>
      <c r="C1327" t="s">
        <v>13</v>
      </c>
      <c r="D1327" t="s">
        <v>10</v>
      </c>
      <c r="E1327" s="1">
        <v>2772</v>
      </c>
      <c r="F1327" s="1">
        <v>2023</v>
      </c>
      <c r="G1327" t="s">
        <v>11</v>
      </c>
      <c r="H1327" s="2">
        <v>45181.791238425925</v>
      </c>
      <c r="I1327" s="9">
        <f t="shared" si="184"/>
        <v>45182</v>
      </c>
      <c r="J1327" s="2" t="str">
        <f t="shared" si="185"/>
        <v/>
      </c>
      <c r="L1327" s="2" t="str">
        <f t="shared" si="186"/>
        <v/>
      </c>
      <c r="N1327" s="10" t="str">
        <f t="shared" si="187"/>
        <v/>
      </c>
      <c r="O1327" s="2">
        <f t="shared" si="188"/>
        <v>45182</v>
      </c>
      <c r="P1327" s="2">
        <v>45182.751446759263</v>
      </c>
      <c r="Q1327" s="2">
        <f t="shared" si="189"/>
        <v>45183</v>
      </c>
      <c r="R1327" s="2">
        <v>45182.755046296297</v>
      </c>
      <c r="S1327">
        <f t="shared" si="190"/>
        <v>0</v>
      </c>
      <c r="T1327" s="2">
        <f t="shared" si="191"/>
        <v>45183</v>
      </c>
      <c r="U1327" t="str">
        <f t="shared" si="192"/>
        <v>NO PRAZO</v>
      </c>
    </row>
    <row r="1328" spans="1:21" hidden="1">
      <c r="A1328" s="1">
        <v>14777</v>
      </c>
      <c r="B1328" t="s">
        <v>12</v>
      </c>
      <c r="C1328" t="s">
        <v>13</v>
      </c>
      <c r="D1328" t="s">
        <v>18</v>
      </c>
      <c r="E1328" s="1">
        <v>2755</v>
      </c>
      <c r="F1328" s="1">
        <v>2023</v>
      </c>
      <c r="G1328" t="s">
        <v>11</v>
      </c>
      <c r="H1328" s="2">
        <v>45181.457905092589</v>
      </c>
      <c r="I1328" s="9">
        <f t="shared" si="184"/>
        <v>45184</v>
      </c>
      <c r="J1328" s="2" t="str">
        <f t="shared" si="185"/>
        <v/>
      </c>
      <c r="L1328" s="2" t="str">
        <f t="shared" si="186"/>
        <v/>
      </c>
      <c r="N1328" s="10" t="str">
        <f t="shared" si="187"/>
        <v/>
      </c>
      <c r="O1328" s="2">
        <f t="shared" si="188"/>
        <v>45184</v>
      </c>
      <c r="P1328" s="2">
        <v>45182.733217592591</v>
      </c>
      <c r="Q1328" s="2">
        <f t="shared" si="189"/>
        <v>45190</v>
      </c>
      <c r="R1328" s="2">
        <v>45182.733356481483</v>
      </c>
      <c r="S1328">
        <f t="shared" si="190"/>
        <v>0</v>
      </c>
      <c r="T1328" s="2">
        <f t="shared" si="191"/>
        <v>45190</v>
      </c>
      <c r="U1328" t="str">
        <f t="shared" si="192"/>
        <v>NO PRAZO</v>
      </c>
    </row>
    <row r="1329" spans="1:21" hidden="1">
      <c r="A1329" s="1">
        <v>14775</v>
      </c>
      <c r="B1329" t="s">
        <v>20</v>
      </c>
      <c r="C1329" t="s">
        <v>13</v>
      </c>
      <c r="D1329" t="s">
        <v>18</v>
      </c>
      <c r="E1329" s="1">
        <v>2753</v>
      </c>
      <c r="F1329" s="1">
        <v>2023</v>
      </c>
      <c r="G1329" t="s">
        <v>11</v>
      </c>
      <c r="H1329" s="2">
        <v>45181.416261574072</v>
      </c>
      <c r="I1329" s="9">
        <f t="shared" si="184"/>
        <v>45184</v>
      </c>
      <c r="J1329" s="2" t="str">
        <f t="shared" si="185"/>
        <v/>
      </c>
      <c r="L1329" s="2" t="str">
        <f t="shared" si="186"/>
        <v/>
      </c>
      <c r="N1329" s="10" t="str">
        <f t="shared" si="187"/>
        <v/>
      </c>
      <c r="O1329" s="2">
        <f t="shared" si="188"/>
        <v>45184</v>
      </c>
      <c r="P1329" s="2">
        <v>45182.408055555556</v>
      </c>
      <c r="Q1329" s="2">
        <f t="shared" si="189"/>
        <v>45190</v>
      </c>
      <c r="R1329" s="2">
        <v>45184.594629629632</v>
      </c>
      <c r="S1329">
        <f t="shared" si="190"/>
        <v>0</v>
      </c>
      <c r="T1329" s="2">
        <f t="shared" si="191"/>
        <v>45190</v>
      </c>
      <c r="U1329" t="str">
        <f t="shared" si="192"/>
        <v>NO PRAZO</v>
      </c>
    </row>
    <row r="1330" spans="1:21">
      <c r="A1330" s="1">
        <v>14769</v>
      </c>
      <c r="B1330" t="s">
        <v>17</v>
      </c>
      <c r="C1330" t="s">
        <v>9</v>
      </c>
      <c r="D1330" t="s">
        <v>18</v>
      </c>
      <c r="E1330" s="1">
        <v>2747</v>
      </c>
      <c r="F1330" s="1">
        <v>2023</v>
      </c>
      <c r="G1330" t="s">
        <v>11</v>
      </c>
      <c r="H1330" s="2">
        <v>45180.583009259259</v>
      </c>
      <c r="I1330" s="9">
        <f t="shared" si="184"/>
        <v>45183</v>
      </c>
      <c r="J1330" s="2" t="str">
        <f t="shared" si="185"/>
        <v/>
      </c>
      <c r="L1330" s="2" t="str">
        <f t="shared" si="186"/>
        <v/>
      </c>
      <c r="N1330" s="10" t="str">
        <f t="shared" si="187"/>
        <v/>
      </c>
      <c r="O1330" s="2">
        <f t="shared" si="188"/>
        <v>45183</v>
      </c>
      <c r="P1330" s="2">
        <v>45198.666296296295</v>
      </c>
      <c r="Q1330" s="2">
        <f t="shared" si="189"/>
        <v>45189</v>
      </c>
      <c r="R1330" s="2">
        <v>45198.667592592596</v>
      </c>
      <c r="S1330">
        <f t="shared" si="190"/>
        <v>9</v>
      </c>
      <c r="T1330" s="2">
        <f t="shared" si="191"/>
        <v>45189</v>
      </c>
      <c r="U1330" t="str">
        <f t="shared" si="192"/>
        <v>ATRASO</v>
      </c>
    </row>
    <row r="1331" spans="1:21">
      <c r="A1331" s="1">
        <v>14768</v>
      </c>
      <c r="B1331" t="s">
        <v>20</v>
      </c>
      <c r="C1331" t="s">
        <v>13</v>
      </c>
      <c r="D1331" t="s">
        <v>18</v>
      </c>
      <c r="E1331" s="1">
        <v>2746</v>
      </c>
      <c r="F1331" s="1">
        <v>2023</v>
      </c>
      <c r="G1331" t="s">
        <v>11</v>
      </c>
      <c r="H1331" s="2">
        <v>45180.583009259259</v>
      </c>
      <c r="I1331" s="9">
        <f t="shared" si="184"/>
        <v>45183</v>
      </c>
      <c r="J1331" s="2" t="str">
        <f t="shared" si="185"/>
        <v/>
      </c>
      <c r="L1331" s="2" t="str">
        <f t="shared" si="186"/>
        <v/>
      </c>
      <c r="N1331" s="10" t="str">
        <f t="shared" si="187"/>
        <v/>
      </c>
      <c r="O1331" s="2">
        <f t="shared" si="188"/>
        <v>45183</v>
      </c>
      <c r="P1331" s="2">
        <v>45181.438344907408</v>
      </c>
      <c r="Q1331" s="2">
        <f t="shared" si="189"/>
        <v>45189</v>
      </c>
      <c r="R1331" s="2">
        <v>45202.414293981485</v>
      </c>
      <c r="S1331">
        <f t="shared" si="190"/>
        <v>13</v>
      </c>
      <c r="T1331" s="2">
        <f t="shared" si="191"/>
        <v>45189</v>
      </c>
      <c r="U1331" t="str">
        <f t="shared" si="192"/>
        <v>ATRASO</v>
      </c>
    </row>
    <row r="1332" spans="1:21" hidden="1">
      <c r="A1332" s="1">
        <v>14767</v>
      </c>
      <c r="B1332" t="s">
        <v>19</v>
      </c>
      <c r="C1332" t="s">
        <v>13</v>
      </c>
      <c r="D1332" t="s">
        <v>18</v>
      </c>
      <c r="E1332" s="1">
        <v>2745</v>
      </c>
      <c r="F1332" s="1">
        <v>2023</v>
      </c>
      <c r="G1332" t="s">
        <v>11</v>
      </c>
      <c r="H1332" s="2">
        <v>45180.509583333333</v>
      </c>
      <c r="I1332" s="9">
        <f t="shared" si="184"/>
        <v>45183</v>
      </c>
      <c r="J1332" s="2" t="str">
        <f t="shared" si="185"/>
        <v/>
      </c>
      <c r="L1332" s="2" t="str">
        <f t="shared" si="186"/>
        <v/>
      </c>
      <c r="N1332" s="10" t="str">
        <f t="shared" si="187"/>
        <v/>
      </c>
      <c r="O1332" s="2">
        <f t="shared" si="188"/>
        <v>45183</v>
      </c>
      <c r="P1332" s="2">
        <v>45180.514768518522</v>
      </c>
      <c r="Q1332" s="2">
        <f t="shared" si="189"/>
        <v>45189</v>
      </c>
      <c r="R1332" s="2">
        <v>45180.609548611108</v>
      </c>
      <c r="S1332">
        <f t="shared" si="190"/>
        <v>0</v>
      </c>
      <c r="T1332" s="2">
        <f t="shared" si="191"/>
        <v>45189</v>
      </c>
      <c r="U1332" t="str">
        <f t="shared" si="192"/>
        <v>NO PRAZO</v>
      </c>
    </row>
    <row r="1333" spans="1:21" hidden="1">
      <c r="A1333" s="1">
        <v>14766</v>
      </c>
      <c r="B1333" t="s">
        <v>22</v>
      </c>
      <c r="C1333" t="s">
        <v>13</v>
      </c>
      <c r="D1333" t="s">
        <v>10</v>
      </c>
      <c r="E1333" s="1">
        <v>2744</v>
      </c>
      <c r="F1333" s="1">
        <v>2023</v>
      </c>
      <c r="G1333" t="s">
        <v>11</v>
      </c>
      <c r="H1333" s="2">
        <v>45180.499699074076</v>
      </c>
      <c r="I1333" s="9">
        <f t="shared" si="184"/>
        <v>45181</v>
      </c>
      <c r="J1333" s="2" t="str">
        <f t="shared" si="185"/>
        <v/>
      </c>
      <c r="L1333" s="2" t="str">
        <f t="shared" si="186"/>
        <v/>
      </c>
      <c r="N1333" s="10" t="str">
        <f t="shared" si="187"/>
        <v/>
      </c>
      <c r="O1333" s="2">
        <f t="shared" si="188"/>
        <v>45181</v>
      </c>
      <c r="P1333" s="2">
        <v>45181.379502314812</v>
      </c>
      <c r="Q1333" s="2">
        <f t="shared" si="189"/>
        <v>45182</v>
      </c>
      <c r="R1333" s="2">
        <v>45181.426134259258</v>
      </c>
      <c r="S1333">
        <f t="shared" si="190"/>
        <v>0</v>
      </c>
      <c r="T1333" s="2">
        <f t="shared" si="191"/>
        <v>45182</v>
      </c>
      <c r="U1333" t="str">
        <f t="shared" si="192"/>
        <v>NO PRAZO</v>
      </c>
    </row>
    <row r="1334" spans="1:21" hidden="1">
      <c r="A1334" s="1">
        <v>14765</v>
      </c>
      <c r="B1334" t="s">
        <v>12</v>
      </c>
      <c r="C1334" t="s">
        <v>13</v>
      </c>
      <c r="D1334" t="s">
        <v>18</v>
      </c>
      <c r="E1334" s="1">
        <v>2743</v>
      </c>
      <c r="F1334" s="1">
        <v>2023</v>
      </c>
      <c r="G1334" t="s">
        <v>11</v>
      </c>
      <c r="H1334" s="2">
        <v>45180.499699074076</v>
      </c>
      <c r="I1334" s="9">
        <f t="shared" si="184"/>
        <v>45183</v>
      </c>
      <c r="J1334" s="2" t="str">
        <f t="shared" si="185"/>
        <v/>
      </c>
      <c r="L1334" s="2" t="str">
        <f t="shared" si="186"/>
        <v/>
      </c>
      <c r="N1334" s="10" t="str">
        <f t="shared" si="187"/>
        <v/>
      </c>
      <c r="O1334" s="2">
        <f t="shared" si="188"/>
        <v>45183</v>
      </c>
      <c r="P1334" s="2">
        <v>45184.579062500001</v>
      </c>
      <c r="Q1334" s="2">
        <f t="shared" si="189"/>
        <v>45189</v>
      </c>
      <c r="R1334" s="2">
        <v>45187.504004629627</v>
      </c>
      <c r="S1334">
        <f t="shared" si="190"/>
        <v>0</v>
      </c>
      <c r="T1334" s="2">
        <f t="shared" si="191"/>
        <v>45189</v>
      </c>
      <c r="U1334" t="str">
        <f t="shared" si="192"/>
        <v>NO PRAZO</v>
      </c>
    </row>
    <row r="1335" spans="1:21" hidden="1">
      <c r="A1335" s="1">
        <v>14764</v>
      </c>
      <c r="B1335" t="s">
        <v>24</v>
      </c>
      <c r="C1335" t="s">
        <v>13</v>
      </c>
      <c r="D1335" t="s">
        <v>10</v>
      </c>
      <c r="E1335" s="1">
        <v>2742</v>
      </c>
      <c r="F1335" s="1">
        <v>2023</v>
      </c>
      <c r="G1335" t="s">
        <v>11</v>
      </c>
      <c r="H1335" s="2">
        <v>45180.499699074076</v>
      </c>
      <c r="I1335" s="9">
        <f t="shared" si="184"/>
        <v>45181</v>
      </c>
      <c r="J1335" s="2" t="str">
        <f t="shared" si="185"/>
        <v/>
      </c>
      <c r="L1335" s="2" t="str">
        <f t="shared" si="186"/>
        <v/>
      </c>
      <c r="N1335" s="10" t="str">
        <f t="shared" si="187"/>
        <v/>
      </c>
      <c r="O1335" s="2">
        <f t="shared" si="188"/>
        <v>45181</v>
      </c>
      <c r="P1335" s="2">
        <v>45181.37709490741</v>
      </c>
      <c r="Q1335" s="2">
        <f t="shared" si="189"/>
        <v>45182</v>
      </c>
      <c r="R1335" s="2">
        <v>45181.425925925927</v>
      </c>
      <c r="S1335">
        <f t="shared" si="190"/>
        <v>0</v>
      </c>
      <c r="T1335" s="2">
        <f t="shared" si="191"/>
        <v>45182</v>
      </c>
      <c r="U1335" t="str">
        <f t="shared" si="192"/>
        <v>NO PRAZO</v>
      </c>
    </row>
    <row r="1336" spans="1:21" hidden="1">
      <c r="A1336" s="1">
        <v>14763</v>
      </c>
      <c r="B1336" t="s">
        <v>24</v>
      </c>
      <c r="C1336" t="s">
        <v>13</v>
      </c>
      <c r="D1336" t="s">
        <v>10</v>
      </c>
      <c r="E1336" s="1">
        <v>2741</v>
      </c>
      <c r="F1336" s="1">
        <v>2023</v>
      </c>
      <c r="G1336" t="s">
        <v>11</v>
      </c>
      <c r="H1336" s="2">
        <v>45180.499699074076</v>
      </c>
      <c r="I1336" s="9">
        <f t="shared" si="184"/>
        <v>45181</v>
      </c>
      <c r="J1336" s="2" t="str">
        <f t="shared" si="185"/>
        <v/>
      </c>
      <c r="L1336" s="2" t="str">
        <f t="shared" si="186"/>
        <v/>
      </c>
      <c r="N1336" s="10" t="str">
        <f t="shared" si="187"/>
        <v/>
      </c>
      <c r="O1336" s="2">
        <f t="shared" si="188"/>
        <v>45181</v>
      </c>
      <c r="P1336" s="2">
        <v>45181.47755787037</v>
      </c>
      <c r="Q1336" s="2">
        <f t="shared" si="189"/>
        <v>45182</v>
      </c>
      <c r="R1336" s="2">
        <v>45181.488321759258</v>
      </c>
      <c r="S1336">
        <f t="shared" si="190"/>
        <v>0</v>
      </c>
      <c r="T1336" s="2">
        <f t="shared" si="191"/>
        <v>45182</v>
      </c>
      <c r="U1336" t="str">
        <f t="shared" si="192"/>
        <v>NO PRAZO</v>
      </c>
    </row>
    <row r="1337" spans="1:21" hidden="1">
      <c r="A1337" s="1">
        <v>14757</v>
      </c>
      <c r="B1337" t="s">
        <v>19</v>
      </c>
      <c r="C1337" t="s">
        <v>13</v>
      </c>
      <c r="D1337" t="s">
        <v>10</v>
      </c>
      <c r="E1337" s="1">
        <v>2735</v>
      </c>
      <c r="F1337" s="1">
        <v>2023</v>
      </c>
      <c r="G1337" t="s">
        <v>11</v>
      </c>
      <c r="H1337" s="2">
        <v>45177.583252314813</v>
      </c>
      <c r="I1337" s="9">
        <f t="shared" si="184"/>
        <v>45180</v>
      </c>
      <c r="J1337" s="2" t="str">
        <f t="shared" si="185"/>
        <v/>
      </c>
      <c r="L1337" s="2" t="str">
        <f t="shared" si="186"/>
        <v/>
      </c>
      <c r="N1337" s="10" t="str">
        <f t="shared" si="187"/>
        <v/>
      </c>
      <c r="O1337" s="2">
        <f t="shared" si="188"/>
        <v>45180</v>
      </c>
      <c r="P1337" s="2">
        <v>45177.710474537038</v>
      </c>
      <c r="Q1337" s="2">
        <f t="shared" si="189"/>
        <v>45181</v>
      </c>
      <c r="R1337" s="2">
        <v>45177.713680555556</v>
      </c>
      <c r="S1337">
        <f t="shared" si="190"/>
        <v>0</v>
      </c>
      <c r="T1337" s="2">
        <f t="shared" si="191"/>
        <v>45181</v>
      </c>
      <c r="U1337" t="str">
        <f t="shared" si="192"/>
        <v>NO PRAZO</v>
      </c>
    </row>
    <row r="1338" spans="1:21" hidden="1">
      <c r="A1338" s="1">
        <v>14756</v>
      </c>
      <c r="B1338" t="s">
        <v>22</v>
      </c>
      <c r="C1338" t="s">
        <v>13</v>
      </c>
      <c r="D1338" t="s">
        <v>10</v>
      </c>
      <c r="E1338" s="1">
        <v>2734</v>
      </c>
      <c r="F1338" s="1">
        <v>2023</v>
      </c>
      <c r="G1338" t="s">
        <v>11</v>
      </c>
      <c r="H1338" s="2">
        <v>45177.583252314813</v>
      </c>
      <c r="I1338" s="9">
        <f t="shared" si="184"/>
        <v>45180</v>
      </c>
      <c r="J1338" s="2" t="str">
        <f t="shared" si="185"/>
        <v/>
      </c>
      <c r="L1338" s="2" t="str">
        <f t="shared" si="186"/>
        <v/>
      </c>
      <c r="N1338" s="10" t="str">
        <f t="shared" si="187"/>
        <v/>
      </c>
      <c r="O1338" s="2">
        <f t="shared" si="188"/>
        <v>45180</v>
      </c>
      <c r="P1338" s="2">
        <v>45177.666018518517</v>
      </c>
      <c r="Q1338" s="2">
        <f t="shared" si="189"/>
        <v>45181</v>
      </c>
      <c r="R1338" s="2">
        <v>45177.668171296296</v>
      </c>
      <c r="S1338">
        <f t="shared" si="190"/>
        <v>0</v>
      </c>
      <c r="T1338" s="2">
        <f t="shared" si="191"/>
        <v>45181</v>
      </c>
      <c r="U1338" t="str">
        <f t="shared" si="192"/>
        <v>NO PRAZO</v>
      </c>
    </row>
    <row r="1339" spans="1:21" hidden="1">
      <c r="A1339" s="1">
        <v>14755</v>
      </c>
      <c r="B1339" t="s">
        <v>20</v>
      </c>
      <c r="C1339" t="s">
        <v>13</v>
      </c>
      <c r="D1339" t="s">
        <v>16</v>
      </c>
      <c r="E1339" s="1">
        <v>2733</v>
      </c>
      <c r="F1339" s="1">
        <v>2023</v>
      </c>
      <c r="G1339" t="s">
        <v>11</v>
      </c>
      <c r="H1339" s="2">
        <v>45177.499942129631</v>
      </c>
      <c r="I1339" s="9">
        <f t="shared" si="184"/>
        <v>45180</v>
      </c>
      <c r="J1339" s="2" t="str">
        <f t="shared" si="185"/>
        <v/>
      </c>
      <c r="L1339" s="2" t="str">
        <f t="shared" si="186"/>
        <v/>
      </c>
      <c r="N1339" s="10" t="str">
        <f t="shared" si="187"/>
        <v/>
      </c>
      <c r="O1339" s="2">
        <f t="shared" si="188"/>
        <v>45180</v>
      </c>
      <c r="P1339" s="2">
        <v>45182.705671296295</v>
      </c>
      <c r="Q1339" s="2">
        <f t="shared" si="189"/>
        <v>45184</v>
      </c>
      <c r="R1339" s="2">
        <v>45182.711944444447</v>
      </c>
      <c r="S1339">
        <f t="shared" si="190"/>
        <v>0</v>
      </c>
      <c r="T1339" s="2">
        <f t="shared" si="191"/>
        <v>45184</v>
      </c>
      <c r="U1339" t="str">
        <f t="shared" si="192"/>
        <v>NO PRAZO</v>
      </c>
    </row>
    <row r="1340" spans="1:21" hidden="1">
      <c r="A1340" s="1">
        <v>14730</v>
      </c>
      <c r="B1340" t="s">
        <v>12</v>
      </c>
      <c r="C1340" t="s">
        <v>9</v>
      </c>
      <c r="D1340" t="s">
        <v>21</v>
      </c>
      <c r="E1340" s="1">
        <v>2708</v>
      </c>
      <c r="F1340" s="1">
        <v>2023</v>
      </c>
      <c r="G1340" t="s">
        <v>11</v>
      </c>
      <c r="H1340" s="2">
        <v>45175.583402777775</v>
      </c>
      <c r="I1340" s="9">
        <f t="shared" si="184"/>
        <v>45181</v>
      </c>
      <c r="J1340" s="2">
        <f t="shared" si="185"/>
        <v>45181</v>
      </c>
      <c r="K1340" s="2">
        <v>45184.373391203706</v>
      </c>
      <c r="L1340" s="2">
        <f t="shared" si="186"/>
        <v>45201</v>
      </c>
      <c r="M1340" s="2">
        <v>45184.373483796298</v>
      </c>
      <c r="N1340" s="10">
        <f t="shared" si="187"/>
        <v>0</v>
      </c>
      <c r="O1340" s="2">
        <f t="shared" si="188"/>
        <v>45202</v>
      </c>
      <c r="P1340" s="2">
        <v>45191.511145833334</v>
      </c>
      <c r="Q1340" s="2">
        <f t="shared" si="189"/>
        <v>45230</v>
      </c>
      <c r="R1340" s="2">
        <v>45216.680497685185</v>
      </c>
      <c r="S1340">
        <f t="shared" si="190"/>
        <v>0</v>
      </c>
      <c r="T1340" s="2">
        <f t="shared" si="191"/>
        <v>45230</v>
      </c>
      <c r="U1340" t="str">
        <f t="shared" si="192"/>
        <v>NO PRAZO</v>
      </c>
    </row>
    <row r="1341" spans="1:21" hidden="1">
      <c r="A1341" s="1">
        <v>14722</v>
      </c>
      <c r="B1341" t="s">
        <v>19</v>
      </c>
      <c r="C1341" t="s">
        <v>13</v>
      </c>
      <c r="D1341" t="s">
        <v>18</v>
      </c>
      <c r="E1341" s="1">
        <v>2700</v>
      </c>
      <c r="F1341" s="1">
        <v>2023</v>
      </c>
      <c r="G1341" t="s">
        <v>11</v>
      </c>
      <c r="H1341" s="2">
        <v>45174.58315972222</v>
      </c>
      <c r="I1341" s="9">
        <f t="shared" si="184"/>
        <v>45180</v>
      </c>
      <c r="J1341" s="2" t="str">
        <f t="shared" si="185"/>
        <v/>
      </c>
      <c r="L1341" s="2" t="str">
        <f t="shared" si="186"/>
        <v/>
      </c>
      <c r="N1341" s="10" t="str">
        <f t="shared" si="187"/>
        <v/>
      </c>
      <c r="O1341" s="2">
        <f t="shared" si="188"/>
        <v>45180</v>
      </c>
      <c r="P1341" s="2">
        <v>45175.458009259259</v>
      </c>
      <c r="Q1341" s="2">
        <f t="shared" si="189"/>
        <v>45184</v>
      </c>
      <c r="R1341" s="2">
        <v>45175.535636574074</v>
      </c>
      <c r="S1341">
        <f t="shared" si="190"/>
        <v>0</v>
      </c>
      <c r="T1341" s="2">
        <f t="shared" si="191"/>
        <v>45184</v>
      </c>
      <c r="U1341" t="str">
        <f t="shared" si="192"/>
        <v>NO PRAZO</v>
      </c>
    </row>
    <row r="1342" spans="1:21" hidden="1">
      <c r="A1342" s="1">
        <v>14720</v>
      </c>
      <c r="B1342" t="s">
        <v>17</v>
      </c>
      <c r="C1342" t="s">
        <v>9</v>
      </c>
      <c r="D1342" t="s">
        <v>18</v>
      </c>
      <c r="E1342" s="1">
        <v>2698</v>
      </c>
      <c r="F1342" s="1">
        <v>2023</v>
      </c>
      <c r="G1342" t="s">
        <v>11</v>
      </c>
      <c r="H1342" s="2">
        <v>45173.70820601852</v>
      </c>
      <c r="I1342" s="9">
        <f t="shared" si="184"/>
        <v>45177</v>
      </c>
      <c r="J1342" s="2" t="str">
        <f t="shared" si="185"/>
        <v/>
      </c>
      <c r="L1342" s="2" t="str">
        <f t="shared" si="186"/>
        <v/>
      </c>
      <c r="N1342" s="10" t="str">
        <f t="shared" si="187"/>
        <v/>
      </c>
      <c r="O1342" s="2">
        <f t="shared" si="188"/>
        <v>45177</v>
      </c>
      <c r="P1342" s="2">
        <v>45177.596921296295</v>
      </c>
      <c r="Q1342" s="2">
        <f t="shared" si="189"/>
        <v>45183</v>
      </c>
      <c r="R1342" s="2">
        <v>45180.429398148146</v>
      </c>
      <c r="S1342">
        <f t="shared" si="190"/>
        <v>0</v>
      </c>
      <c r="T1342" s="2">
        <f t="shared" si="191"/>
        <v>45183</v>
      </c>
      <c r="U1342" t="str">
        <f t="shared" si="192"/>
        <v>NO PRAZO</v>
      </c>
    </row>
    <row r="1343" spans="1:21" hidden="1">
      <c r="A1343" s="1">
        <v>14719</v>
      </c>
      <c r="B1343" t="s">
        <v>20</v>
      </c>
      <c r="C1343" t="s">
        <v>13</v>
      </c>
      <c r="D1343" t="s">
        <v>16</v>
      </c>
      <c r="E1343" s="1">
        <v>2697</v>
      </c>
      <c r="F1343" s="1">
        <v>2023</v>
      </c>
      <c r="G1343" t="s">
        <v>11</v>
      </c>
      <c r="H1343" s="2">
        <v>45173.666608796295</v>
      </c>
      <c r="I1343" s="9">
        <f t="shared" si="184"/>
        <v>45174</v>
      </c>
      <c r="J1343" s="2" t="str">
        <f t="shared" si="185"/>
        <v/>
      </c>
      <c r="L1343" s="2" t="str">
        <f t="shared" si="186"/>
        <v/>
      </c>
      <c r="N1343" s="10" t="str">
        <f t="shared" si="187"/>
        <v/>
      </c>
      <c r="O1343" s="2">
        <f t="shared" si="188"/>
        <v>45174</v>
      </c>
      <c r="P1343" s="2">
        <v>45173.688622685186</v>
      </c>
      <c r="Q1343" s="2">
        <f t="shared" si="189"/>
        <v>45181</v>
      </c>
      <c r="R1343" s="2">
        <v>45175.713541666664</v>
      </c>
      <c r="S1343">
        <f t="shared" si="190"/>
        <v>0</v>
      </c>
      <c r="T1343" s="2">
        <f t="shared" si="191"/>
        <v>45181</v>
      </c>
      <c r="U1343" t="str">
        <f t="shared" si="192"/>
        <v>NO PRAZO</v>
      </c>
    </row>
    <row r="1344" spans="1:21" hidden="1">
      <c r="A1344" s="1">
        <v>14717</v>
      </c>
      <c r="B1344" t="s">
        <v>8</v>
      </c>
      <c r="C1344" t="s">
        <v>9</v>
      </c>
      <c r="D1344" t="s">
        <v>18</v>
      </c>
      <c r="E1344" s="1">
        <v>2695</v>
      </c>
      <c r="F1344" s="1">
        <v>2023</v>
      </c>
      <c r="G1344" t="s">
        <v>11</v>
      </c>
      <c r="H1344" s="2">
        <v>45173.624918981484</v>
      </c>
      <c r="I1344" s="9">
        <f t="shared" ref="I1344:I1407" si="193">IF(OR(D1344="ORIENTAÇÃO",D1344="BUG IMPEDITIVO",D1344="BUG NÃO IMPEDITIVO"),WORKDAY(H1344,1,Z$2:Z$500),IF(OR(D1344="MELHORIA PEQUENA",D1344="MELHORIA MÉDIA"),WORKDAY(H1344,3,Z$2:Z$500),""))</f>
        <v>45177</v>
      </c>
      <c r="J1344" s="2" t="str">
        <f t="shared" si="185"/>
        <v/>
      </c>
      <c r="L1344" s="2" t="str">
        <f t="shared" si="186"/>
        <v/>
      </c>
      <c r="N1344" s="10" t="str">
        <f t="shared" si="187"/>
        <v/>
      </c>
      <c r="O1344" s="2">
        <f t="shared" si="188"/>
        <v>45177</v>
      </c>
      <c r="P1344" s="2">
        <v>45173.661122685182</v>
      </c>
      <c r="Q1344" s="2">
        <f t="shared" si="189"/>
        <v>45183</v>
      </c>
      <c r="R1344" s="2">
        <v>45173.66847222222</v>
      </c>
      <c r="S1344">
        <f t="shared" si="190"/>
        <v>0</v>
      </c>
      <c r="T1344" s="2">
        <f t="shared" si="191"/>
        <v>45183</v>
      </c>
      <c r="U1344" t="str">
        <f t="shared" si="192"/>
        <v>NO PRAZO</v>
      </c>
    </row>
    <row r="1345" spans="1:21" hidden="1">
      <c r="A1345" s="1">
        <v>14715</v>
      </c>
      <c r="B1345" t="s">
        <v>17</v>
      </c>
      <c r="C1345" t="s">
        <v>9</v>
      </c>
      <c r="D1345" t="s">
        <v>18</v>
      </c>
      <c r="E1345" s="1">
        <v>2693</v>
      </c>
      <c r="F1345" s="1">
        <v>2023</v>
      </c>
      <c r="G1345" t="s">
        <v>11</v>
      </c>
      <c r="H1345" s="2">
        <v>45173.499930555554</v>
      </c>
      <c r="I1345" s="9">
        <f t="shared" si="193"/>
        <v>45177</v>
      </c>
      <c r="J1345" s="2" t="str">
        <f t="shared" si="185"/>
        <v/>
      </c>
      <c r="L1345" s="2" t="str">
        <f t="shared" si="186"/>
        <v/>
      </c>
      <c r="N1345" s="10" t="str">
        <f t="shared" si="187"/>
        <v/>
      </c>
      <c r="O1345" s="2">
        <f t="shared" si="188"/>
        <v>45177</v>
      </c>
      <c r="P1345" s="2">
        <v>45177.687488425923</v>
      </c>
      <c r="Q1345" s="2">
        <f t="shared" si="189"/>
        <v>45183</v>
      </c>
      <c r="R1345" s="2">
        <v>45177.714537037034</v>
      </c>
      <c r="S1345">
        <f t="shared" si="190"/>
        <v>0</v>
      </c>
      <c r="T1345" s="2">
        <f t="shared" si="191"/>
        <v>45183</v>
      </c>
      <c r="U1345" t="str">
        <f t="shared" si="192"/>
        <v>NO PRAZO</v>
      </c>
    </row>
    <row r="1346" spans="1:21" hidden="1">
      <c r="A1346" s="1">
        <v>14710</v>
      </c>
      <c r="B1346" t="s">
        <v>20</v>
      </c>
      <c r="C1346" t="s">
        <v>13</v>
      </c>
      <c r="D1346" t="s">
        <v>18</v>
      </c>
      <c r="E1346" s="1">
        <v>2688</v>
      </c>
      <c r="F1346" s="1">
        <v>2023</v>
      </c>
      <c r="G1346" t="s">
        <v>11</v>
      </c>
      <c r="H1346" s="2">
        <v>45173.416597222225</v>
      </c>
      <c r="I1346" s="9">
        <f t="shared" si="193"/>
        <v>45177</v>
      </c>
      <c r="J1346" s="2" t="str">
        <f t="shared" si="185"/>
        <v/>
      </c>
      <c r="L1346" s="2" t="str">
        <f t="shared" si="186"/>
        <v/>
      </c>
      <c r="N1346" s="10" t="str">
        <f t="shared" si="187"/>
        <v/>
      </c>
      <c r="O1346" s="2">
        <f t="shared" si="188"/>
        <v>45177</v>
      </c>
      <c r="P1346" s="2">
        <v>45174.459050925929</v>
      </c>
      <c r="Q1346" s="2">
        <f t="shared" si="189"/>
        <v>45183</v>
      </c>
      <c r="R1346" s="2">
        <v>45177.454108796293</v>
      </c>
      <c r="S1346">
        <f t="shared" si="190"/>
        <v>0</v>
      </c>
      <c r="T1346" s="2">
        <f t="shared" si="191"/>
        <v>45183</v>
      </c>
      <c r="U1346" t="str">
        <f t="shared" si="192"/>
        <v>NO PRAZO</v>
      </c>
    </row>
    <row r="1347" spans="1:21" hidden="1">
      <c r="A1347" s="1">
        <v>14708</v>
      </c>
      <c r="B1347" t="s">
        <v>17</v>
      </c>
      <c r="C1347" t="s">
        <v>9</v>
      </c>
      <c r="D1347" t="s">
        <v>18</v>
      </c>
      <c r="E1347" s="1">
        <v>2686</v>
      </c>
      <c r="F1347" s="1">
        <v>2023</v>
      </c>
      <c r="G1347" t="s">
        <v>11</v>
      </c>
      <c r="H1347" s="2">
        <v>45170.790046296293</v>
      </c>
      <c r="I1347" s="9">
        <f t="shared" si="193"/>
        <v>45175</v>
      </c>
      <c r="J1347" s="2" t="str">
        <f t="shared" ref="J1347:J1410" si="194">IF(K1347&lt;&gt;"",I1347,"")</f>
        <v/>
      </c>
      <c r="L1347" s="2" t="str">
        <f t="shared" ref="L1347:L1410" si="195">IF(J1347="","",WORKDAY(J1347,14,Z$2:Z$500))</f>
        <v/>
      </c>
      <c r="N1347" s="10" t="str">
        <f t="shared" ref="N1347:N1410" si="196">IF(M1347="","",MAX(0,INT(M1347)-INT(L1347)))</f>
        <v/>
      </c>
      <c r="O1347" s="2">
        <f t="shared" ref="O1347:O1410" si="197">IF(L1347="",I1347,WORKDAY(L1347,1,Z$2:Z$500))</f>
        <v>45175</v>
      </c>
      <c r="P1347" s="2">
        <v>45175.557870370372</v>
      </c>
      <c r="Q1347" s="2">
        <f t="shared" ref="Q1347:Q1410" si="198">IF(OR(D1347="ORIENTAÇÃO",D1347="BUG IMPEDITIVO"),WORKDAY(O1347,1,Z$2:Z$500),IF(OR(D1347="MELHORIA PEQUENA",D1347="BUG NÃO IMPEDITIVO"),WORKDAY(O1347,4,Z$2:Z$500),IF(D1347="MELHORIA MÉDIA",WORKDAY(O1347,19,Z$2:Z$500),"")))</f>
        <v>45182</v>
      </c>
      <c r="R1347" s="2">
        <v>45175.55872685185</v>
      </c>
      <c r="S1347">
        <f t="shared" ref="S1347:S1410" si="199">MAX(0,INT(R1347)-INT(Q1347))</f>
        <v>0</v>
      </c>
      <c r="T1347" s="2">
        <f t="shared" ref="T1347:T1410" si="200">IF(D1347="MELHORIA MÉDIA",IF(K1347&lt;&gt;"",WORKDAY(I1347,34,$Z$2:$Z$1000),WORKDAY(I1347,19,$Z$2:$Z$1000)),IF(OR(D1347="MELHORIA PEQUENA",D1347="BUG NÃO IMPEDITIVO"),WORKDAY(I1347,4,$Z$2:$Z$1000),IF(OR(D1347="ORIENTAÇÃO",D1347="BUG IMPEDITIVO"),WORKDAY(I1347,1,$Z$2:$Z$1000),"")))</f>
        <v>45182</v>
      </c>
      <c r="U1347" t="str">
        <f t="shared" ref="U1347:U1410" si="201">IF(INT(R1347)&lt;=INT(T1347),"NO PRAZO","ATRASO")</f>
        <v>NO PRAZO</v>
      </c>
    </row>
    <row r="1348" spans="1:21" hidden="1">
      <c r="A1348" s="1">
        <v>14703</v>
      </c>
      <c r="B1348" t="s">
        <v>19</v>
      </c>
      <c r="C1348" t="s">
        <v>13</v>
      </c>
      <c r="D1348" t="s">
        <v>18</v>
      </c>
      <c r="E1348" s="1">
        <v>2681</v>
      </c>
      <c r="F1348" s="1">
        <v>2023</v>
      </c>
      <c r="G1348" t="s">
        <v>11</v>
      </c>
      <c r="H1348" s="2">
        <v>45170.623391203706</v>
      </c>
      <c r="I1348" s="9">
        <f t="shared" si="193"/>
        <v>45175</v>
      </c>
      <c r="J1348" s="2" t="str">
        <f t="shared" si="194"/>
        <v/>
      </c>
      <c r="L1348" s="2" t="str">
        <f t="shared" si="195"/>
        <v/>
      </c>
      <c r="N1348" s="10" t="str">
        <f t="shared" si="196"/>
        <v/>
      </c>
      <c r="O1348" s="2">
        <f t="shared" si="197"/>
        <v>45175</v>
      </c>
      <c r="P1348" s="2">
        <v>45173.683136574073</v>
      </c>
      <c r="Q1348" s="2">
        <f t="shared" si="198"/>
        <v>45182</v>
      </c>
      <c r="R1348" s="2">
        <v>45173.683287037034</v>
      </c>
      <c r="S1348">
        <f t="shared" si="199"/>
        <v>0</v>
      </c>
      <c r="T1348" s="2">
        <f t="shared" si="200"/>
        <v>45182</v>
      </c>
      <c r="U1348" t="str">
        <f t="shared" si="201"/>
        <v>NO PRAZO</v>
      </c>
    </row>
    <row r="1349" spans="1:21" hidden="1">
      <c r="A1349" s="1">
        <v>14679</v>
      </c>
      <c r="B1349" t="s">
        <v>22</v>
      </c>
      <c r="C1349" t="s">
        <v>13</v>
      </c>
      <c r="D1349" t="s">
        <v>10</v>
      </c>
      <c r="E1349" s="1">
        <v>2657</v>
      </c>
      <c r="F1349" s="1">
        <v>2023</v>
      </c>
      <c r="G1349" t="s">
        <v>11</v>
      </c>
      <c r="H1349" s="2">
        <v>45170.498391203706</v>
      </c>
      <c r="I1349" s="9">
        <f t="shared" si="193"/>
        <v>45173</v>
      </c>
      <c r="J1349" s="2" t="str">
        <f t="shared" si="194"/>
        <v/>
      </c>
      <c r="L1349" s="2" t="str">
        <f t="shared" si="195"/>
        <v/>
      </c>
      <c r="N1349" s="10" t="str">
        <f t="shared" si="196"/>
        <v/>
      </c>
      <c r="O1349" s="2">
        <f t="shared" si="197"/>
        <v>45173</v>
      </c>
      <c r="P1349" s="2">
        <v>45173.556076388886</v>
      </c>
      <c r="Q1349" s="2">
        <f t="shared" si="198"/>
        <v>45174</v>
      </c>
      <c r="R1349" s="2">
        <v>45173.624780092592</v>
      </c>
      <c r="S1349">
        <f t="shared" si="199"/>
        <v>0</v>
      </c>
      <c r="T1349" s="2">
        <f t="shared" si="200"/>
        <v>45174</v>
      </c>
      <c r="U1349" t="str">
        <f t="shared" si="201"/>
        <v>NO PRAZO</v>
      </c>
    </row>
    <row r="1350" spans="1:21" hidden="1">
      <c r="A1350" s="1">
        <v>14678</v>
      </c>
      <c r="B1350" t="s">
        <v>20</v>
      </c>
      <c r="C1350" t="s">
        <v>13</v>
      </c>
      <c r="D1350" t="s">
        <v>18</v>
      </c>
      <c r="E1350" s="1">
        <v>2656</v>
      </c>
      <c r="F1350" s="1">
        <v>2023</v>
      </c>
      <c r="G1350" t="s">
        <v>11</v>
      </c>
      <c r="H1350" s="2">
        <v>45170.456701388888</v>
      </c>
      <c r="I1350" s="9">
        <f t="shared" si="193"/>
        <v>45175</v>
      </c>
      <c r="J1350" s="2" t="str">
        <f t="shared" si="194"/>
        <v/>
      </c>
      <c r="L1350" s="2" t="str">
        <f t="shared" si="195"/>
        <v/>
      </c>
      <c r="N1350" s="10" t="str">
        <f t="shared" si="196"/>
        <v/>
      </c>
      <c r="O1350" s="2">
        <f t="shared" si="197"/>
        <v>45175</v>
      </c>
      <c r="P1350" s="2">
        <v>45170.649224537039</v>
      </c>
      <c r="Q1350" s="2">
        <f t="shared" si="198"/>
        <v>45182</v>
      </c>
      <c r="R1350" s="2">
        <v>45170.66375</v>
      </c>
      <c r="S1350">
        <f t="shared" si="199"/>
        <v>0</v>
      </c>
      <c r="T1350" s="2">
        <f t="shared" si="200"/>
        <v>45182</v>
      </c>
      <c r="U1350" t="str">
        <f t="shared" si="201"/>
        <v>NO PRAZO</v>
      </c>
    </row>
    <row r="1351" spans="1:21" hidden="1">
      <c r="A1351" s="1">
        <v>14677</v>
      </c>
      <c r="B1351" t="s">
        <v>22</v>
      </c>
      <c r="C1351" t="s">
        <v>13</v>
      </c>
      <c r="D1351" t="s">
        <v>10</v>
      </c>
      <c r="E1351" s="1">
        <v>2655</v>
      </c>
      <c r="F1351" s="1">
        <v>2023</v>
      </c>
      <c r="G1351" t="s">
        <v>11</v>
      </c>
      <c r="H1351" s="2">
        <v>45170.415092592593</v>
      </c>
      <c r="I1351" s="9">
        <f t="shared" si="193"/>
        <v>45173</v>
      </c>
      <c r="J1351" s="2" t="str">
        <f t="shared" si="194"/>
        <v/>
      </c>
      <c r="L1351" s="2" t="str">
        <f t="shared" si="195"/>
        <v/>
      </c>
      <c r="N1351" s="10" t="str">
        <f t="shared" si="196"/>
        <v/>
      </c>
      <c r="O1351" s="2">
        <f t="shared" si="197"/>
        <v>45173</v>
      </c>
      <c r="P1351" s="2">
        <v>45173.555613425924</v>
      </c>
      <c r="Q1351" s="2">
        <f t="shared" si="198"/>
        <v>45174</v>
      </c>
      <c r="R1351" s="2">
        <v>45173.624351851853</v>
      </c>
      <c r="S1351">
        <f t="shared" si="199"/>
        <v>0</v>
      </c>
      <c r="T1351" s="2">
        <f t="shared" si="200"/>
        <v>45174</v>
      </c>
      <c r="U1351" t="str">
        <f t="shared" si="201"/>
        <v>NO PRAZO</v>
      </c>
    </row>
    <row r="1352" spans="1:21" hidden="1">
      <c r="A1352" s="1">
        <v>14673</v>
      </c>
      <c r="B1352" t="s">
        <v>22</v>
      </c>
      <c r="C1352" t="s">
        <v>13</v>
      </c>
      <c r="D1352" t="s">
        <v>10</v>
      </c>
      <c r="E1352" s="1">
        <v>2651</v>
      </c>
      <c r="F1352" s="1">
        <v>2023</v>
      </c>
      <c r="G1352" t="s">
        <v>11</v>
      </c>
      <c r="H1352" s="2">
        <v>45169.623472222222</v>
      </c>
      <c r="I1352" s="9">
        <f t="shared" si="193"/>
        <v>45170</v>
      </c>
      <c r="J1352" s="2" t="str">
        <f t="shared" si="194"/>
        <v/>
      </c>
      <c r="L1352" s="2" t="str">
        <f t="shared" si="195"/>
        <v/>
      </c>
      <c r="N1352" s="10" t="str">
        <f t="shared" si="196"/>
        <v/>
      </c>
      <c r="O1352" s="2">
        <f t="shared" si="197"/>
        <v>45170</v>
      </c>
      <c r="P1352" s="2">
        <v>45173.555185185185</v>
      </c>
      <c r="Q1352" s="2">
        <f t="shared" si="198"/>
        <v>45173</v>
      </c>
      <c r="R1352" s="2">
        <v>45173.623888888891</v>
      </c>
      <c r="S1352">
        <f t="shared" si="199"/>
        <v>0</v>
      </c>
      <c r="T1352" s="2">
        <f t="shared" si="200"/>
        <v>45173</v>
      </c>
      <c r="U1352" t="str">
        <f t="shared" si="201"/>
        <v>NO PRAZO</v>
      </c>
    </row>
    <row r="1353" spans="1:21" hidden="1">
      <c r="A1353" s="1">
        <v>14672</v>
      </c>
      <c r="B1353" t="s">
        <v>22</v>
      </c>
      <c r="C1353" t="s">
        <v>13</v>
      </c>
      <c r="D1353" t="s">
        <v>10</v>
      </c>
      <c r="E1353" s="1">
        <v>2650</v>
      </c>
      <c r="F1353" s="1">
        <v>2023</v>
      </c>
      <c r="G1353" t="s">
        <v>11</v>
      </c>
      <c r="H1353" s="2">
        <v>45169.623472222222</v>
      </c>
      <c r="I1353" s="9">
        <f t="shared" si="193"/>
        <v>45170</v>
      </c>
      <c r="J1353" s="2" t="str">
        <f t="shared" si="194"/>
        <v/>
      </c>
      <c r="L1353" s="2" t="str">
        <f t="shared" si="195"/>
        <v/>
      </c>
      <c r="N1353" s="10" t="str">
        <f t="shared" si="196"/>
        <v/>
      </c>
      <c r="O1353" s="2">
        <f t="shared" si="197"/>
        <v>45170</v>
      </c>
      <c r="P1353" s="2">
        <v>45173.554513888892</v>
      </c>
      <c r="Q1353" s="2">
        <f t="shared" si="198"/>
        <v>45173</v>
      </c>
      <c r="R1353" s="2">
        <v>45173.62363425926</v>
      </c>
      <c r="S1353">
        <f t="shared" si="199"/>
        <v>0</v>
      </c>
      <c r="T1353" s="2">
        <f t="shared" si="200"/>
        <v>45173</v>
      </c>
      <c r="U1353" t="str">
        <f t="shared" si="201"/>
        <v>NO PRAZO</v>
      </c>
    </row>
    <row r="1354" spans="1:21" hidden="1">
      <c r="A1354" s="1">
        <v>14669</v>
      </c>
      <c r="B1354" t="s">
        <v>19</v>
      </c>
      <c r="C1354" t="s">
        <v>13</v>
      </c>
      <c r="D1354" t="s">
        <v>10</v>
      </c>
      <c r="E1354" s="1">
        <v>2647</v>
      </c>
      <c r="F1354" s="1">
        <v>2023</v>
      </c>
      <c r="G1354" t="s">
        <v>11</v>
      </c>
      <c r="H1354" s="2">
        <v>45169.581793981481</v>
      </c>
      <c r="I1354" s="9">
        <f t="shared" si="193"/>
        <v>45170</v>
      </c>
      <c r="J1354" s="2" t="str">
        <f t="shared" si="194"/>
        <v/>
      </c>
      <c r="L1354" s="2" t="str">
        <f t="shared" si="195"/>
        <v/>
      </c>
      <c r="N1354" s="10" t="str">
        <f t="shared" si="196"/>
        <v/>
      </c>
      <c r="O1354" s="2">
        <f t="shared" si="197"/>
        <v>45170</v>
      </c>
      <c r="P1354" s="2">
        <v>45170.620127314818</v>
      </c>
      <c r="Q1354" s="2">
        <f t="shared" si="198"/>
        <v>45173</v>
      </c>
      <c r="R1354" s="2">
        <v>45170.817835648151</v>
      </c>
      <c r="S1354">
        <f t="shared" si="199"/>
        <v>0</v>
      </c>
      <c r="T1354" s="2">
        <f t="shared" si="200"/>
        <v>45173</v>
      </c>
      <c r="U1354" t="str">
        <f t="shared" si="201"/>
        <v>NO PRAZO</v>
      </c>
    </row>
    <row r="1355" spans="1:21" hidden="1">
      <c r="A1355" s="1">
        <v>14668</v>
      </c>
      <c r="B1355" t="s">
        <v>19</v>
      </c>
      <c r="C1355" t="s">
        <v>13</v>
      </c>
      <c r="D1355" t="s">
        <v>10</v>
      </c>
      <c r="E1355" s="1">
        <v>2646</v>
      </c>
      <c r="F1355" s="1">
        <v>2023</v>
      </c>
      <c r="G1355" t="s">
        <v>11</v>
      </c>
      <c r="H1355" s="2">
        <v>45169.581793981481</v>
      </c>
      <c r="I1355" s="9">
        <f t="shared" si="193"/>
        <v>45170</v>
      </c>
      <c r="J1355" s="2" t="str">
        <f t="shared" si="194"/>
        <v/>
      </c>
      <c r="L1355" s="2" t="str">
        <f t="shared" si="195"/>
        <v/>
      </c>
      <c r="N1355" s="10" t="str">
        <f t="shared" si="196"/>
        <v/>
      </c>
      <c r="O1355" s="2">
        <f t="shared" si="197"/>
        <v>45170</v>
      </c>
      <c r="P1355" s="2">
        <v>45170.620474537034</v>
      </c>
      <c r="Q1355" s="2">
        <f t="shared" si="198"/>
        <v>45173</v>
      </c>
      <c r="R1355" s="2">
        <v>45170.817569444444</v>
      </c>
      <c r="S1355">
        <f t="shared" si="199"/>
        <v>0</v>
      </c>
      <c r="T1355" s="2">
        <f t="shared" si="200"/>
        <v>45173</v>
      </c>
      <c r="U1355" t="str">
        <f t="shared" si="201"/>
        <v>NO PRAZO</v>
      </c>
    </row>
    <row r="1356" spans="1:21" hidden="1">
      <c r="A1356" s="1">
        <v>14667</v>
      </c>
      <c r="B1356" t="s">
        <v>19</v>
      </c>
      <c r="C1356" t="s">
        <v>13</v>
      </c>
      <c r="D1356" t="s">
        <v>10</v>
      </c>
      <c r="E1356" s="1">
        <v>2645</v>
      </c>
      <c r="F1356" s="1">
        <v>2023</v>
      </c>
      <c r="G1356" t="s">
        <v>11</v>
      </c>
      <c r="H1356" s="2">
        <v>45169.581793981481</v>
      </c>
      <c r="I1356" s="9">
        <f t="shared" si="193"/>
        <v>45170</v>
      </c>
      <c r="J1356" s="2" t="str">
        <f t="shared" si="194"/>
        <v/>
      </c>
      <c r="L1356" s="2" t="str">
        <f t="shared" si="195"/>
        <v/>
      </c>
      <c r="N1356" s="10" t="str">
        <f t="shared" si="196"/>
        <v/>
      </c>
      <c r="O1356" s="2">
        <f t="shared" si="197"/>
        <v>45170</v>
      </c>
      <c r="P1356" s="2">
        <v>45170.620810185188</v>
      </c>
      <c r="Q1356" s="2">
        <f t="shared" si="198"/>
        <v>45173</v>
      </c>
      <c r="R1356" s="2">
        <v>45170.817372685182</v>
      </c>
      <c r="S1356">
        <f t="shared" si="199"/>
        <v>0</v>
      </c>
      <c r="T1356" s="2">
        <f t="shared" si="200"/>
        <v>45173</v>
      </c>
      <c r="U1356" t="str">
        <f t="shared" si="201"/>
        <v>NO PRAZO</v>
      </c>
    </row>
    <row r="1357" spans="1:21" hidden="1">
      <c r="A1357" s="1">
        <v>14666</v>
      </c>
      <c r="B1357" t="s">
        <v>20</v>
      </c>
      <c r="C1357" t="s">
        <v>13</v>
      </c>
      <c r="D1357" t="s">
        <v>18</v>
      </c>
      <c r="E1357" s="1">
        <v>2644</v>
      </c>
      <c r="F1357" s="1">
        <v>2023</v>
      </c>
      <c r="G1357" t="s">
        <v>11</v>
      </c>
      <c r="H1357" s="2">
        <v>45169.498495370368</v>
      </c>
      <c r="I1357" s="9">
        <f t="shared" si="193"/>
        <v>45174</v>
      </c>
      <c r="J1357" s="2" t="str">
        <f t="shared" si="194"/>
        <v/>
      </c>
      <c r="L1357" s="2" t="str">
        <f t="shared" si="195"/>
        <v/>
      </c>
      <c r="N1357" s="10" t="str">
        <f t="shared" si="196"/>
        <v/>
      </c>
      <c r="O1357" s="2">
        <f t="shared" si="197"/>
        <v>45174</v>
      </c>
      <c r="P1357" s="2">
        <v>45169.578576388885</v>
      </c>
      <c r="Q1357" s="2">
        <f t="shared" si="198"/>
        <v>45181</v>
      </c>
      <c r="R1357" s="2">
        <v>45175.653171296297</v>
      </c>
      <c r="S1357">
        <f t="shared" si="199"/>
        <v>0</v>
      </c>
      <c r="T1357" s="2">
        <f t="shared" si="200"/>
        <v>45181</v>
      </c>
      <c r="U1357" t="str">
        <f t="shared" si="201"/>
        <v>NO PRAZO</v>
      </c>
    </row>
    <row r="1358" spans="1:21" hidden="1">
      <c r="A1358" s="1">
        <v>14664</v>
      </c>
      <c r="B1358" t="s">
        <v>19</v>
      </c>
      <c r="C1358" t="s">
        <v>13</v>
      </c>
      <c r="D1358" t="s">
        <v>10</v>
      </c>
      <c r="E1358" s="1">
        <v>2642</v>
      </c>
      <c r="F1358" s="1">
        <v>2023</v>
      </c>
      <c r="G1358" t="s">
        <v>11</v>
      </c>
      <c r="H1358" s="2">
        <v>45169.456817129627</v>
      </c>
      <c r="I1358" s="9">
        <f t="shared" si="193"/>
        <v>45170</v>
      </c>
      <c r="J1358" s="2" t="str">
        <f t="shared" si="194"/>
        <v/>
      </c>
      <c r="L1358" s="2" t="str">
        <f t="shared" si="195"/>
        <v/>
      </c>
      <c r="N1358" s="10" t="str">
        <f t="shared" si="196"/>
        <v/>
      </c>
      <c r="O1358" s="2">
        <f t="shared" si="197"/>
        <v>45170</v>
      </c>
      <c r="P1358" s="2">
        <v>45170.520520833335</v>
      </c>
      <c r="Q1358" s="2">
        <f t="shared" si="198"/>
        <v>45173</v>
      </c>
      <c r="R1358" s="2">
        <v>45170.524583333332</v>
      </c>
      <c r="S1358">
        <f t="shared" si="199"/>
        <v>0</v>
      </c>
      <c r="T1358" s="2">
        <f t="shared" si="200"/>
        <v>45173</v>
      </c>
      <c r="U1358" t="str">
        <f t="shared" si="201"/>
        <v>NO PRAZO</v>
      </c>
    </row>
    <row r="1359" spans="1:21" hidden="1">
      <c r="A1359" s="1">
        <v>14661</v>
      </c>
      <c r="B1359" t="s">
        <v>19</v>
      </c>
      <c r="C1359" t="s">
        <v>13</v>
      </c>
      <c r="D1359" t="s">
        <v>10</v>
      </c>
      <c r="E1359" s="1">
        <v>2639</v>
      </c>
      <c r="F1359" s="1">
        <v>2023</v>
      </c>
      <c r="G1359" t="s">
        <v>11</v>
      </c>
      <c r="H1359" s="2">
        <v>45169.373541666668</v>
      </c>
      <c r="I1359" s="9">
        <f t="shared" si="193"/>
        <v>45170</v>
      </c>
      <c r="J1359" s="2" t="str">
        <f t="shared" si="194"/>
        <v/>
      </c>
      <c r="L1359" s="2" t="str">
        <f t="shared" si="195"/>
        <v/>
      </c>
      <c r="N1359" s="10" t="str">
        <f t="shared" si="196"/>
        <v/>
      </c>
      <c r="O1359" s="2">
        <f t="shared" si="197"/>
        <v>45170</v>
      </c>
      <c r="P1359" s="2">
        <v>45169.492175925923</v>
      </c>
      <c r="Q1359" s="2">
        <f t="shared" si="198"/>
        <v>45173</v>
      </c>
      <c r="R1359" s="2">
        <v>45170.615335648145</v>
      </c>
      <c r="S1359">
        <f t="shared" si="199"/>
        <v>0</v>
      </c>
      <c r="T1359" s="2">
        <f t="shared" si="200"/>
        <v>45173</v>
      </c>
      <c r="U1359" t="str">
        <f t="shared" si="201"/>
        <v>NO PRAZO</v>
      </c>
    </row>
    <row r="1360" spans="1:21" hidden="1">
      <c r="A1360" s="1">
        <v>14660</v>
      </c>
      <c r="B1360" t="s">
        <v>19</v>
      </c>
      <c r="C1360" t="s">
        <v>13</v>
      </c>
      <c r="D1360" t="s">
        <v>10</v>
      </c>
      <c r="E1360" s="1">
        <v>2638</v>
      </c>
      <c r="F1360" s="1">
        <v>2023</v>
      </c>
      <c r="G1360" t="s">
        <v>11</v>
      </c>
      <c r="H1360" s="2">
        <v>45169.373541666668</v>
      </c>
      <c r="I1360" s="9">
        <f t="shared" si="193"/>
        <v>45170</v>
      </c>
      <c r="J1360" s="2" t="str">
        <f t="shared" si="194"/>
        <v/>
      </c>
      <c r="L1360" s="2" t="str">
        <f t="shared" si="195"/>
        <v/>
      </c>
      <c r="N1360" s="10" t="str">
        <f t="shared" si="196"/>
        <v/>
      </c>
      <c r="O1360" s="2">
        <f t="shared" si="197"/>
        <v>45170</v>
      </c>
      <c r="P1360" s="2">
        <v>45169.488425925927</v>
      </c>
      <c r="Q1360" s="2">
        <f t="shared" si="198"/>
        <v>45173</v>
      </c>
      <c r="R1360" s="2">
        <v>45169.537430555552</v>
      </c>
      <c r="S1360">
        <f t="shared" si="199"/>
        <v>0</v>
      </c>
      <c r="T1360" s="2">
        <f t="shared" si="200"/>
        <v>45173</v>
      </c>
      <c r="U1360" t="str">
        <f t="shared" si="201"/>
        <v>NO PRAZO</v>
      </c>
    </row>
    <row r="1361" spans="1:21" hidden="1">
      <c r="A1361" s="1">
        <v>14659</v>
      </c>
      <c r="B1361" t="s">
        <v>19</v>
      </c>
      <c r="C1361" t="s">
        <v>13</v>
      </c>
      <c r="D1361" t="s">
        <v>10</v>
      </c>
      <c r="E1361" s="1">
        <v>2637</v>
      </c>
      <c r="F1361" s="1">
        <v>2023</v>
      </c>
      <c r="G1361" t="s">
        <v>11</v>
      </c>
      <c r="H1361" s="2">
        <v>45169.373541666668</v>
      </c>
      <c r="I1361" s="9">
        <f t="shared" si="193"/>
        <v>45170</v>
      </c>
      <c r="J1361" s="2" t="str">
        <f t="shared" si="194"/>
        <v/>
      </c>
      <c r="L1361" s="2" t="str">
        <f t="shared" si="195"/>
        <v/>
      </c>
      <c r="N1361" s="10" t="str">
        <f t="shared" si="196"/>
        <v/>
      </c>
      <c r="O1361" s="2">
        <f t="shared" si="197"/>
        <v>45170</v>
      </c>
      <c r="P1361" s="2">
        <v>45169.508668981478</v>
      </c>
      <c r="Q1361" s="2">
        <f t="shared" si="198"/>
        <v>45173</v>
      </c>
      <c r="R1361" s="2">
        <v>45169.508946759262</v>
      </c>
      <c r="S1361">
        <f t="shared" si="199"/>
        <v>0</v>
      </c>
      <c r="T1361" s="2">
        <f t="shared" si="200"/>
        <v>45173</v>
      </c>
      <c r="U1361" t="str">
        <f t="shared" si="201"/>
        <v>NO PRAZO</v>
      </c>
    </row>
    <row r="1362" spans="1:21" hidden="1">
      <c r="A1362" s="1">
        <v>14650</v>
      </c>
      <c r="B1362" t="s">
        <v>20</v>
      </c>
      <c r="C1362" t="s">
        <v>13</v>
      </c>
      <c r="D1362" t="s">
        <v>10</v>
      </c>
      <c r="E1362" s="1">
        <v>2628</v>
      </c>
      <c r="F1362" s="1">
        <v>2023</v>
      </c>
      <c r="G1362" t="s">
        <v>11</v>
      </c>
      <c r="H1362" s="2">
        <v>45168.790196759262</v>
      </c>
      <c r="I1362" s="9">
        <f t="shared" si="193"/>
        <v>45169</v>
      </c>
      <c r="J1362" s="2" t="str">
        <f t="shared" si="194"/>
        <v/>
      </c>
      <c r="L1362" s="2" t="str">
        <f t="shared" si="195"/>
        <v/>
      </c>
      <c r="N1362" s="10" t="str">
        <f t="shared" si="196"/>
        <v/>
      </c>
      <c r="O1362" s="2">
        <f t="shared" si="197"/>
        <v>45169</v>
      </c>
      <c r="P1362" s="2">
        <v>45169.472337962965</v>
      </c>
      <c r="Q1362" s="2">
        <f t="shared" si="198"/>
        <v>45170</v>
      </c>
      <c r="R1362" s="2">
        <v>45169.50644675926</v>
      </c>
      <c r="S1362">
        <f t="shared" si="199"/>
        <v>0</v>
      </c>
      <c r="T1362" s="2">
        <f t="shared" si="200"/>
        <v>45170</v>
      </c>
      <c r="U1362" t="str">
        <f t="shared" si="201"/>
        <v>NO PRAZO</v>
      </c>
    </row>
    <row r="1363" spans="1:21" hidden="1">
      <c r="A1363" s="1">
        <v>14649</v>
      </c>
      <c r="B1363" t="s">
        <v>20</v>
      </c>
      <c r="C1363" t="s">
        <v>13</v>
      </c>
      <c r="D1363" t="s">
        <v>18</v>
      </c>
      <c r="E1363" s="1">
        <v>2627</v>
      </c>
      <c r="F1363" s="1">
        <v>2023</v>
      </c>
      <c r="G1363" t="s">
        <v>11</v>
      </c>
      <c r="H1363" s="2">
        <v>45168.748611111114</v>
      </c>
      <c r="I1363" s="9">
        <f t="shared" si="193"/>
        <v>45173</v>
      </c>
      <c r="J1363" s="2" t="str">
        <f t="shared" si="194"/>
        <v/>
      </c>
      <c r="L1363" s="2" t="str">
        <f t="shared" si="195"/>
        <v/>
      </c>
      <c r="N1363" s="10" t="str">
        <f t="shared" si="196"/>
        <v/>
      </c>
      <c r="O1363" s="2">
        <f t="shared" si="197"/>
        <v>45173</v>
      </c>
      <c r="P1363" s="2">
        <v>45169.471539351849</v>
      </c>
      <c r="Q1363" s="2">
        <f t="shared" si="198"/>
        <v>45180</v>
      </c>
      <c r="R1363" s="2">
        <v>45170.73909722222</v>
      </c>
      <c r="S1363">
        <f t="shared" si="199"/>
        <v>0</v>
      </c>
      <c r="T1363" s="2">
        <f t="shared" si="200"/>
        <v>45180</v>
      </c>
      <c r="U1363" t="str">
        <f t="shared" si="201"/>
        <v>NO PRAZO</v>
      </c>
    </row>
    <row r="1364" spans="1:21" hidden="1">
      <c r="A1364" s="1">
        <v>14648</v>
      </c>
      <c r="B1364" t="s">
        <v>22</v>
      </c>
      <c r="C1364" t="s">
        <v>13</v>
      </c>
      <c r="D1364" t="s">
        <v>16</v>
      </c>
      <c r="E1364" s="1">
        <v>2626</v>
      </c>
      <c r="F1364" s="1">
        <v>2023</v>
      </c>
      <c r="G1364" t="s">
        <v>11</v>
      </c>
      <c r="H1364" s="2">
        <v>45168.623553240737</v>
      </c>
      <c r="I1364" s="9">
        <f t="shared" si="193"/>
        <v>45169</v>
      </c>
      <c r="J1364" s="2" t="str">
        <f t="shared" si="194"/>
        <v/>
      </c>
      <c r="L1364" s="2" t="str">
        <f t="shared" si="195"/>
        <v/>
      </c>
      <c r="N1364" s="10" t="str">
        <f t="shared" si="196"/>
        <v/>
      </c>
      <c r="O1364" s="2">
        <f t="shared" si="197"/>
        <v>45169</v>
      </c>
      <c r="P1364" s="2">
        <v>45173.553935185184</v>
      </c>
      <c r="Q1364" s="2">
        <f t="shared" si="198"/>
        <v>45175</v>
      </c>
      <c r="R1364" s="2">
        <v>45173.622928240744</v>
      </c>
      <c r="S1364">
        <f t="shared" si="199"/>
        <v>0</v>
      </c>
      <c r="T1364" s="2">
        <f t="shared" si="200"/>
        <v>45175</v>
      </c>
      <c r="U1364" t="str">
        <f t="shared" si="201"/>
        <v>NO PRAZO</v>
      </c>
    </row>
    <row r="1365" spans="1:21" hidden="1">
      <c r="A1365" s="1">
        <v>14646</v>
      </c>
      <c r="B1365" t="s">
        <v>19</v>
      </c>
      <c r="C1365" t="s">
        <v>13</v>
      </c>
      <c r="D1365" t="s">
        <v>14</v>
      </c>
      <c r="E1365" s="1">
        <v>2624</v>
      </c>
      <c r="F1365" s="1">
        <v>2023</v>
      </c>
      <c r="G1365" t="s">
        <v>11</v>
      </c>
      <c r="H1365" s="2">
        <v>45168.581875000003</v>
      </c>
      <c r="I1365" s="9">
        <f t="shared" si="193"/>
        <v>45169</v>
      </c>
      <c r="J1365" s="2" t="str">
        <f t="shared" si="194"/>
        <v/>
      </c>
      <c r="L1365" s="2" t="str">
        <f t="shared" si="195"/>
        <v/>
      </c>
      <c r="N1365" s="10" t="str">
        <f t="shared" si="196"/>
        <v/>
      </c>
      <c r="O1365" s="2">
        <f t="shared" si="197"/>
        <v>45169</v>
      </c>
      <c r="P1365" s="2">
        <v>45170.654710648145</v>
      </c>
      <c r="Q1365" s="2">
        <f t="shared" si="198"/>
        <v>45170</v>
      </c>
      <c r="R1365" s="2">
        <v>45170.817071759258</v>
      </c>
      <c r="S1365">
        <f t="shared" si="199"/>
        <v>0</v>
      </c>
      <c r="T1365" s="2">
        <f t="shared" si="200"/>
        <v>45170</v>
      </c>
      <c r="U1365" t="str">
        <f t="shared" si="201"/>
        <v>NO PRAZO</v>
      </c>
    </row>
    <row r="1366" spans="1:21">
      <c r="A1366" s="1">
        <v>14644</v>
      </c>
      <c r="B1366" t="s">
        <v>17</v>
      </c>
      <c r="C1366" t="s">
        <v>9</v>
      </c>
      <c r="D1366" t="s">
        <v>16</v>
      </c>
      <c r="E1366" s="1">
        <v>2622</v>
      </c>
      <c r="F1366" s="1">
        <v>2023</v>
      </c>
      <c r="G1366" t="s">
        <v>11</v>
      </c>
      <c r="H1366" s="2">
        <v>45168.581875000003</v>
      </c>
      <c r="I1366" s="9">
        <f t="shared" si="193"/>
        <v>45169</v>
      </c>
      <c r="J1366" s="2" t="str">
        <f t="shared" si="194"/>
        <v/>
      </c>
      <c r="L1366" s="2" t="str">
        <f t="shared" si="195"/>
        <v/>
      </c>
      <c r="N1366" s="10" t="str">
        <f t="shared" si="196"/>
        <v/>
      </c>
      <c r="O1366" s="2">
        <f t="shared" si="197"/>
        <v>45169</v>
      </c>
      <c r="P1366" s="2">
        <v>45181.465162037035</v>
      </c>
      <c r="Q1366" s="2">
        <f t="shared" si="198"/>
        <v>45175</v>
      </c>
      <c r="R1366" s="2">
        <v>45181.494328703702</v>
      </c>
      <c r="S1366">
        <f t="shared" si="199"/>
        <v>6</v>
      </c>
      <c r="T1366" s="2">
        <f t="shared" si="200"/>
        <v>45175</v>
      </c>
      <c r="U1366" t="str">
        <f t="shared" si="201"/>
        <v>ATRASO</v>
      </c>
    </row>
    <row r="1367" spans="1:21" hidden="1">
      <c r="A1367" s="1">
        <v>14641</v>
      </c>
      <c r="B1367" t="s">
        <v>19</v>
      </c>
      <c r="C1367" t="s">
        <v>13</v>
      </c>
      <c r="D1367" t="s">
        <v>18</v>
      </c>
      <c r="E1367" s="1">
        <v>2619</v>
      </c>
      <c r="F1367" s="1">
        <v>2023</v>
      </c>
      <c r="G1367" t="s">
        <v>11</v>
      </c>
      <c r="H1367" s="2">
        <v>45167.790277777778</v>
      </c>
      <c r="I1367" s="9">
        <f t="shared" si="193"/>
        <v>45170</v>
      </c>
      <c r="J1367" s="2" t="str">
        <f t="shared" si="194"/>
        <v/>
      </c>
      <c r="L1367" s="2" t="str">
        <f t="shared" si="195"/>
        <v/>
      </c>
      <c r="N1367" s="10" t="str">
        <f t="shared" si="196"/>
        <v/>
      </c>
      <c r="O1367" s="2">
        <f t="shared" si="197"/>
        <v>45170</v>
      </c>
      <c r="P1367" s="2">
        <v>45169.802812499998</v>
      </c>
      <c r="Q1367" s="2">
        <f t="shared" si="198"/>
        <v>45177</v>
      </c>
      <c r="R1367" s="2">
        <v>45173.68550925926</v>
      </c>
      <c r="S1367">
        <f t="shared" si="199"/>
        <v>0</v>
      </c>
      <c r="T1367" s="2">
        <f t="shared" si="200"/>
        <v>45177</v>
      </c>
      <c r="U1367" t="str">
        <f t="shared" si="201"/>
        <v>NO PRAZO</v>
      </c>
    </row>
    <row r="1368" spans="1:21" hidden="1">
      <c r="A1368" s="1">
        <v>14639</v>
      </c>
      <c r="B1368" t="s">
        <v>17</v>
      </c>
      <c r="C1368" t="s">
        <v>9</v>
      </c>
      <c r="D1368" t="s">
        <v>18</v>
      </c>
      <c r="E1368" s="1">
        <v>2617</v>
      </c>
      <c r="F1368" s="1">
        <v>2023</v>
      </c>
      <c r="G1368" t="s">
        <v>11</v>
      </c>
      <c r="H1368" s="2">
        <v>45167.706921296296</v>
      </c>
      <c r="I1368" s="9">
        <f t="shared" si="193"/>
        <v>45170</v>
      </c>
      <c r="J1368" s="2" t="str">
        <f t="shared" si="194"/>
        <v/>
      </c>
      <c r="L1368" s="2" t="str">
        <f t="shared" si="195"/>
        <v/>
      </c>
      <c r="N1368" s="10" t="str">
        <f t="shared" si="196"/>
        <v/>
      </c>
      <c r="O1368" s="2">
        <f t="shared" si="197"/>
        <v>45170</v>
      </c>
      <c r="P1368" s="2">
        <v>45168.691886574074</v>
      </c>
      <c r="Q1368" s="2">
        <f t="shared" si="198"/>
        <v>45177</v>
      </c>
      <c r="R1368" s="2">
        <v>45168.692800925928</v>
      </c>
      <c r="S1368">
        <f t="shared" si="199"/>
        <v>0</v>
      </c>
      <c r="T1368" s="2">
        <f t="shared" si="200"/>
        <v>45177</v>
      </c>
      <c r="U1368" t="str">
        <f t="shared" si="201"/>
        <v>NO PRAZO</v>
      </c>
    </row>
    <row r="1369" spans="1:21" hidden="1">
      <c r="A1369" s="1">
        <v>14638</v>
      </c>
      <c r="B1369" t="s">
        <v>20</v>
      </c>
      <c r="C1369" t="s">
        <v>13</v>
      </c>
      <c r="D1369" t="s">
        <v>18</v>
      </c>
      <c r="E1369" s="1">
        <v>2616</v>
      </c>
      <c r="F1369" s="1">
        <v>2023</v>
      </c>
      <c r="G1369" t="s">
        <v>11</v>
      </c>
      <c r="H1369" s="2">
        <v>45167.706921296296</v>
      </c>
      <c r="I1369" s="9">
        <f t="shared" si="193"/>
        <v>45170</v>
      </c>
      <c r="J1369" s="2" t="str">
        <f t="shared" si="194"/>
        <v/>
      </c>
      <c r="L1369" s="2" t="str">
        <f t="shared" si="195"/>
        <v/>
      </c>
      <c r="N1369" s="10" t="str">
        <f t="shared" si="196"/>
        <v/>
      </c>
      <c r="O1369" s="2">
        <f t="shared" si="197"/>
        <v>45170</v>
      </c>
      <c r="P1369" s="2">
        <v>45167.774756944447</v>
      </c>
      <c r="Q1369" s="2">
        <f t="shared" si="198"/>
        <v>45177</v>
      </c>
      <c r="R1369" s="2">
        <v>45168.366111111114</v>
      </c>
      <c r="S1369">
        <f t="shared" si="199"/>
        <v>0</v>
      </c>
      <c r="T1369" s="2">
        <f t="shared" si="200"/>
        <v>45177</v>
      </c>
      <c r="U1369" t="str">
        <f t="shared" si="201"/>
        <v>NO PRAZO</v>
      </c>
    </row>
    <row r="1370" spans="1:21" hidden="1">
      <c r="A1370" s="1">
        <v>14627</v>
      </c>
      <c r="B1370" t="s">
        <v>20</v>
      </c>
      <c r="C1370" t="s">
        <v>13</v>
      </c>
      <c r="D1370" t="s">
        <v>18</v>
      </c>
      <c r="E1370" s="1">
        <v>2605</v>
      </c>
      <c r="F1370" s="1">
        <v>2023</v>
      </c>
      <c r="G1370" t="s">
        <v>11</v>
      </c>
      <c r="H1370" s="2">
        <v>45167.581990740742</v>
      </c>
      <c r="I1370" s="9">
        <f t="shared" si="193"/>
        <v>45170</v>
      </c>
      <c r="J1370" s="2" t="str">
        <f t="shared" si="194"/>
        <v/>
      </c>
      <c r="L1370" s="2" t="str">
        <f t="shared" si="195"/>
        <v/>
      </c>
      <c r="N1370" s="10" t="str">
        <f t="shared" si="196"/>
        <v/>
      </c>
      <c r="O1370" s="2">
        <f t="shared" si="197"/>
        <v>45170</v>
      </c>
      <c r="P1370" s="2">
        <v>45168.399722222224</v>
      </c>
      <c r="Q1370" s="2">
        <f t="shared" si="198"/>
        <v>45177</v>
      </c>
      <c r="R1370" s="2">
        <v>45168.487175925926</v>
      </c>
      <c r="S1370">
        <f t="shared" si="199"/>
        <v>0</v>
      </c>
      <c r="T1370" s="2">
        <f t="shared" si="200"/>
        <v>45177</v>
      </c>
      <c r="U1370" t="str">
        <f t="shared" si="201"/>
        <v>NO PRAZO</v>
      </c>
    </row>
    <row r="1371" spans="1:21">
      <c r="A1371" s="1">
        <v>14559</v>
      </c>
      <c r="B1371" t="s">
        <v>23</v>
      </c>
      <c r="C1371" t="s">
        <v>13</v>
      </c>
      <c r="D1371" t="s">
        <v>18</v>
      </c>
      <c r="E1371" s="1">
        <v>2537</v>
      </c>
      <c r="F1371" s="1">
        <v>2023</v>
      </c>
      <c r="G1371" t="s">
        <v>11</v>
      </c>
      <c r="H1371" s="2">
        <v>45162.499085648145</v>
      </c>
      <c r="I1371" s="9">
        <f t="shared" si="193"/>
        <v>45167</v>
      </c>
      <c r="J1371" s="2" t="str">
        <f t="shared" si="194"/>
        <v/>
      </c>
      <c r="L1371" s="2" t="str">
        <f t="shared" si="195"/>
        <v/>
      </c>
      <c r="N1371" s="10" t="str">
        <f t="shared" si="196"/>
        <v/>
      </c>
      <c r="O1371" s="2">
        <f t="shared" si="197"/>
        <v>45167</v>
      </c>
      <c r="P1371" s="2">
        <v>45167.366701388892</v>
      </c>
      <c r="Q1371" s="2">
        <f t="shared" si="198"/>
        <v>45173</v>
      </c>
      <c r="R1371" s="2">
        <v>45187.419502314813</v>
      </c>
      <c r="S1371">
        <f t="shared" si="199"/>
        <v>14</v>
      </c>
      <c r="T1371" s="2">
        <f t="shared" si="200"/>
        <v>45173</v>
      </c>
      <c r="U1371" t="str">
        <f t="shared" si="201"/>
        <v>ATRASO</v>
      </c>
    </row>
    <row r="1372" spans="1:21" hidden="1">
      <c r="A1372" s="1">
        <v>14555</v>
      </c>
      <c r="B1372" t="s">
        <v>12</v>
      </c>
      <c r="C1372" t="s">
        <v>13</v>
      </c>
      <c r="D1372" t="s">
        <v>18</v>
      </c>
      <c r="E1372" s="1">
        <v>2533</v>
      </c>
      <c r="F1372" s="1">
        <v>2023</v>
      </c>
      <c r="G1372" t="s">
        <v>11</v>
      </c>
      <c r="H1372" s="2">
        <v>45161.790844907409</v>
      </c>
      <c r="I1372" s="9">
        <f t="shared" si="193"/>
        <v>45166</v>
      </c>
      <c r="J1372" s="2" t="str">
        <f t="shared" si="194"/>
        <v/>
      </c>
      <c r="L1372" s="2" t="str">
        <f t="shared" si="195"/>
        <v/>
      </c>
      <c r="N1372" s="10" t="str">
        <f t="shared" si="196"/>
        <v/>
      </c>
      <c r="O1372" s="2">
        <f t="shared" si="197"/>
        <v>45166</v>
      </c>
      <c r="P1372" s="2">
        <v>45162.391250000001</v>
      </c>
      <c r="Q1372" s="2">
        <f t="shared" si="198"/>
        <v>45170</v>
      </c>
      <c r="R1372" s="2">
        <v>45163.421550925923</v>
      </c>
      <c r="S1372">
        <f t="shared" si="199"/>
        <v>0</v>
      </c>
      <c r="T1372" s="2">
        <f t="shared" si="200"/>
        <v>45170</v>
      </c>
      <c r="U1372" t="str">
        <f t="shared" si="201"/>
        <v>NO PRAZO</v>
      </c>
    </row>
    <row r="1373" spans="1:21" hidden="1">
      <c r="A1373" s="1">
        <v>14554</v>
      </c>
      <c r="B1373" t="s">
        <v>12</v>
      </c>
      <c r="C1373" t="s">
        <v>13</v>
      </c>
      <c r="D1373" t="s">
        <v>10</v>
      </c>
      <c r="E1373" s="1">
        <v>2532</v>
      </c>
      <c r="F1373" s="1">
        <v>2023</v>
      </c>
      <c r="G1373" t="s">
        <v>11</v>
      </c>
      <c r="H1373" s="2">
        <v>45161.790844907409</v>
      </c>
      <c r="I1373" s="9">
        <f t="shared" si="193"/>
        <v>45162</v>
      </c>
      <c r="J1373" s="2" t="str">
        <f t="shared" si="194"/>
        <v/>
      </c>
      <c r="L1373" s="2" t="str">
        <f t="shared" si="195"/>
        <v/>
      </c>
      <c r="N1373" s="10" t="str">
        <f t="shared" si="196"/>
        <v/>
      </c>
      <c r="O1373" s="2">
        <f t="shared" si="197"/>
        <v>45162</v>
      </c>
      <c r="P1373" s="2">
        <v>45162.477152777778</v>
      </c>
      <c r="Q1373" s="2">
        <f t="shared" si="198"/>
        <v>45163</v>
      </c>
      <c r="R1373" s="2">
        <v>45162.604490740741</v>
      </c>
      <c r="S1373">
        <f t="shared" si="199"/>
        <v>0</v>
      </c>
      <c r="T1373" s="2">
        <f t="shared" si="200"/>
        <v>45163</v>
      </c>
      <c r="U1373" t="str">
        <f t="shared" si="201"/>
        <v>NO PRAZO</v>
      </c>
    </row>
    <row r="1374" spans="1:21" hidden="1">
      <c r="A1374" s="1">
        <v>14552</v>
      </c>
      <c r="B1374" t="s">
        <v>19</v>
      </c>
      <c r="C1374" t="s">
        <v>13</v>
      </c>
      <c r="D1374" t="s">
        <v>18</v>
      </c>
      <c r="E1374" s="1">
        <v>2530</v>
      </c>
      <c r="F1374" s="1">
        <v>2023</v>
      </c>
      <c r="G1374" t="s">
        <v>11</v>
      </c>
      <c r="H1374" s="2">
        <v>45161.749143518522</v>
      </c>
      <c r="I1374" s="9">
        <f t="shared" si="193"/>
        <v>45166</v>
      </c>
      <c r="J1374" s="2" t="str">
        <f t="shared" si="194"/>
        <v/>
      </c>
      <c r="L1374" s="2" t="str">
        <f t="shared" si="195"/>
        <v/>
      </c>
      <c r="N1374" s="10" t="str">
        <f t="shared" si="196"/>
        <v/>
      </c>
      <c r="O1374" s="2">
        <f t="shared" si="197"/>
        <v>45166</v>
      </c>
      <c r="P1374" s="2">
        <v>45163.517800925925</v>
      </c>
      <c r="Q1374" s="2">
        <f t="shared" si="198"/>
        <v>45170</v>
      </c>
      <c r="R1374" s="2">
        <v>45166.429814814815</v>
      </c>
      <c r="S1374">
        <f t="shared" si="199"/>
        <v>0</v>
      </c>
      <c r="T1374" s="2">
        <f t="shared" si="200"/>
        <v>45170</v>
      </c>
      <c r="U1374" t="str">
        <f t="shared" si="201"/>
        <v>NO PRAZO</v>
      </c>
    </row>
    <row r="1375" spans="1:21" hidden="1">
      <c r="A1375" s="1">
        <v>14550</v>
      </c>
      <c r="B1375" t="s">
        <v>20</v>
      </c>
      <c r="C1375" t="s">
        <v>9</v>
      </c>
      <c r="D1375" t="s">
        <v>18</v>
      </c>
      <c r="E1375" s="1">
        <v>2528</v>
      </c>
      <c r="F1375" s="1">
        <v>2023</v>
      </c>
      <c r="G1375" t="s">
        <v>11</v>
      </c>
      <c r="H1375" s="2">
        <v>45161.749143518522</v>
      </c>
      <c r="I1375" s="9">
        <f t="shared" si="193"/>
        <v>45166</v>
      </c>
      <c r="J1375" s="2" t="str">
        <f t="shared" si="194"/>
        <v/>
      </c>
      <c r="L1375" s="2" t="str">
        <f t="shared" si="195"/>
        <v/>
      </c>
      <c r="N1375" s="10" t="str">
        <f t="shared" si="196"/>
        <v/>
      </c>
      <c r="O1375" s="2">
        <f t="shared" si="197"/>
        <v>45166</v>
      </c>
      <c r="P1375" s="2">
        <v>45162.61986111111</v>
      </c>
      <c r="Q1375" s="2">
        <f t="shared" si="198"/>
        <v>45170</v>
      </c>
      <c r="R1375" s="2">
        <v>45163.623425925929</v>
      </c>
      <c r="S1375">
        <f t="shared" si="199"/>
        <v>0</v>
      </c>
      <c r="T1375" s="2">
        <f t="shared" si="200"/>
        <v>45170</v>
      </c>
      <c r="U1375" t="str">
        <f t="shared" si="201"/>
        <v>NO PRAZO</v>
      </c>
    </row>
    <row r="1376" spans="1:21" hidden="1">
      <c r="A1376" s="1">
        <v>14545</v>
      </c>
      <c r="B1376" t="s">
        <v>20</v>
      </c>
      <c r="C1376" t="s">
        <v>13</v>
      </c>
      <c r="D1376" t="s">
        <v>18</v>
      </c>
      <c r="E1376" s="1">
        <v>2523</v>
      </c>
      <c r="F1376" s="1">
        <v>2023</v>
      </c>
      <c r="G1376" t="s">
        <v>11</v>
      </c>
      <c r="H1376" s="2">
        <v>45161.624178240738</v>
      </c>
      <c r="I1376" s="9">
        <f t="shared" si="193"/>
        <v>45166</v>
      </c>
      <c r="J1376" s="2" t="str">
        <f t="shared" si="194"/>
        <v/>
      </c>
      <c r="L1376" s="2" t="str">
        <f t="shared" si="195"/>
        <v/>
      </c>
      <c r="N1376" s="10" t="str">
        <f t="shared" si="196"/>
        <v/>
      </c>
      <c r="O1376" s="2">
        <f t="shared" si="197"/>
        <v>45166</v>
      </c>
      <c r="P1376" s="2">
        <v>45162.507789351854</v>
      </c>
      <c r="Q1376" s="2">
        <f t="shared" si="198"/>
        <v>45170</v>
      </c>
      <c r="R1376" s="2">
        <v>45162.726006944446</v>
      </c>
      <c r="S1376">
        <f t="shared" si="199"/>
        <v>0</v>
      </c>
      <c r="T1376" s="2">
        <f t="shared" si="200"/>
        <v>45170</v>
      </c>
      <c r="U1376" t="str">
        <f t="shared" si="201"/>
        <v>NO PRAZO</v>
      </c>
    </row>
    <row r="1377" spans="1:21" hidden="1">
      <c r="A1377" s="1">
        <v>14535</v>
      </c>
      <c r="B1377" t="s">
        <v>22</v>
      </c>
      <c r="C1377" t="s">
        <v>13</v>
      </c>
      <c r="D1377" t="s">
        <v>10</v>
      </c>
      <c r="E1377" s="1">
        <v>2513</v>
      </c>
      <c r="F1377" s="1">
        <v>2023</v>
      </c>
      <c r="G1377" t="s">
        <v>11</v>
      </c>
      <c r="H1377" s="2">
        <v>45161.499178240738</v>
      </c>
      <c r="I1377" s="9">
        <f t="shared" si="193"/>
        <v>45162</v>
      </c>
      <c r="J1377" s="2" t="str">
        <f t="shared" si="194"/>
        <v/>
      </c>
      <c r="L1377" s="2" t="str">
        <f t="shared" si="195"/>
        <v/>
      </c>
      <c r="N1377" s="10" t="str">
        <f t="shared" si="196"/>
        <v/>
      </c>
      <c r="O1377" s="2">
        <f t="shared" si="197"/>
        <v>45162</v>
      </c>
      <c r="P1377" s="2">
        <v>45162.452951388892</v>
      </c>
      <c r="Q1377" s="2">
        <f t="shared" si="198"/>
        <v>45163</v>
      </c>
      <c r="R1377" s="2">
        <v>45162.638171296298</v>
      </c>
      <c r="S1377">
        <f t="shared" si="199"/>
        <v>0</v>
      </c>
      <c r="T1377" s="2">
        <f t="shared" si="200"/>
        <v>45163</v>
      </c>
      <c r="U1377" t="str">
        <f t="shared" si="201"/>
        <v>NO PRAZO</v>
      </c>
    </row>
    <row r="1378" spans="1:21" hidden="1">
      <c r="A1378" s="1">
        <v>14532</v>
      </c>
      <c r="B1378" t="s">
        <v>12</v>
      </c>
      <c r="C1378" t="s">
        <v>9</v>
      </c>
      <c r="D1378" t="s">
        <v>16</v>
      </c>
      <c r="E1378" s="1">
        <v>2510</v>
      </c>
      <c r="F1378" s="1">
        <v>2023</v>
      </c>
      <c r="G1378" t="s">
        <v>11</v>
      </c>
      <c r="H1378" s="2">
        <v>45161.41578703704</v>
      </c>
      <c r="I1378" s="9">
        <f t="shared" si="193"/>
        <v>45162</v>
      </c>
      <c r="J1378" s="2" t="str">
        <f t="shared" si="194"/>
        <v/>
      </c>
      <c r="L1378" s="2" t="str">
        <f t="shared" si="195"/>
        <v/>
      </c>
      <c r="N1378" s="10" t="str">
        <f t="shared" si="196"/>
        <v/>
      </c>
      <c r="O1378" s="2">
        <f t="shared" si="197"/>
        <v>45162</v>
      </c>
      <c r="P1378" s="2">
        <v>45161.610254629632</v>
      </c>
      <c r="Q1378" s="2">
        <f t="shared" si="198"/>
        <v>45168</v>
      </c>
      <c r="R1378" s="2">
        <v>45161.610578703701</v>
      </c>
      <c r="S1378">
        <f t="shared" si="199"/>
        <v>0</v>
      </c>
      <c r="T1378" s="2">
        <f t="shared" si="200"/>
        <v>45168</v>
      </c>
      <c r="U1378" t="str">
        <f t="shared" si="201"/>
        <v>NO PRAZO</v>
      </c>
    </row>
    <row r="1379" spans="1:21" hidden="1">
      <c r="A1379" s="1">
        <v>14526</v>
      </c>
      <c r="B1379" t="s">
        <v>20</v>
      </c>
      <c r="C1379" t="s">
        <v>13</v>
      </c>
      <c r="D1379" t="s">
        <v>18</v>
      </c>
      <c r="E1379" s="1">
        <v>2504</v>
      </c>
      <c r="F1379" s="1">
        <v>2023</v>
      </c>
      <c r="G1379" t="s">
        <v>11</v>
      </c>
      <c r="H1379" s="2">
        <v>45160.624236111114</v>
      </c>
      <c r="I1379" s="9">
        <f t="shared" si="193"/>
        <v>45163</v>
      </c>
      <c r="J1379" s="2" t="str">
        <f t="shared" si="194"/>
        <v/>
      </c>
      <c r="L1379" s="2" t="str">
        <f t="shared" si="195"/>
        <v/>
      </c>
      <c r="N1379" s="10" t="str">
        <f t="shared" si="196"/>
        <v/>
      </c>
      <c r="O1379" s="2">
        <f t="shared" si="197"/>
        <v>45163</v>
      </c>
      <c r="P1379" s="2">
        <v>45163.406168981484</v>
      </c>
      <c r="Q1379" s="2">
        <f t="shared" si="198"/>
        <v>45169</v>
      </c>
      <c r="R1379" s="2">
        <v>45166.690763888888</v>
      </c>
      <c r="S1379">
        <f t="shared" si="199"/>
        <v>0</v>
      </c>
      <c r="T1379" s="2">
        <f t="shared" si="200"/>
        <v>45169</v>
      </c>
      <c r="U1379" t="str">
        <f t="shared" si="201"/>
        <v>NO PRAZO</v>
      </c>
    </row>
    <row r="1380" spans="1:21" hidden="1">
      <c r="A1380" s="1">
        <v>14524</v>
      </c>
      <c r="B1380" t="s">
        <v>12</v>
      </c>
      <c r="C1380" t="s">
        <v>13</v>
      </c>
      <c r="D1380" t="s">
        <v>18</v>
      </c>
      <c r="E1380" s="1">
        <v>2502</v>
      </c>
      <c r="F1380" s="1">
        <v>2023</v>
      </c>
      <c r="G1380" t="s">
        <v>11</v>
      </c>
      <c r="H1380" s="2">
        <v>45160.45758101852</v>
      </c>
      <c r="I1380" s="9">
        <f t="shared" si="193"/>
        <v>45163</v>
      </c>
      <c r="J1380" s="2" t="str">
        <f t="shared" si="194"/>
        <v/>
      </c>
      <c r="L1380" s="2" t="str">
        <f t="shared" si="195"/>
        <v/>
      </c>
      <c r="N1380" s="10" t="str">
        <f t="shared" si="196"/>
        <v/>
      </c>
      <c r="O1380" s="2">
        <f t="shared" si="197"/>
        <v>45163</v>
      </c>
      <c r="P1380" s="2">
        <v>45163.422326388885</v>
      </c>
      <c r="Q1380" s="2">
        <f t="shared" si="198"/>
        <v>45169</v>
      </c>
      <c r="R1380" s="2">
        <v>45163.422731481478</v>
      </c>
      <c r="S1380">
        <f t="shared" si="199"/>
        <v>0</v>
      </c>
      <c r="T1380" s="2">
        <f t="shared" si="200"/>
        <v>45169</v>
      </c>
      <c r="U1380" t="str">
        <f t="shared" si="201"/>
        <v>NO PRAZO</v>
      </c>
    </row>
    <row r="1381" spans="1:21" hidden="1">
      <c r="A1381" s="1">
        <v>14505</v>
      </c>
      <c r="B1381" t="s">
        <v>22</v>
      </c>
      <c r="C1381" t="s">
        <v>13</v>
      </c>
      <c r="D1381" t="s">
        <v>10</v>
      </c>
      <c r="E1381" s="1">
        <v>2483</v>
      </c>
      <c r="F1381" s="1">
        <v>2023</v>
      </c>
      <c r="G1381" t="s">
        <v>11</v>
      </c>
      <c r="H1381" s="2">
        <v>45159.457731481481</v>
      </c>
      <c r="I1381" s="9">
        <f t="shared" si="193"/>
        <v>45160</v>
      </c>
      <c r="J1381" s="2" t="str">
        <f t="shared" si="194"/>
        <v/>
      </c>
      <c r="L1381" s="2" t="str">
        <f t="shared" si="195"/>
        <v/>
      </c>
      <c r="N1381" s="10" t="str">
        <f t="shared" si="196"/>
        <v/>
      </c>
      <c r="O1381" s="2">
        <f t="shared" si="197"/>
        <v>45160</v>
      </c>
      <c r="P1381" s="2">
        <v>45161.402650462966</v>
      </c>
      <c r="Q1381" s="2">
        <f t="shared" si="198"/>
        <v>45161</v>
      </c>
      <c r="R1381" s="2">
        <v>45161.444027777776</v>
      </c>
      <c r="S1381">
        <f t="shared" si="199"/>
        <v>0</v>
      </c>
      <c r="T1381" s="2">
        <f t="shared" si="200"/>
        <v>45161</v>
      </c>
      <c r="U1381" t="str">
        <f t="shared" si="201"/>
        <v>NO PRAZO</v>
      </c>
    </row>
    <row r="1382" spans="1:21" hidden="1">
      <c r="A1382" s="1">
        <v>14472</v>
      </c>
      <c r="B1382" t="s">
        <v>8</v>
      </c>
      <c r="C1382" t="s">
        <v>9</v>
      </c>
      <c r="D1382" t="s">
        <v>10</v>
      </c>
      <c r="E1382" s="1">
        <v>2450</v>
      </c>
      <c r="F1382" s="1">
        <v>2023</v>
      </c>
      <c r="G1382" t="s">
        <v>11</v>
      </c>
      <c r="H1382" s="2">
        <v>45155.749652777777</v>
      </c>
      <c r="I1382" s="9">
        <f t="shared" si="193"/>
        <v>45156</v>
      </c>
      <c r="J1382" s="2" t="str">
        <f t="shared" si="194"/>
        <v/>
      </c>
      <c r="L1382" s="2" t="str">
        <f t="shared" si="195"/>
        <v/>
      </c>
      <c r="N1382" s="10" t="str">
        <f t="shared" si="196"/>
        <v/>
      </c>
      <c r="O1382" s="2">
        <f t="shared" si="197"/>
        <v>45156</v>
      </c>
      <c r="P1382" s="2">
        <v>45159.481550925928</v>
      </c>
      <c r="Q1382" s="2">
        <f t="shared" si="198"/>
        <v>45159</v>
      </c>
      <c r="R1382" s="2">
        <v>45159.494259259256</v>
      </c>
      <c r="S1382">
        <f t="shared" si="199"/>
        <v>0</v>
      </c>
      <c r="T1382" s="2">
        <f t="shared" si="200"/>
        <v>45159</v>
      </c>
      <c r="U1382" t="str">
        <f t="shared" si="201"/>
        <v>NO PRAZO</v>
      </c>
    </row>
    <row r="1383" spans="1:21" hidden="1">
      <c r="A1383" s="1">
        <v>14468</v>
      </c>
      <c r="B1383" t="s">
        <v>20</v>
      </c>
      <c r="C1383" t="s">
        <v>13</v>
      </c>
      <c r="D1383" t="s">
        <v>18</v>
      </c>
      <c r="E1383" s="1">
        <v>2446</v>
      </c>
      <c r="F1383" s="1">
        <v>2023</v>
      </c>
      <c r="G1383" t="s">
        <v>11</v>
      </c>
      <c r="H1383" s="2">
        <v>45155.458101851851</v>
      </c>
      <c r="I1383" s="9">
        <f t="shared" si="193"/>
        <v>45160</v>
      </c>
      <c r="J1383" s="2" t="str">
        <f t="shared" si="194"/>
        <v/>
      </c>
      <c r="L1383" s="2" t="str">
        <f t="shared" si="195"/>
        <v/>
      </c>
      <c r="N1383" s="10" t="str">
        <f t="shared" si="196"/>
        <v/>
      </c>
      <c r="O1383" s="2">
        <f t="shared" si="197"/>
        <v>45160</v>
      </c>
      <c r="P1383" s="2">
        <v>45161.689293981479</v>
      </c>
      <c r="Q1383" s="2">
        <f t="shared" si="198"/>
        <v>45166</v>
      </c>
      <c r="R1383" s="2">
        <v>45161.689687500002</v>
      </c>
      <c r="S1383">
        <f t="shared" si="199"/>
        <v>0</v>
      </c>
      <c r="T1383" s="2">
        <f t="shared" si="200"/>
        <v>45166</v>
      </c>
      <c r="U1383" t="str">
        <f t="shared" si="201"/>
        <v>NO PRAZO</v>
      </c>
    </row>
    <row r="1384" spans="1:21" hidden="1">
      <c r="A1384" s="1">
        <v>14467</v>
      </c>
      <c r="B1384" t="s">
        <v>20</v>
      </c>
      <c r="C1384" t="s">
        <v>13</v>
      </c>
      <c r="D1384" t="s">
        <v>18</v>
      </c>
      <c r="E1384" s="1">
        <v>2445</v>
      </c>
      <c r="F1384" s="1">
        <v>2023</v>
      </c>
      <c r="G1384" t="s">
        <v>11</v>
      </c>
      <c r="H1384" s="2">
        <v>45155.416354166664</v>
      </c>
      <c r="I1384" s="9">
        <f t="shared" si="193"/>
        <v>45160</v>
      </c>
      <c r="J1384" s="2" t="str">
        <f t="shared" si="194"/>
        <v/>
      </c>
      <c r="L1384" s="2" t="str">
        <f t="shared" si="195"/>
        <v/>
      </c>
      <c r="N1384" s="10" t="str">
        <f t="shared" si="196"/>
        <v/>
      </c>
      <c r="O1384" s="2">
        <f t="shared" si="197"/>
        <v>45160</v>
      </c>
      <c r="P1384" s="2">
        <v>45162.479317129626</v>
      </c>
      <c r="Q1384" s="2">
        <f t="shared" si="198"/>
        <v>45166</v>
      </c>
      <c r="R1384" s="2">
        <v>45163.38994212963</v>
      </c>
      <c r="S1384">
        <f t="shared" si="199"/>
        <v>0</v>
      </c>
      <c r="T1384" s="2">
        <f t="shared" si="200"/>
        <v>45166</v>
      </c>
      <c r="U1384" t="str">
        <f t="shared" si="201"/>
        <v>NO PRAZO</v>
      </c>
    </row>
    <row r="1385" spans="1:21" hidden="1">
      <c r="A1385" s="1">
        <v>14456</v>
      </c>
      <c r="B1385" t="s">
        <v>20</v>
      </c>
      <c r="C1385" t="s">
        <v>13</v>
      </c>
      <c r="D1385" t="s">
        <v>18</v>
      </c>
      <c r="E1385" s="1">
        <v>2434</v>
      </c>
      <c r="F1385" s="1">
        <v>2023</v>
      </c>
      <c r="G1385" t="s">
        <v>11</v>
      </c>
      <c r="H1385" s="2">
        <v>45154.708067129628</v>
      </c>
      <c r="I1385" s="9">
        <f t="shared" si="193"/>
        <v>45159</v>
      </c>
      <c r="J1385" s="2" t="str">
        <f t="shared" si="194"/>
        <v/>
      </c>
      <c r="L1385" s="2" t="str">
        <f t="shared" si="195"/>
        <v/>
      </c>
      <c r="N1385" s="10" t="str">
        <f t="shared" si="196"/>
        <v/>
      </c>
      <c r="O1385" s="2">
        <f t="shared" si="197"/>
        <v>45159</v>
      </c>
      <c r="P1385" s="2">
        <v>45159.712673611109</v>
      </c>
      <c r="Q1385" s="2">
        <f t="shared" si="198"/>
        <v>45163</v>
      </c>
      <c r="R1385" s="2">
        <v>45159.714560185188</v>
      </c>
      <c r="S1385">
        <f t="shared" si="199"/>
        <v>0</v>
      </c>
      <c r="T1385" s="2">
        <f t="shared" si="200"/>
        <v>45163</v>
      </c>
      <c r="U1385" t="str">
        <f t="shared" si="201"/>
        <v>NO PRAZO</v>
      </c>
    </row>
    <row r="1386" spans="1:21" hidden="1">
      <c r="A1386" s="1">
        <v>14452</v>
      </c>
      <c r="B1386" t="s">
        <v>20</v>
      </c>
      <c r="C1386" t="s">
        <v>9</v>
      </c>
      <c r="D1386" t="s">
        <v>10</v>
      </c>
      <c r="E1386" s="1">
        <v>2430</v>
      </c>
      <c r="F1386" s="1">
        <v>2023</v>
      </c>
      <c r="G1386" t="s">
        <v>11</v>
      </c>
      <c r="H1386" s="2">
        <v>45154.615208333336</v>
      </c>
      <c r="I1386" s="9">
        <f t="shared" si="193"/>
        <v>45155</v>
      </c>
      <c r="J1386" s="2" t="str">
        <f t="shared" si="194"/>
        <v/>
      </c>
      <c r="L1386" s="2" t="str">
        <f t="shared" si="195"/>
        <v/>
      </c>
      <c r="N1386" s="10" t="str">
        <f t="shared" si="196"/>
        <v/>
      </c>
      <c r="O1386" s="2">
        <f t="shared" si="197"/>
        <v>45155</v>
      </c>
      <c r="P1386" s="2">
        <v>45154.638067129628</v>
      </c>
      <c r="Q1386" s="2">
        <f t="shared" si="198"/>
        <v>45156</v>
      </c>
      <c r="R1386" s="2">
        <v>45154.645474537036</v>
      </c>
      <c r="S1386">
        <f t="shared" si="199"/>
        <v>0</v>
      </c>
      <c r="T1386" s="2">
        <f t="shared" si="200"/>
        <v>45156</v>
      </c>
      <c r="U1386" t="str">
        <f t="shared" si="201"/>
        <v>NO PRAZO</v>
      </c>
    </row>
    <row r="1387" spans="1:21" hidden="1">
      <c r="A1387" s="1">
        <v>14449</v>
      </c>
      <c r="B1387" t="s">
        <v>22</v>
      </c>
      <c r="C1387" t="s">
        <v>13</v>
      </c>
      <c r="D1387" t="s">
        <v>16</v>
      </c>
      <c r="E1387" s="1">
        <v>2427</v>
      </c>
      <c r="F1387" s="1">
        <v>2023</v>
      </c>
      <c r="G1387" t="s">
        <v>11</v>
      </c>
      <c r="H1387" s="2">
        <v>45154.583067129628</v>
      </c>
      <c r="I1387" s="9">
        <f t="shared" si="193"/>
        <v>45155</v>
      </c>
      <c r="J1387" s="2" t="str">
        <f t="shared" si="194"/>
        <v/>
      </c>
      <c r="L1387" s="2" t="str">
        <f t="shared" si="195"/>
        <v/>
      </c>
      <c r="N1387" s="10" t="str">
        <f t="shared" si="196"/>
        <v/>
      </c>
      <c r="O1387" s="2">
        <f t="shared" si="197"/>
        <v>45155</v>
      </c>
      <c r="P1387" s="2">
        <v>45159.616249999999</v>
      </c>
      <c r="Q1387" s="2">
        <f t="shared" si="198"/>
        <v>45161</v>
      </c>
      <c r="R1387" s="2">
        <v>45159.648923611108</v>
      </c>
      <c r="S1387">
        <f t="shared" si="199"/>
        <v>0</v>
      </c>
      <c r="T1387" s="2">
        <f t="shared" si="200"/>
        <v>45161</v>
      </c>
      <c r="U1387" t="str">
        <f t="shared" si="201"/>
        <v>NO PRAZO</v>
      </c>
    </row>
    <row r="1388" spans="1:21" hidden="1">
      <c r="A1388" s="1">
        <v>14443</v>
      </c>
      <c r="B1388" t="s">
        <v>20</v>
      </c>
      <c r="C1388" t="s">
        <v>13</v>
      </c>
      <c r="D1388" t="s">
        <v>18</v>
      </c>
      <c r="E1388" s="1">
        <v>2421</v>
      </c>
      <c r="F1388" s="1">
        <v>2023</v>
      </c>
      <c r="G1388" t="s">
        <v>11</v>
      </c>
      <c r="H1388" s="2">
        <v>45154.458090277774</v>
      </c>
      <c r="I1388" s="9">
        <f t="shared" si="193"/>
        <v>45159</v>
      </c>
      <c r="J1388" s="2" t="str">
        <f t="shared" si="194"/>
        <v/>
      </c>
      <c r="L1388" s="2" t="str">
        <f t="shared" si="195"/>
        <v/>
      </c>
      <c r="N1388" s="10" t="str">
        <f t="shared" si="196"/>
        <v/>
      </c>
      <c r="O1388" s="2">
        <f t="shared" si="197"/>
        <v>45159</v>
      </c>
      <c r="P1388" s="2">
        <v>45155.473391203705</v>
      </c>
      <c r="Q1388" s="2">
        <f t="shared" si="198"/>
        <v>45163</v>
      </c>
      <c r="R1388" s="2">
        <v>45155.657916666663</v>
      </c>
      <c r="S1388">
        <f t="shared" si="199"/>
        <v>0</v>
      </c>
      <c r="T1388" s="2">
        <f t="shared" si="200"/>
        <v>45163</v>
      </c>
      <c r="U1388" t="str">
        <f t="shared" si="201"/>
        <v>NO PRAZO</v>
      </c>
    </row>
    <row r="1389" spans="1:21" hidden="1">
      <c r="A1389" s="1">
        <v>14441</v>
      </c>
      <c r="B1389" t="s">
        <v>17</v>
      </c>
      <c r="C1389" t="s">
        <v>9</v>
      </c>
      <c r="D1389" t="s">
        <v>18</v>
      </c>
      <c r="E1389" s="1">
        <v>2419</v>
      </c>
      <c r="F1389" s="1">
        <v>2023</v>
      </c>
      <c r="G1389" t="s">
        <v>11</v>
      </c>
      <c r="H1389" s="2">
        <v>45154.458090277774</v>
      </c>
      <c r="I1389" s="9">
        <f t="shared" si="193"/>
        <v>45159</v>
      </c>
      <c r="J1389" s="2" t="str">
        <f t="shared" si="194"/>
        <v/>
      </c>
      <c r="L1389" s="2" t="str">
        <f t="shared" si="195"/>
        <v/>
      </c>
      <c r="N1389" s="10" t="str">
        <f t="shared" si="196"/>
        <v/>
      </c>
      <c r="O1389" s="2">
        <f t="shared" si="197"/>
        <v>45159</v>
      </c>
      <c r="P1389" s="2">
        <v>45159.448923611111</v>
      </c>
      <c r="Q1389" s="2">
        <f t="shared" si="198"/>
        <v>45163</v>
      </c>
      <c r="R1389" s="2">
        <v>45159.449606481481</v>
      </c>
      <c r="S1389">
        <f t="shared" si="199"/>
        <v>0</v>
      </c>
      <c r="T1389" s="2">
        <f t="shared" si="200"/>
        <v>45163</v>
      </c>
      <c r="U1389" t="str">
        <f t="shared" si="201"/>
        <v>NO PRAZO</v>
      </c>
    </row>
    <row r="1390" spans="1:21" hidden="1">
      <c r="A1390" s="1">
        <v>14440</v>
      </c>
      <c r="B1390" t="s">
        <v>17</v>
      </c>
      <c r="C1390" t="s">
        <v>9</v>
      </c>
      <c r="D1390" t="s">
        <v>18</v>
      </c>
      <c r="E1390" s="1">
        <v>2418</v>
      </c>
      <c r="F1390" s="1">
        <v>2023</v>
      </c>
      <c r="G1390" t="s">
        <v>11</v>
      </c>
      <c r="H1390" s="2">
        <v>45154.458090277774</v>
      </c>
      <c r="I1390" s="9">
        <f t="shared" si="193"/>
        <v>45159</v>
      </c>
      <c r="J1390" s="2" t="str">
        <f t="shared" si="194"/>
        <v/>
      </c>
      <c r="L1390" s="2" t="str">
        <f t="shared" si="195"/>
        <v/>
      </c>
      <c r="N1390" s="10" t="str">
        <f t="shared" si="196"/>
        <v/>
      </c>
      <c r="O1390" s="2">
        <f t="shared" si="197"/>
        <v>45159</v>
      </c>
      <c r="P1390" s="2">
        <v>45159.444155092591</v>
      </c>
      <c r="Q1390" s="2">
        <f t="shared" si="198"/>
        <v>45163</v>
      </c>
      <c r="R1390" s="2">
        <v>45159.445115740738</v>
      </c>
      <c r="S1390">
        <f t="shared" si="199"/>
        <v>0</v>
      </c>
      <c r="T1390" s="2">
        <f t="shared" si="200"/>
        <v>45163</v>
      </c>
      <c r="U1390" t="str">
        <f t="shared" si="201"/>
        <v>NO PRAZO</v>
      </c>
    </row>
    <row r="1391" spans="1:21" hidden="1">
      <c r="A1391" s="1">
        <v>14431</v>
      </c>
      <c r="B1391" t="s">
        <v>12</v>
      </c>
      <c r="C1391" t="s">
        <v>13</v>
      </c>
      <c r="D1391" t="s">
        <v>18</v>
      </c>
      <c r="E1391" s="1">
        <v>2409</v>
      </c>
      <c r="F1391" s="1">
        <v>2023</v>
      </c>
      <c r="G1391" t="s">
        <v>11</v>
      </c>
      <c r="H1391" s="2">
        <v>45153.708194444444</v>
      </c>
      <c r="I1391" s="9">
        <f t="shared" si="193"/>
        <v>45156</v>
      </c>
      <c r="J1391" s="2" t="str">
        <f t="shared" si="194"/>
        <v/>
      </c>
      <c r="L1391" s="2" t="str">
        <f t="shared" si="195"/>
        <v/>
      </c>
      <c r="N1391" s="10" t="str">
        <f t="shared" si="196"/>
        <v/>
      </c>
      <c r="O1391" s="2">
        <f t="shared" si="197"/>
        <v>45156</v>
      </c>
      <c r="P1391" s="2">
        <v>45159.432708333334</v>
      </c>
      <c r="Q1391" s="2">
        <f t="shared" si="198"/>
        <v>45162</v>
      </c>
      <c r="R1391" s="2">
        <v>45159.433668981481</v>
      </c>
      <c r="S1391">
        <f t="shared" si="199"/>
        <v>0</v>
      </c>
      <c r="T1391" s="2">
        <f t="shared" si="200"/>
        <v>45162</v>
      </c>
      <c r="U1391" t="str">
        <f t="shared" si="201"/>
        <v>NO PRAZO</v>
      </c>
    </row>
    <row r="1392" spans="1:21" hidden="1">
      <c r="A1392" s="1">
        <v>14423</v>
      </c>
      <c r="B1392" t="s">
        <v>20</v>
      </c>
      <c r="C1392" t="s">
        <v>13</v>
      </c>
      <c r="D1392" t="s">
        <v>21</v>
      </c>
      <c r="E1392" s="1">
        <v>2401</v>
      </c>
      <c r="F1392" s="1">
        <v>2023</v>
      </c>
      <c r="G1392" t="s">
        <v>11</v>
      </c>
      <c r="H1392" s="2">
        <v>45153.374872685185</v>
      </c>
      <c r="I1392" s="9">
        <f t="shared" si="193"/>
        <v>45156</v>
      </c>
      <c r="J1392" s="2" t="str">
        <f t="shared" si="194"/>
        <v/>
      </c>
      <c r="L1392" s="2" t="str">
        <f t="shared" si="195"/>
        <v/>
      </c>
      <c r="N1392" s="10" t="str">
        <f t="shared" si="196"/>
        <v/>
      </c>
      <c r="O1392" s="2">
        <f t="shared" si="197"/>
        <v>45156</v>
      </c>
      <c r="P1392" s="2">
        <v>45160.730775462966</v>
      </c>
      <c r="Q1392" s="2">
        <f t="shared" si="198"/>
        <v>45184</v>
      </c>
      <c r="R1392" s="2">
        <v>45162.49</v>
      </c>
      <c r="S1392">
        <f t="shared" si="199"/>
        <v>0</v>
      </c>
      <c r="T1392" s="2">
        <f t="shared" si="200"/>
        <v>45184</v>
      </c>
      <c r="U1392" t="str">
        <f t="shared" si="201"/>
        <v>NO PRAZO</v>
      </c>
    </row>
    <row r="1393" spans="1:21" hidden="1">
      <c r="A1393" s="1">
        <v>14411</v>
      </c>
      <c r="B1393" t="s">
        <v>20</v>
      </c>
      <c r="C1393" t="s">
        <v>13</v>
      </c>
      <c r="D1393" t="s">
        <v>18</v>
      </c>
      <c r="E1393" s="1">
        <v>2389</v>
      </c>
      <c r="F1393" s="1">
        <v>2023</v>
      </c>
      <c r="G1393" t="s">
        <v>11</v>
      </c>
      <c r="H1393" s="2">
        <v>45152.624988425923</v>
      </c>
      <c r="I1393" s="9">
        <f t="shared" si="193"/>
        <v>45155</v>
      </c>
      <c r="J1393" s="2" t="str">
        <f t="shared" si="194"/>
        <v/>
      </c>
      <c r="L1393" s="2" t="str">
        <f t="shared" si="195"/>
        <v/>
      </c>
      <c r="N1393" s="10" t="str">
        <f t="shared" si="196"/>
        <v/>
      </c>
      <c r="O1393" s="2">
        <f t="shared" si="197"/>
        <v>45155</v>
      </c>
      <c r="P1393" s="2">
        <v>45155.427025462966</v>
      </c>
      <c r="Q1393" s="2">
        <f t="shared" si="198"/>
        <v>45161</v>
      </c>
      <c r="R1393" s="2">
        <v>45156.485173611109</v>
      </c>
      <c r="S1393">
        <f t="shared" si="199"/>
        <v>0</v>
      </c>
      <c r="T1393" s="2">
        <f t="shared" si="200"/>
        <v>45161</v>
      </c>
      <c r="U1393" t="str">
        <f t="shared" si="201"/>
        <v>NO PRAZO</v>
      </c>
    </row>
    <row r="1394" spans="1:21">
      <c r="A1394" s="1">
        <v>14405</v>
      </c>
      <c r="B1394" t="s">
        <v>17</v>
      </c>
      <c r="C1394" t="s">
        <v>9</v>
      </c>
      <c r="D1394" t="s">
        <v>18</v>
      </c>
      <c r="E1394" s="1">
        <v>2383</v>
      </c>
      <c r="F1394" s="1">
        <v>2023</v>
      </c>
      <c r="G1394" t="s">
        <v>11</v>
      </c>
      <c r="H1394" s="2">
        <v>45152.499988425923</v>
      </c>
      <c r="I1394" s="9">
        <f t="shared" si="193"/>
        <v>45155</v>
      </c>
      <c r="J1394" s="2" t="str">
        <f t="shared" si="194"/>
        <v/>
      </c>
      <c r="L1394" s="2" t="str">
        <f t="shared" si="195"/>
        <v/>
      </c>
      <c r="N1394" s="10" t="str">
        <f t="shared" si="196"/>
        <v/>
      </c>
      <c r="O1394" s="2">
        <f t="shared" si="197"/>
        <v>45155</v>
      </c>
      <c r="P1394" s="2">
        <v>45169.520300925928</v>
      </c>
      <c r="Q1394" s="2">
        <f t="shared" si="198"/>
        <v>45161</v>
      </c>
      <c r="R1394" s="2">
        <v>45169.52140046296</v>
      </c>
      <c r="S1394">
        <f t="shared" si="199"/>
        <v>8</v>
      </c>
      <c r="T1394" s="2">
        <f t="shared" si="200"/>
        <v>45161</v>
      </c>
      <c r="U1394" t="str">
        <f t="shared" si="201"/>
        <v>ATRASO</v>
      </c>
    </row>
    <row r="1395" spans="1:21">
      <c r="A1395" s="1">
        <v>14403</v>
      </c>
      <c r="B1395" t="s">
        <v>20</v>
      </c>
      <c r="C1395" t="s">
        <v>13</v>
      </c>
      <c r="D1395" t="s">
        <v>18</v>
      </c>
      <c r="E1395" s="1">
        <v>2381</v>
      </c>
      <c r="F1395" s="1">
        <v>2023</v>
      </c>
      <c r="G1395" t="s">
        <v>11</v>
      </c>
      <c r="H1395" s="2">
        <v>45152.458333333336</v>
      </c>
      <c r="I1395" s="9">
        <f t="shared" si="193"/>
        <v>45155</v>
      </c>
      <c r="J1395" s="2" t="str">
        <f t="shared" si="194"/>
        <v/>
      </c>
      <c r="L1395" s="2" t="str">
        <f t="shared" si="195"/>
        <v/>
      </c>
      <c r="N1395" s="10" t="str">
        <f t="shared" si="196"/>
        <v/>
      </c>
      <c r="O1395" s="2">
        <f t="shared" si="197"/>
        <v>45155</v>
      </c>
      <c r="P1395" s="2">
        <v>45174.467986111114</v>
      </c>
      <c r="Q1395" s="2">
        <f t="shared" si="198"/>
        <v>45161</v>
      </c>
      <c r="R1395" s="2">
        <v>45174.718912037039</v>
      </c>
      <c r="S1395">
        <f t="shared" si="199"/>
        <v>13</v>
      </c>
      <c r="T1395" s="2">
        <f t="shared" si="200"/>
        <v>45161</v>
      </c>
      <c r="U1395" t="str">
        <f t="shared" si="201"/>
        <v>ATRASO</v>
      </c>
    </row>
    <row r="1396" spans="1:21" hidden="1">
      <c r="A1396" s="1">
        <v>14379</v>
      </c>
      <c r="B1396" t="s">
        <v>24</v>
      </c>
      <c r="C1396" t="s">
        <v>13</v>
      </c>
      <c r="D1396" t="s">
        <v>18</v>
      </c>
      <c r="E1396" s="1">
        <v>2357</v>
      </c>
      <c r="F1396" s="1">
        <v>2023</v>
      </c>
      <c r="G1396" t="s">
        <v>11</v>
      </c>
      <c r="H1396" s="2">
        <v>45149.582916666666</v>
      </c>
      <c r="I1396" s="9">
        <f t="shared" si="193"/>
        <v>45154</v>
      </c>
      <c r="J1396" s="2" t="str">
        <f t="shared" si="194"/>
        <v/>
      </c>
      <c r="L1396" s="2" t="str">
        <f t="shared" si="195"/>
        <v/>
      </c>
      <c r="N1396" s="10" t="str">
        <f t="shared" si="196"/>
        <v/>
      </c>
      <c r="O1396" s="2">
        <f t="shared" si="197"/>
        <v>45154</v>
      </c>
      <c r="P1396" s="2">
        <v>45154.612453703703</v>
      </c>
      <c r="Q1396" s="2">
        <f t="shared" si="198"/>
        <v>45160</v>
      </c>
      <c r="R1396" s="2">
        <v>45154.639687499999</v>
      </c>
      <c r="S1396">
        <f t="shared" si="199"/>
        <v>0</v>
      </c>
      <c r="T1396" s="2">
        <f t="shared" si="200"/>
        <v>45160</v>
      </c>
      <c r="U1396" t="str">
        <f t="shared" si="201"/>
        <v>NO PRAZO</v>
      </c>
    </row>
    <row r="1397" spans="1:21" hidden="1">
      <c r="A1397" s="1">
        <v>14378</v>
      </c>
      <c r="B1397" t="s">
        <v>22</v>
      </c>
      <c r="C1397" t="s">
        <v>13</v>
      </c>
      <c r="D1397" t="s">
        <v>10</v>
      </c>
      <c r="E1397" s="1">
        <v>2356</v>
      </c>
      <c r="F1397" s="1">
        <v>2023</v>
      </c>
      <c r="G1397" t="s">
        <v>11</v>
      </c>
      <c r="H1397" s="2">
        <v>45149.582916666666</v>
      </c>
      <c r="I1397" s="9">
        <f t="shared" si="193"/>
        <v>45152</v>
      </c>
      <c r="J1397" s="2" t="str">
        <f t="shared" si="194"/>
        <v/>
      </c>
      <c r="L1397" s="2" t="str">
        <f t="shared" si="195"/>
        <v/>
      </c>
      <c r="N1397" s="10" t="str">
        <f t="shared" si="196"/>
        <v/>
      </c>
      <c r="O1397" s="2">
        <f t="shared" si="197"/>
        <v>45152</v>
      </c>
      <c r="P1397" s="2">
        <v>45152.618877314817</v>
      </c>
      <c r="Q1397" s="2">
        <f t="shared" si="198"/>
        <v>45153</v>
      </c>
      <c r="R1397" s="2">
        <v>45152.624421296299</v>
      </c>
      <c r="S1397">
        <f t="shared" si="199"/>
        <v>0</v>
      </c>
      <c r="T1397" s="2">
        <f t="shared" si="200"/>
        <v>45153</v>
      </c>
      <c r="U1397" t="str">
        <f t="shared" si="201"/>
        <v>NO PRAZO</v>
      </c>
    </row>
    <row r="1398" spans="1:21" hidden="1">
      <c r="A1398" s="1">
        <v>14377</v>
      </c>
      <c r="B1398" t="s">
        <v>22</v>
      </c>
      <c r="C1398" t="s">
        <v>13</v>
      </c>
      <c r="D1398" t="s">
        <v>18</v>
      </c>
      <c r="E1398" s="1">
        <v>2355</v>
      </c>
      <c r="F1398" s="1">
        <v>2023</v>
      </c>
      <c r="G1398" t="s">
        <v>11</v>
      </c>
      <c r="H1398" s="2">
        <v>45149.582916666666</v>
      </c>
      <c r="I1398" s="9">
        <f t="shared" si="193"/>
        <v>45154</v>
      </c>
      <c r="J1398" s="2" t="str">
        <f t="shared" si="194"/>
        <v/>
      </c>
      <c r="L1398" s="2" t="str">
        <f t="shared" si="195"/>
        <v/>
      </c>
      <c r="N1398" s="10" t="str">
        <f t="shared" si="196"/>
        <v/>
      </c>
      <c r="O1398" s="2">
        <f t="shared" si="197"/>
        <v>45154</v>
      </c>
      <c r="P1398" s="2">
        <v>45154.612951388888</v>
      </c>
      <c r="Q1398" s="2">
        <f t="shared" si="198"/>
        <v>45160</v>
      </c>
      <c r="R1398" s="2">
        <v>45154.639791666668</v>
      </c>
      <c r="S1398">
        <f t="shared" si="199"/>
        <v>0</v>
      </c>
      <c r="T1398" s="2">
        <f t="shared" si="200"/>
        <v>45160</v>
      </c>
      <c r="U1398" t="str">
        <f t="shared" si="201"/>
        <v>NO PRAZO</v>
      </c>
    </row>
    <row r="1399" spans="1:21" hidden="1">
      <c r="A1399" s="1">
        <v>14376</v>
      </c>
      <c r="B1399" t="s">
        <v>22</v>
      </c>
      <c r="C1399" t="s">
        <v>13</v>
      </c>
      <c r="D1399" t="s">
        <v>10</v>
      </c>
      <c r="E1399" s="1">
        <v>2354</v>
      </c>
      <c r="F1399" s="1">
        <v>2023</v>
      </c>
      <c r="G1399" t="s">
        <v>11</v>
      </c>
      <c r="H1399" s="2">
        <v>45149.499571759261</v>
      </c>
      <c r="I1399" s="9">
        <f t="shared" si="193"/>
        <v>45152</v>
      </c>
      <c r="J1399" s="2" t="str">
        <f t="shared" si="194"/>
        <v/>
      </c>
      <c r="L1399" s="2" t="str">
        <f t="shared" si="195"/>
        <v/>
      </c>
      <c r="N1399" s="10" t="str">
        <f t="shared" si="196"/>
        <v/>
      </c>
      <c r="O1399" s="2">
        <f t="shared" si="197"/>
        <v>45152</v>
      </c>
      <c r="P1399" s="2">
        <v>45152.618483796294</v>
      </c>
      <c r="Q1399" s="2">
        <f t="shared" si="198"/>
        <v>45153</v>
      </c>
      <c r="R1399" s="2">
        <v>45152.624328703707</v>
      </c>
      <c r="S1399">
        <f t="shared" si="199"/>
        <v>0</v>
      </c>
      <c r="T1399" s="2">
        <f t="shared" si="200"/>
        <v>45153</v>
      </c>
      <c r="U1399" t="str">
        <f t="shared" si="201"/>
        <v>NO PRAZO</v>
      </c>
    </row>
    <row r="1400" spans="1:21">
      <c r="A1400" s="1">
        <v>14375</v>
      </c>
      <c r="B1400" t="s">
        <v>20</v>
      </c>
      <c r="C1400" t="s">
        <v>13</v>
      </c>
      <c r="D1400" t="s">
        <v>10</v>
      </c>
      <c r="E1400" s="1">
        <v>2353</v>
      </c>
      <c r="F1400" s="1">
        <v>2023</v>
      </c>
      <c r="G1400" t="s">
        <v>11</v>
      </c>
      <c r="H1400" s="2">
        <v>45149.499571759261</v>
      </c>
      <c r="I1400" s="9">
        <f t="shared" si="193"/>
        <v>45152</v>
      </c>
      <c r="J1400" s="2" t="str">
        <f t="shared" si="194"/>
        <v/>
      </c>
      <c r="L1400" s="2" t="str">
        <f t="shared" si="195"/>
        <v/>
      </c>
      <c r="N1400" s="10" t="str">
        <f t="shared" si="196"/>
        <v/>
      </c>
      <c r="O1400" s="2">
        <f t="shared" si="197"/>
        <v>45152</v>
      </c>
      <c r="P1400" s="2">
        <v>45159.665439814817</v>
      </c>
      <c r="Q1400" s="2">
        <f t="shared" si="198"/>
        <v>45153</v>
      </c>
      <c r="R1400" s="2">
        <v>45163.728495370371</v>
      </c>
      <c r="S1400">
        <f t="shared" si="199"/>
        <v>10</v>
      </c>
      <c r="T1400" s="2">
        <f t="shared" si="200"/>
        <v>45153</v>
      </c>
      <c r="U1400" t="str">
        <f t="shared" si="201"/>
        <v>ATRASO</v>
      </c>
    </row>
    <row r="1401" spans="1:21" hidden="1">
      <c r="A1401" s="1">
        <v>14362</v>
      </c>
      <c r="B1401" t="s">
        <v>20</v>
      </c>
      <c r="C1401" t="s">
        <v>13</v>
      </c>
      <c r="D1401" t="s">
        <v>18</v>
      </c>
      <c r="E1401" s="1">
        <v>2340</v>
      </c>
      <c r="F1401" s="1">
        <v>2023</v>
      </c>
      <c r="G1401" t="s">
        <v>11</v>
      </c>
      <c r="H1401" s="2">
        <v>45148.749664351853</v>
      </c>
      <c r="I1401" s="9">
        <f t="shared" si="193"/>
        <v>45153</v>
      </c>
      <c r="J1401" s="2" t="str">
        <f t="shared" si="194"/>
        <v/>
      </c>
      <c r="L1401" s="2" t="str">
        <f t="shared" si="195"/>
        <v/>
      </c>
      <c r="N1401" s="10" t="str">
        <f t="shared" si="196"/>
        <v/>
      </c>
      <c r="O1401" s="2">
        <f t="shared" si="197"/>
        <v>45153</v>
      </c>
      <c r="P1401" s="2">
        <v>45153.348993055559</v>
      </c>
      <c r="Q1401" s="2">
        <f t="shared" si="198"/>
        <v>45159</v>
      </c>
      <c r="R1401" s="2">
        <v>45154.529652777775</v>
      </c>
      <c r="S1401">
        <f t="shared" si="199"/>
        <v>0</v>
      </c>
      <c r="T1401" s="2">
        <f t="shared" si="200"/>
        <v>45159</v>
      </c>
      <c r="U1401" t="str">
        <f t="shared" si="201"/>
        <v>NO PRAZO</v>
      </c>
    </row>
    <row r="1402" spans="1:21" hidden="1">
      <c r="A1402" s="1">
        <v>14361</v>
      </c>
      <c r="B1402" t="s">
        <v>17</v>
      </c>
      <c r="C1402" t="s">
        <v>9</v>
      </c>
      <c r="D1402" t="s">
        <v>14</v>
      </c>
      <c r="E1402" s="1">
        <v>2339</v>
      </c>
      <c r="F1402" s="1">
        <v>2023</v>
      </c>
      <c r="G1402" t="s">
        <v>11</v>
      </c>
      <c r="H1402" s="2">
        <v>45148.707939814813</v>
      </c>
      <c r="I1402" s="9">
        <f t="shared" si="193"/>
        <v>45149</v>
      </c>
      <c r="J1402" s="2" t="str">
        <f t="shared" si="194"/>
        <v/>
      </c>
      <c r="L1402" s="2" t="str">
        <f t="shared" si="195"/>
        <v/>
      </c>
      <c r="N1402" s="10" t="str">
        <f t="shared" si="196"/>
        <v/>
      </c>
      <c r="O1402" s="2">
        <f t="shared" si="197"/>
        <v>45149</v>
      </c>
      <c r="P1402" s="2">
        <v>45149.44258101852</v>
      </c>
      <c r="Q1402" s="2">
        <f t="shared" si="198"/>
        <v>45152</v>
      </c>
      <c r="R1402" s="2">
        <v>45149.500740740739</v>
      </c>
      <c r="S1402">
        <f t="shared" si="199"/>
        <v>0</v>
      </c>
      <c r="T1402" s="2">
        <f t="shared" si="200"/>
        <v>45152</v>
      </c>
      <c r="U1402" t="str">
        <f t="shared" si="201"/>
        <v>NO PRAZO</v>
      </c>
    </row>
    <row r="1403" spans="1:21" hidden="1">
      <c r="A1403" s="1">
        <v>14346</v>
      </c>
      <c r="B1403" t="s">
        <v>20</v>
      </c>
      <c r="C1403" t="s">
        <v>13</v>
      </c>
      <c r="D1403" t="s">
        <v>18</v>
      </c>
      <c r="E1403" s="1">
        <v>2324</v>
      </c>
      <c r="F1403" s="1">
        <v>2023</v>
      </c>
      <c r="G1403" t="s">
        <v>11</v>
      </c>
      <c r="H1403" s="2">
        <v>45148.582997685182</v>
      </c>
      <c r="I1403" s="9">
        <f t="shared" si="193"/>
        <v>45153</v>
      </c>
      <c r="J1403" s="2" t="str">
        <f t="shared" si="194"/>
        <v/>
      </c>
      <c r="L1403" s="2" t="str">
        <f t="shared" si="195"/>
        <v/>
      </c>
      <c r="N1403" s="10" t="str">
        <f t="shared" si="196"/>
        <v/>
      </c>
      <c r="O1403" s="2">
        <f t="shared" si="197"/>
        <v>45153</v>
      </c>
      <c r="P1403" s="2">
        <v>45154.427002314813</v>
      </c>
      <c r="Q1403" s="2">
        <f t="shared" si="198"/>
        <v>45159</v>
      </c>
      <c r="R1403" s="2">
        <v>45154.647673611114</v>
      </c>
      <c r="S1403">
        <f t="shared" si="199"/>
        <v>0</v>
      </c>
      <c r="T1403" s="2">
        <f t="shared" si="200"/>
        <v>45159</v>
      </c>
      <c r="U1403" t="str">
        <f t="shared" si="201"/>
        <v>NO PRAZO</v>
      </c>
    </row>
    <row r="1404" spans="1:21" hidden="1">
      <c r="A1404" s="1">
        <v>14336</v>
      </c>
      <c r="B1404" t="s">
        <v>20</v>
      </c>
      <c r="C1404" t="s">
        <v>13</v>
      </c>
      <c r="D1404" t="s">
        <v>18</v>
      </c>
      <c r="E1404" s="1">
        <v>2314</v>
      </c>
      <c r="F1404" s="1">
        <v>2023</v>
      </c>
      <c r="G1404" t="s">
        <v>11</v>
      </c>
      <c r="H1404" s="2">
        <v>45147.7497337963</v>
      </c>
      <c r="I1404" s="9">
        <f t="shared" si="193"/>
        <v>45152</v>
      </c>
      <c r="J1404" s="2" t="str">
        <f t="shared" si="194"/>
        <v/>
      </c>
      <c r="L1404" s="2" t="str">
        <f t="shared" si="195"/>
        <v/>
      </c>
      <c r="N1404" s="10" t="str">
        <f t="shared" si="196"/>
        <v/>
      </c>
      <c r="O1404" s="2">
        <f t="shared" si="197"/>
        <v>45152</v>
      </c>
      <c r="P1404" s="2">
        <v>45148.419120370374</v>
      </c>
      <c r="Q1404" s="2">
        <f t="shared" si="198"/>
        <v>45156</v>
      </c>
      <c r="R1404" s="2">
        <v>45148.451979166668</v>
      </c>
      <c r="S1404">
        <f t="shared" si="199"/>
        <v>0</v>
      </c>
      <c r="T1404" s="2">
        <f t="shared" si="200"/>
        <v>45156</v>
      </c>
      <c r="U1404" t="str">
        <f t="shared" si="201"/>
        <v>NO PRAZO</v>
      </c>
    </row>
    <row r="1405" spans="1:21" hidden="1">
      <c r="A1405" s="1">
        <v>14324</v>
      </c>
      <c r="B1405" t="s">
        <v>12</v>
      </c>
      <c r="C1405" t="s">
        <v>13</v>
      </c>
      <c r="D1405" t="s">
        <v>18</v>
      </c>
      <c r="E1405" s="1">
        <v>2302</v>
      </c>
      <c r="F1405" s="1">
        <v>2023</v>
      </c>
      <c r="G1405" t="s">
        <v>11</v>
      </c>
      <c r="H1405" s="2">
        <v>45147.583090277774</v>
      </c>
      <c r="I1405" s="9">
        <f t="shared" si="193"/>
        <v>45152</v>
      </c>
      <c r="J1405" s="2" t="str">
        <f t="shared" si="194"/>
        <v/>
      </c>
      <c r="L1405" s="2" t="str">
        <f t="shared" si="195"/>
        <v/>
      </c>
      <c r="N1405" s="10" t="str">
        <f t="shared" si="196"/>
        <v/>
      </c>
      <c r="O1405" s="2">
        <f t="shared" si="197"/>
        <v>45152</v>
      </c>
      <c r="P1405" s="2">
        <v>45153.617662037039</v>
      </c>
      <c r="Q1405" s="2">
        <f t="shared" si="198"/>
        <v>45156</v>
      </c>
      <c r="R1405" s="2">
        <v>45153.619131944448</v>
      </c>
      <c r="S1405">
        <f t="shared" si="199"/>
        <v>0</v>
      </c>
      <c r="T1405" s="2">
        <f t="shared" si="200"/>
        <v>45156</v>
      </c>
      <c r="U1405" t="str">
        <f t="shared" si="201"/>
        <v>NO PRAZO</v>
      </c>
    </row>
    <row r="1406" spans="1:21" hidden="1">
      <c r="A1406" s="1">
        <v>14322</v>
      </c>
      <c r="B1406" t="s">
        <v>17</v>
      </c>
      <c r="C1406" t="s">
        <v>9</v>
      </c>
      <c r="D1406" t="s">
        <v>14</v>
      </c>
      <c r="E1406" s="1">
        <v>2300</v>
      </c>
      <c r="F1406" s="1">
        <v>2023</v>
      </c>
      <c r="G1406" t="s">
        <v>11</v>
      </c>
      <c r="H1406" s="2">
        <v>45147.499780092592</v>
      </c>
      <c r="I1406" s="9">
        <f t="shared" si="193"/>
        <v>45148</v>
      </c>
      <c r="J1406" s="2" t="str">
        <f t="shared" si="194"/>
        <v/>
      </c>
      <c r="L1406" s="2" t="str">
        <f t="shared" si="195"/>
        <v/>
      </c>
      <c r="N1406" s="10" t="str">
        <f t="shared" si="196"/>
        <v/>
      </c>
      <c r="O1406" s="2">
        <f t="shared" si="197"/>
        <v>45148</v>
      </c>
      <c r="P1406" s="2">
        <v>45148.680972222224</v>
      </c>
      <c r="Q1406" s="2">
        <f t="shared" si="198"/>
        <v>45149</v>
      </c>
      <c r="R1406" s="2">
        <v>45149.449884259258</v>
      </c>
      <c r="S1406">
        <f t="shared" si="199"/>
        <v>0</v>
      </c>
      <c r="T1406" s="2">
        <f t="shared" si="200"/>
        <v>45149</v>
      </c>
      <c r="U1406" t="str">
        <f t="shared" si="201"/>
        <v>NO PRAZO</v>
      </c>
    </row>
    <row r="1407" spans="1:21" hidden="1">
      <c r="A1407" s="1">
        <v>14320</v>
      </c>
      <c r="B1407" t="s">
        <v>17</v>
      </c>
      <c r="C1407" t="s">
        <v>9</v>
      </c>
      <c r="D1407" t="s">
        <v>18</v>
      </c>
      <c r="E1407" s="1">
        <v>2298</v>
      </c>
      <c r="F1407" s="1">
        <v>2023</v>
      </c>
      <c r="G1407" t="s">
        <v>11</v>
      </c>
      <c r="H1407" s="2">
        <v>45147.458043981482</v>
      </c>
      <c r="I1407" s="9">
        <f t="shared" si="193"/>
        <v>45152</v>
      </c>
      <c r="J1407" s="2" t="str">
        <f t="shared" si="194"/>
        <v/>
      </c>
      <c r="L1407" s="2" t="str">
        <f t="shared" si="195"/>
        <v/>
      </c>
      <c r="N1407" s="10" t="str">
        <f t="shared" si="196"/>
        <v/>
      </c>
      <c r="O1407" s="2">
        <f t="shared" si="197"/>
        <v>45152</v>
      </c>
      <c r="P1407" s="2">
        <v>45149.361539351848</v>
      </c>
      <c r="Q1407" s="2">
        <f t="shared" si="198"/>
        <v>45156</v>
      </c>
      <c r="R1407" s="2">
        <v>45152.714907407404</v>
      </c>
      <c r="S1407">
        <f t="shared" si="199"/>
        <v>0</v>
      </c>
      <c r="T1407" s="2">
        <f t="shared" si="200"/>
        <v>45156</v>
      </c>
      <c r="U1407" t="str">
        <f t="shared" si="201"/>
        <v>NO PRAZO</v>
      </c>
    </row>
    <row r="1408" spans="1:21" hidden="1">
      <c r="A1408" s="1">
        <v>14318</v>
      </c>
      <c r="B1408" t="s">
        <v>17</v>
      </c>
      <c r="C1408" t="s">
        <v>9</v>
      </c>
      <c r="D1408" t="s">
        <v>14</v>
      </c>
      <c r="E1408" s="1">
        <v>2296</v>
      </c>
      <c r="F1408" s="1">
        <v>2023</v>
      </c>
      <c r="G1408" t="s">
        <v>11</v>
      </c>
      <c r="H1408" s="2">
        <v>45147.458043981482</v>
      </c>
      <c r="I1408" s="9">
        <f t="shared" ref="I1408:I1471" si="202">IF(OR(D1408="ORIENTAÇÃO",D1408="BUG IMPEDITIVO",D1408="BUG NÃO IMPEDITIVO"),WORKDAY(H1408,1,Z$2:Z$500),IF(OR(D1408="MELHORIA PEQUENA",D1408="MELHORIA MÉDIA"),WORKDAY(H1408,3,Z$2:Z$500),""))</f>
        <v>45148</v>
      </c>
      <c r="J1408" s="2" t="str">
        <f t="shared" si="194"/>
        <v/>
      </c>
      <c r="L1408" s="2" t="str">
        <f t="shared" si="195"/>
        <v/>
      </c>
      <c r="N1408" s="10" t="str">
        <f t="shared" si="196"/>
        <v/>
      </c>
      <c r="O1408" s="2">
        <f t="shared" si="197"/>
        <v>45148</v>
      </c>
      <c r="P1408" s="2">
        <v>45148.691412037035</v>
      </c>
      <c r="Q1408" s="2">
        <f t="shared" si="198"/>
        <v>45149</v>
      </c>
      <c r="R1408" s="2">
        <v>45149.449652777781</v>
      </c>
      <c r="S1408">
        <f t="shared" si="199"/>
        <v>0</v>
      </c>
      <c r="T1408" s="2">
        <f t="shared" si="200"/>
        <v>45149</v>
      </c>
      <c r="U1408" t="str">
        <f t="shared" si="201"/>
        <v>NO PRAZO</v>
      </c>
    </row>
    <row r="1409" spans="1:21" hidden="1">
      <c r="A1409" s="1">
        <v>14310</v>
      </c>
      <c r="B1409" t="s">
        <v>19</v>
      </c>
      <c r="C1409" t="s">
        <v>13</v>
      </c>
      <c r="D1409" t="s">
        <v>10</v>
      </c>
      <c r="E1409" s="1">
        <v>2288</v>
      </c>
      <c r="F1409" s="1">
        <v>2023</v>
      </c>
      <c r="G1409" t="s">
        <v>11</v>
      </c>
      <c r="H1409" s="2">
        <v>45146.708171296297</v>
      </c>
      <c r="I1409" s="9">
        <f t="shared" si="202"/>
        <v>45147</v>
      </c>
      <c r="J1409" s="2" t="str">
        <f t="shared" si="194"/>
        <v/>
      </c>
      <c r="L1409" s="2" t="str">
        <f t="shared" si="195"/>
        <v/>
      </c>
      <c r="N1409" s="10" t="str">
        <f t="shared" si="196"/>
        <v/>
      </c>
      <c r="O1409" s="2">
        <f t="shared" si="197"/>
        <v>45147</v>
      </c>
      <c r="P1409" s="2">
        <v>45147.80572916667</v>
      </c>
      <c r="Q1409" s="2">
        <f t="shared" si="198"/>
        <v>45148</v>
      </c>
      <c r="R1409" s="2">
        <v>45148.747824074075</v>
      </c>
      <c r="S1409">
        <f t="shared" si="199"/>
        <v>0</v>
      </c>
      <c r="T1409" s="2">
        <f t="shared" si="200"/>
        <v>45148</v>
      </c>
      <c r="U1409" t="str">
        <f t="shared" si="201"/>
        <v>NO PRAZO</v>
      </c>
    </row>
    <row r="1410" spans="1:21" hidden="1">
      <c r="A1410" s="1">
        <v>14300</v>
      </c>
      <c r="B1410" t="s">
        <v>22</v>
      </c>
      <c r="C1410" t="s">
        <v>13</v>
      </c>
      <c r="D1410" t="s">
        <v>16</v>
      </c>
      <c r="E1410" s="1">
        <v>2278</v>
      </c>
      <c r="F1410" s="1">
        <v>2023</v>
      </c>
      <c r="G1410" t="s">
        <v>11</v>
      </c>
      <c r="H1410" s="2">
        <v>45146.583171296297</v>
      </c>
      <c r="I1410" s="9">
        <f t="shared" si="202"/>
        <v>45147</v>
      </c>
      <c r="J1410" s="2" t="str">
        <f t="shared" si="194"/>
        <v/>
      </c>
      <c r="L1410" s="2" t="str">
        <f t="shared" si="195"/>
        <v/>
      </c>
      <c r="N1410" s="10" t="str">
        <f t="shared" si="196"/>
        <v/>
      </c>
      <c r="O1410" s="2">
        <f t="shared" si="197"/>
        <v>45147</v>
      </c>
      <c r="P1410" s="2">
        <v>45148.402349537035</v>
      </c>
      <c r="Q1410" s="2">
        <f t="shared" si="198"/>
        <v>45153</v>
      </c>
      <c r="R1410" s="2">
        <v>45148.57236111111</v>
      </c>
      <c r="S1410">
        <f t="shared" si="199"/>
        <v>0</v>
      </c>
      <c r="T1410" s="2">
        <f t="shared" si="200"/>
        <v>45153</v>
      </c>
      <c r="U1410" t="str">
        <f t="shared" si="201"/>
        <v>NO PRAZO</v>
      </c>
    </row>
    <row r="1411" spans="1:21" hidden="1">
      <c r="A1411" s="1">
        <v>14299</v>
      </c>
      <c r="B1411" t="s">
        <v>22</v>
      </c>
      <c r="C1411" t="s">
        <v>13</v>
      </c>
      <c r="D1411" t="s">
        <v>14</v>
      </c>
      <c r="E1411" s="1">
        <v>2277</v>
      </c>
      <c r="F1411" s="1">
        <v>2023</v>
      </c>
      <c r="G1411" t="s">
        <v>11</v>
      </c>
      <c r="H1411" s="2">
        <v>45146.583171296297</v>
      </c>
      <c r="I1411" s="9">
        <f t="shared" si="202"/>
        <v>45147</v>
      </c>
      <c r="J1411" s="2" t="str">
        <f t="shared" ref="J1411:J1474" si="203">IF(K1411&lt;&gt;"",I1411,"")</f>
        <v/>
      </c>
      <c r="L1411" s="2" t="str">
        <f t="shared" ref="L1411:L1474" si="204">IF(J1411="","",WORKDAY(J1411,14,Z$2:Z$500))</f>
        <v/>
      </c>
      <c r="N1411" s="10" t="str">
        <f t="shared" ref="N1411:N1474" si="205">IF(M1411="","",MAX(0,INT(M1411)-INT(L1411)))</f>
        <v/>
      </c>
      <c r="O1411" s="2">
        <f t="shared" ref="O1411:O1474" si="206">IF(L1411="",I1411,WORKDAY(L1411,1,Z$2:Z$500))</f>
        <v>45147</v>
      </c>
      <c r="P1411" s="2">
        <v>45148.582708333335</v>
      </c>
      <c r="Q1411" s="2">
        <f t="shared" ref="Q1411:Q1474" si="207">IF(OR(D1411="ORIENTAÇÃO",D1411="BUG IMPEDITIVO"),WORKDAY(O1411,1,Z$2:Z$500),IF(OR(D1411="MELHORIA PEQUENA",D1411="BUG NÃO IMPEDITIVO"),WORKDAY(O1411,4,Z$2:Z$500),IF(D1411="MELHORIA MÉDIA",WORKDAY(O1411,19,Z$2:Z$500),"")))</f>
        <v>45148</v>
      </c>
      <c r="R1411" s="2">
        <v>45148.582951388889</v>
      </c>
      <c r="S1411">
        <f t="shared" ref="S1411:S1474" si="208">MAX(0,INT(R1411)-INT(Q1411))</f>
        <v>0</v>
      </c>
      <c r="T1411" s="2">
        <f t="shared" ref="T1411:T1474" si="209">IF(D1411="MELHORIA MÉDIA",IF(K1411&lt;&gt;"",WORKDAY(I1411,34,$Z$2:$Z$1000),WORKDAY(I1411,19,$Z$2:$Z$1000)),IF(OR(D1411="MELHORIA PEQUENA",D1411="BUG NÃO IMPEDITIVO"),WORKDAY(I1411,4,$Z$2:$Z$1000),IF(OR(D1411="ORIENTAÇÃO",D1411="BUG IMPEDITIVO"),WORKDAY(I1411,1,$Z$2:$Z$1000),"")))</f>
        <v>45148</v>
      </c>
      <c r="U1411" t="str">
        <f t="shared" ref="U1411:U1474" si="210">IF(INT(R1411)&lt;=INT(T1411),"NO PRAZO","ATRASO")</f>
        <v>NO PRAZO</v>
      </c>
    </row>
    <row r="1412" spans="1:21">
      <c r="A1412" s="1">
        <v>14297</v>
      </c>
      <c r="B1412" t="s">
        <v>20</v>
      </c>
      <c r="C1412" t="s">
        <v>13</v>
      </c>
      <c r="D1412" t="s">
        <v>18</v>
      </c>
      <c r="E1412" s="1">
        <v>2275</v>
      </c>
      <c r="F1412" s="1">
        <v>2023</v>
      </c>
      <c r="G1412" t="s">
        <v>11</v>
      </c>
      <c r="H1412" s="2">
        <v>45146.499849537038</v>
      </c>
      <c r="I1412" s="9">
        <f t="shared" si="202"/>
        <v>45149</v>
      </c>
      <c r="J1412" s="2" t="str">
        <f t="shared" si="203"/>
        <v/>
      </c>
      <c r="L1412" s="2" t="str">
        <f t="shared" si="204"/>
        <v/>
      </c>
      <c r="N1412" s="10" t="str">
        <f t="shared" si="205"/>
        <v/>
      </c>
      <c r="O1412" s="2">
        <f t="shared" si="206"/>
        <v>45149</v>
      </c>
      <c r="P1412" s="2">
        <v>45239.434791666667</v>
      </c>
      <c r="Q1412" s="2">
        <f t="shared" si="207"/>
        <v>45155</v>
      </c>
      <c r="R1412" s="2">
        <v>45240.630833333336</v>
      </c>
      <c r="S1412">
        <f t="shared" si="208"/>
        <v>85</v>
      </c>
      <c r="T1412" s="2">
        <f t="shared" si="209"/>
        <v>45155</v>
      </c>
      <c r="U1412" t="str">
        <f t="shared" si="210"/>
        <v>ATRASO</v>
      </c>
    </row>
    <row r="1413" spans="1:21">
      <c r="A1413" s="1">
        <v>14295</v>
      </c>
      <c r="B1413" t="s">
        <v>17</v>
      </c>
      <c r="C1413" t="s">
        <v>9</v>
      </c>
      <c r="D1413" t="s">
        <v>14</v>
      </c>
      <c r="E1413" s="1">
        <v>2273</v>
      </c>
      <c r="F1413" s="1">
        <v>2023</v>
      </c>
      <c r="G1413" t="s">
        <v>11</v>
      </c>
      <c r="H1413" s="2">
        <v>45146.499849537038</v>
      </c>
      <c r="I1413" s="9">
        <f t="shared" si="202"/>
        <v>45147</v>
      </c>
      <c r="J1413" s="2" t="str">
        <f t="shared" si="203"/>
        <v/>
      </c>
      <c r="L1413" s="2" t="str">
        <f t="shared" si="204"/>
        <v/>
      </c>
      <c r="N1413" s="10" t="str">
        <f t="shared" si="205"/>
        <v/>
      </c>
      <c r="O1413" s="2">
        <f t="shared" si="206"/>
        <v>45147</v>
      </c>
      <c r="P1413" s="2">
        <v>45148.700150462966</v>
      </c>
      <c r="Q1413" s="2">
        <f t="shared" si="207"/>
        <v>45148</v>
      </c>
      <c r="R1413" s="2">
        <v>45149.449374999997</v>
      </c>
      <c r="S1413">
        <f t="shared" si="208"/>
        <v>1</v>
      </c>
      <c r="T1413" s="2">
        <f t="shared" si="209"/>
        <v>45148</v>
      </c>
      <c r="U1413" t="str">
        <f t="shared" si="210"/>
        <v>ATRASO</v>
      </c>
    </row>
    <row r="1414" spans="1:21">
      <c r="A1414" s="1">
        <v>14285</v>
      </c>
      <c r="B1414" t="s">
        <v>19</v>
      </c>
      <c r="C1414" t="s">
        <v>9</v>
      </c>
      <c r="D1414" t="s">
        <v>18</v>
      </c>
      <c r="E1414" s="1">
        <v>2263</v>
      </c>
      <c r="F1414" s="1">
        <v>2023</v>
      </c>
      <c r="G1414" t="s">
        <v>11</v>
      </c>
      <c r="H1414" s="2">
        <v>45145.833333333336</v>
      </c>
      <c r="I1414" s="9">
        <f t="shared" si="202"/>
        <v>45148</v>
      </c>
      <c r="J1414" s="2" t="str">
        <f t="shared" si="203"/>
        <v/>
      </c>
      <c r="L1414" s="2" t="str">
        <f t="shared" si="204"/>
        <v/>
      </c>
      <c r="N1414" s="10" t="str">
        <f t="shared" si="205"/>
        <v/>
      </c>
      <c r="O1414" s="2">
        <f t="shared" si="206"/>
        <v>45148</v>
      </c>
      <c r="P1414" s="2">
        <v>45152.378587962965</v>
      </c>
      <c r="Q1414" s="2">
        <f t="shared" si="207"/>
        <v>45154</v>
      </c>
      <c r="R1414" s="2">
        <v>45168.631238425929</v>
      </c>
      <c r="S1414">
        <f t="shared" si="208"/>
        <v>14</v>
      </c>
      <c r="T1414" s="2">
        <f t="shared" si="209"/>
        <v>45154</v>
      </c>
      <c r="U1414" t="str">
        <f t="shared" si="210"/>
        <v>ATRASO</v>
      </c>
    </row>
    <row r="1415" spans="1:21" hidden="1">
      <c r="A1415" s="1">
        <v>14283</v>
      </c>
      <c r="B1415" t="s">
        <v>20</v>
      </c>
      <c r="C1415" t="s">
        <v>13</v>
      </c>
      <c r="D1415" t="s">
        <v>18</v>
      </c>
      <c r="E1415" s="1">
        <v>2261</v>
      </c>
      <c r="F1415" s="1">
        <v>2023</v>
      </c>
      <c r="G1415" t="s">
        <v>11</v>
      </c>
      <c r="H1415" s="2">
        <v>45145.713819444441</v>
      </c>
      <c r="I1415" s="9">
        <f t="shared" si="202"/>
        <v>45148</v>
      </c>
      <c r="J1415" s="2" t="str">
        <f t="shared" si="203"/>
        <v/>
      </c>
      <c r="L1415" s="2" t="str">
        <f t="shared" si="204"/>
        <v/>
      </c>
      <c r="N1415" s="10" t="str">
        <f t="shared" si="205"/>
        <v/>
      </c>
      <c r="O1415" s="2">
        <f t="shared" si="206"/>
        <v>45148</v>
      </c>
      <c r="P1415" s="2">
        <v>45148.382743055554</v>
      </c>
      <c r="Q1415" s="2">
        <f t="shared" si="207"/>
        <v>45154</v>
      </c>
      <c r="R1415" s="2">
        <v>45152.389884259261</v>
      </c>
      <c r="S1415">
        <f t="shared" si="208"/>
        <v>0</v>
      </c>
      <c r="T1415" s="2">
        <f t="shared" si="209"/>
        <v>45154</v>
      </c>
      <c r="U1415" t="str">
        <f t="shared" si="210"/>
        <v>NO PRAZO</v>
      </c>
    </row>
    <row r="1416" spans="1:21" hidden="1">
      <c r="A1416" s="1">
        <v>14279</v>
      </c>
      <c r="B1416" t="s">
        <v>20</v>
      </c>
      <c r="C1416" t="s">
        <v>13</v>
      </c>
      <c r="D1416" t="s">
        <v>16</v>
      </c>
      <c r="E1416" s="1">
        <v>2257</v>
      </c>
      <c r="F1416" s="1">
        <v>2023</v>
      </c>
      <c r="G1416" t="s">
        <v>11</v>
      </c>
      <c r="H1416" s="2">
        <v>45145.666608796295</v>
      </c>
      <c r="I1416" s="9">
        <f t="shared" si="202"/>
        <v>45146</v>
      </c>
      <c r="J1416" s="2" t="str">
        <f t="shared" si="203"/>
        <v/>
      </c>
      <c r="L1416" s="2" t="str">
        <f t="shared" si="204"/>
        <v/>
      </c>
      <c r="N1416" s="10" t="str">
        <f t="shared" si="205"/>
        <v/>
      </c>
      <c r="O1416" s="2">
        <f t="shared" si="206"/>
        <v>45146</v>
      </c>
      <c r="P1416" s="2">
        <v>45148.379976851851</v>
      </c>
      <c r="Q1416" s="2">
        <f t="shared" si="207"/>
        <v>45152</v>
      </c>
      <c r="R1416" s="2">
        <v>45152.513356481482</v>
      </c>
      <c r="S1416">
        <f t="shared" si="208"/>
        <v>0</v>
      </c>
      <c r="T1416" s="2">
        <f t="shared" si="209"/>
        <v>45152</v>
      </c>
      <c r="U1416" t="str">
        <f t="shared" si="210"/>
        <v>NO PRAZO</v>
      </c>
    </row>
    <row r="1417" spans="1:21" hidden="1">
      <c r="A1417" s="1">
        <v>14265</v>
      </c>
      <c r="B1417" t="s">
        <v>20</v>
      </c>
      <c r="C1417" t="s">
        <v>13</v>
      </c>
      <c r="D1417" t="s">
        <v>18</v>
      </c>
      <c r="E1417" s="1">
        <v>2243</v>
      </c>
      <c r="F1417" s="1">
        <v>2023</v>
      </c>
      <c r="G1417" t="s">
        <v>11</v>
      </c>
      <c r="H1417" s="2">
        <v>45142.705752314818</v>
      </c>
      <c r="I1417" s="9">
        <f t="shared" si="202"/>
        <v>45147</v>
      </c>
      <c r="J1417" s="2" t="str">
        <f t="shared" si="203"/>
        <v/>
      </c>
      <c r="L1417" s="2" t="str">
        <f t="shared" si="204"/>
        <v/>
      </c>
      <c r="N1417" s="10" t="str">
        <f t="shared" si="205"/>
        <v/>
      </c>
      <c r="O1417" s="2">
        <f t="shared" si="206"/>
        <v>45147</v>
      </c>
      <c r="P1417" s="2">
        <v>45147.457326388889</v>
      </c>
      <c r="Q1417" s="2">
        <f t="shared" si="207"/>
        <v>45153</v>
      </c>
      <c r="R1417" s="2">
        <v>45148.600254629629</v>
      </c>
      <c r="S1417">
        <f t="shared" si="208"/>
        <v>0</v>
      </c>
      <c r="T1417" s="2">
        <f t="shared" si="209"/>
        <v>45153</v>
      </c>
      <c r="U1417" t="str">
        <f t="shared" si="210"/>
        <v>NO PRAZO</v>
      </c>
    </row>
    <row r="1418" spans="1:21" hidden="1">
      <c r="A1418" s="1">
        <v>14264</v>
      </c>
      <c r="B1418" t="s">
        <v>20</v>
      </c>
      <c r="C1418" t="s">
        <v>13</v>
      </c>
      <c r="D1418" t="s">
        <v>18</v>
      </c>
      <c r="E1418" s="1">
        <v>2242</v>
      </c>
      <c r="F1418" s="1">
        <v>2023</v>
      </c>
      <c r="G1418" t="s">
        <v>11</v>
      </c>
      <c r="H1418" s="2">
        <v>45142.705752314818</v>
      </c>
      <c r="I1418" s="9">
        <f t="shared" si="202"/>
        <v>45147</v>
      </c>
      <c r="J1418" s="2" t="str">
        <f t="shared" si="203"/>
        <v/>
      </c>
      <c r="L1418" s="2" t="str">
        <f t="shared" si="204"/>
        <v/>
      </c>
      <c r="N1418" s="10" t="str">
        <f t="shared" si="205"/>
        <v/>
      </c>
      <c r="O1418" s="2">
        <f t="shared" si="206"/>
        <v>45147</v>
      </c>
      <c r="P1418" s="2">
        <v>45148.596770833334</v>
      </c>
      <c r="Q1418" s="2">
        <f t="shared" si="207"/>
        <v>45153</v>
      </c>
      <c r="R1418" s="2">
        <v>45148.59820601852</v>
      </c>
      <c r="S1418">
        <f t="shared" si="208"/>
        <v>0</v>
      </c>
      <c r="T1418" s="2">
        <f t="shared" si="209"/>
        <v>45153</v>
      </c>
      <c r="U1418" t="str">
        <f t="shared" si="210"/>
        <v>NO PRAZO</v>
      </c>
    </row>
    <row r="1419" spans="1:21">
      <c r="A1419" s="1">
        <v>14257</v>
      </c>
      <c r="B1419" t="s">
        <v>24</v>
      </c>
      <c r="C1419" t="s">
        <v>13</v>
      </c>
      <c r="D1419" t="s">
        <v>14</v>
      </c>
      <c r="E1419" s="1">
        <v>2235</v>
      </c>
      <c r="F1419" s="1">
        <v>2023</v>
      </c>
      <c r="G1419" t="s">
        <v>11</v>
      </c>
      <c r="H1419" s="2">
        <v>45142.455775462964</v>
      </c>
      <c r="I1419" s="9">
        <f t="shared" si="202"/>
        <v>45145</v>
      </c>
      <c r="J1419" s="2" t="str">
        <f t="shared" si="203"/>
        <v/>
      </c>
      <c r="L1419" s="2" t="str">
        <f t="shared" si="204"/>
        <v/>
      </c>
      <c r="N1419" s="10" t="str">
        <f t="shared" si="205"/>
        <v/>
      </c>
      <c r="O1419" s="2">
        <f t="shared" si="206"/>
        <v>45145</v>
      </c>
      <c r="P1419" s="2">
        <v>45147.524652777778</v>
      </c>
      <c r="Q1419" s="2">
        <f t="shared" si="207"/>
        <v>45146</v>
      </c>
      <c r="R1419" s="2">
        <v>45148.454722222225</v>
      </c>
      <c r="S1419">
        <f t="shared" si="208"/>
        <v>2</v>
      </c>
      <c r="T1419" s="2">
        <f t="shared" si="209"/>
        <v>45146</v>
      </c>
      <c r="U1419" t="str">
        <f t="shared" si="210"/>
        <v>ATRASO</v>
      </c>
    </row>
    <row r="1420" spans="1:21">
      <c r="A1420" s="1">
        <v>14256</v>
      </c>
      <c r="B1420" t="s">
        <v>24</v>
      </c>
      <c r="C1420" t="s">
        <v>13</v>
      </c>
      <c r="D1420" t="s">
        <v>14</v>
      </c>
      <c r="E1420" s="1">
        <v>2234</v>
      </c>
      <c r="F1420" s="1">
        <v>2023</v>
      </c>
      <c r="G1420" t="s">
        <v>11</v>
      </c>
      <c r="H1420" s="2">
        <v>45142.455775462964</v>
      </c>
      <c r="I1420" s="9">
        <f t="shared" si="202"/>
        <v>45145</v>
      </c>
      <c r="J1420" s="2" t="str">
        <f t="shared" si="203"/>
        <v/>
      </c>
      <c r="L1420" s="2" t="str">
        <f t="shared" si="204"/>
        <v/>
      </c>
      <c r="N1420" s="10" t="str">
        <f t="shared" si="205"/>
        <v/>
      </c>
      <c r="O1420" s="2">
        <f t="shared" si="206"/>
        <v>45145</v>
      </c>
      <c r="P1420" s="2">
        <v>45147.595613425925</v>
      </c>
      <c r="Q1420" s="2">
        <f t="shared" si="207"/>
        <v>45146</v>
      </c>
      <c r="R1420" s="2">
        <v>45148.455335648148</v>
      </c>
      <c r="S1420">
        <f t="shared" si="208"/>
        <v>2</v>
      </c>
      <c r="T1420" s="2">
        <f t="shared" si="209"/>
        <v>45146</v>
      </c>
      <c r="U1420" t="str">
        <f t="shared" si="210"/>
        <v>ATRASO</v>
      </c>
    </row>
    <row r="1421" spans="1:21" hidden="1">
      <c r="A1421" s="1">
        <v>14249</v>
      </c>
      <c r="B1421" t="s">
        <v>17</v>
      </c>
      <c r="C1421" t="s">
        <v>9</v>
      </c>
      <c r="D1421" t="s">
        <v>18</v>
      </c>
      <c r="E1421" s="1">
        <v>2227</v>
      </c>
      <c r="F1421" s="1">
        <v>2023</v>
      </c>
      <c r="G1421" t="s">
        <v>11</v>
      </c>
      <c r="H1421" s="2">
        <v>45141.664189814815</v>
      </c>
      <c r="I1421" s="9">
        <f t="shared" si="202"/>
        <v>45146</v>
      </c>
      <c r="J1421" s="2" t="str">
        <f t="shared" si="203"/>
        <v/>
      </c>
      <c r="L1421" s="2" t="str">
        <f t="shared" si="204"/>
        <v/>
      </c>
      <c r="N1421" s="10" t="str">
        <f t="shared" si="205"/>
        <v/>
      </c>
      <c r="O1421" s="2">
        <f t="shared" si="206"/>
        <v>45146</v>
      </c>
      <c r="P1421" s="2">
        <v>45147.601655092592</v>
      </c>
      <c r="Q1421" s="2">
        <f t="shared" si="207"/>
        <v>45152</v>
      </c>
      <c r="R1421" s="2">
        <v>45147.602442129632</v>
      </c>
      <c r="S1421">
        <f t="shared" si="208"/>
        <v>0</v>
      </c>
      <c r="T1421" s="2">
        <f t="shared" si="209"/>
        <v>45152</v>
      </c>
      <c r="U1421" t="str">
        <f t="shared" si="210"/>
        <v>NO PRAZO</v>
      </c>
    </row>
    <row r="1422" spans="1:21">
      <c r="A1422" s="1">
        <v>14216</v>
      </c>
      <c r="B1422" t="s">
        <v>22</v>
      </c>
      <c r="C1422" t="s">
        <v>13</v>
      </c>
      <c r="D1422" t="s">
        <v>10</v>
      </c>
      <c r="E1422" s="1">
        <v>2194</v>
      </c>
      <c r="F1422" s="1">
        <v>2023</v>
      </c>
      <c r="G1422" t="s">
        <v>11</v>
      </c>
      <c r="H1422" s="2">
        <v>45140.664270833331</v>
      </c>
      <c r="I1422" s="9">
        <f t="shared" si="202"/>
        <v>45141</v>
      </c>
      <c r="J1422" s="2" t="str">
        <f t="shared" si="203"/>
        <v/>
      </c>
      <c r="L1422" s="2" t="str">
        <f t="shared" si="204"/>
        <v/>
      </c>
      <c r="N1422" s="10" t="str">
        <f t="shared" si="205"/>
        <v/>
      </c>
      <c r="O1422" s="2">
        <f t="shared" si="206"/>
        <v>45141</v>
      </c>
      <c r="P1422" s="2">
        <v>45145.639432870368</v>
      </c>
      <c r="Q1422" s="2">
        <f t="shared" si="207"/>
        <v>45142</v>
      </c>
      <c r="R1422" s="2">
        <v>45145.656597222223</v>
      </c>
      <c r="S1422">
        <f t="shared" si="208"/>
        <v>3</v>
      </c>
      <c r="T1422" s="2">
        <f t="shared" si="209"/>
        <v>45142</v>
      </c>
      <c r="U1422" t="str">
        <f t="shared" si="210"/>
        <v>ATRASO</v>
      </c>
    </row>
    <row r="1423" spans="1:21" hidden="1">
      <c r="A1423" s="1">
        <v>14214</v>
      </c>
      <c r="B1423" t="s">
        <v>12</v>
      </c>
      <c r="C1423" t="s">
        <v>13</v>
      </c>
      <c r="D1423" t="s">
        <v>18</v>
      </c>
      <c r="E1423" s="1">
        <v>2192</v>
      </c>
      <c r="F1423" s="1">
        <v>2023</v>
      </c>
      <c r="G1423" t="s">
        <v>11</v>
      </c>
      <c r="H1423" s="2">
        <v>45140.622557870367</v>
      </c>
      <c r="I1423" s="9">
        <f t="shared" si="202"/>
        <v>45145</v>
      </c>
      <c r="J1423" s="2" t="str">
        <f t="shared" si="203"/>
        <v/>
      </c>
      <c r="L1423" s="2" t="str">
        <f t="shared" si="204"/>
        <v/>
      </c>
      <c r="N1423" s="10" t="str">
        <f t="shared" si="205"/>
        <v/>
      </c>
      <c r="O1423" s="2">
        <f t="shared" si="206"/>
        <v>45145</v>
      </c>
      <c r="P1423" s="2">
        <v>45140.838460648149</v>
      </c>
      <c r="Q1423" s="2">
        <f t="shared" si="207"/>
        <v>45149</v>
      </c>
      <c r="R1423" s="2">
        <v>45145.71534722222</v>
      </c>
      <c r="S1423">
        <f t="shared" si="208"/>
        <v>0</v>
      </c>
      <c r="T1423" s="2">
        <f t="shared" si="209"/>
        <v>45149</v>
      </c>
      <c r="U1423" t="str">
        <f t="shared" si="210"/>
        <v>NO PRAZO</v>
      </c>
    </row>
    <row r="1424" spans="1:21">
      <c r="A1424" s="1">
        <v>14212</v>
      </c>
      <c r="B1424" t="s">
        <v>19</v>
      </c>
      <c r="C1424" t="s">
        <v>13</v>
      </c>
      <c r="D1424" t="s">
        <v>10</v>
      </c>
      <c r="E1424" s="1">
        <v>2190</v>
      </c>
      <c r="F1424" s="1">
        <v>2023</v>
      </c>
      <c r="G1424" t="s">
        <v>11</v>
      </c>
      <c r="H1424" s="2">
        <v>45140.580879629626</v>
      </c>
      <c r="I1424" s="9">
        <f t="shared" si="202"/>
        <v>45141</v>
      </c>
      <c r="J1424" s="2" t="str">
        <f t="shared" si="203"/>
        <v/>
      </c>
      <c r="L1424" s="2" t="str">
        <f t="shared" si="204"/>
        <v/>
      </c>
      <c r="N1424" s="10" t="str">
        <f t="shared" si="205"/>
        <v/>
      </c>
      <c r="O1424" s="2">
        <f t="shared" si="206"/>
        <v>45141</v>
      </c>
      <c r="P1424" s="2">
        <v>45161.688819444447</v>
      </c>
      <c r="Q1424" s="2">
        <f t="shared" si="207"/>
        <v>45142</v>
      </c>
      <c r="R1424" s="2">
        <v>45161.701099537036</v>
      </c>
      <c r="S1424">
        <f t="shared" si="208"/>
        <v>19</v>
      </c>
      <c r="T1424" s="2">
        <f t="shared" si="209"/>
        <v>45142</v>
      </c>
      <c r="U1424" t="str">
        <f t="shared" si="210"/>
        <v>ATRASO</v>
      </c>
    </row>
    <row r="1425" spans="1:21" hidden="1">
      <c r="A1425" s="1">
        <v>14208</v>
      </c>
      <c r="B1425" t="s">
        <v>20</v>
      </c>
      <c r="C1425" t="s">
        <v>13</v>
      </c>
      <c r="D1425" t="s">
        <v>18</v>
      </c>
      <c r="E1425" s="1">
        <v>2186</v>
      </c>
      <c r="F1425" s="1">
        <v>2023</v>
      </c>
      <c r="G1425" t="s">
        <v>11</v>
      </c>
      <c r="H1425" s="2">
        <v>45140.455949074072</v>
      </c>
      <c r="I1425" s="9">
        <f t="shared" si="202"/>
        <v>45145</v>
      </c>
      <c r="J1425" s="2" t="str">
        <f t="shared" si="203"/>
        <v/>
      </c>
      <c r="L1425" s="2" t="str">
        <f t="shared" si="204"/>
        <v/>
      </c>
      <c r="N1425" s="10" t="str">
        <f t="shared" si="205"/>
        <v/>
      </c>
      <c r="O1425" s="2">
        <f t="shared" si="206"/>
        <v>45145</v>
      </c>
      <c r="P1425" s="2">
        <v>45146.407268518517</v>
      </c>
      <c r="Q1425" s="2">
        <f t="shared" si="207"/>
        <v>45149</v>
      </c>
      <c r="R1425" s="2">
        <v>45146.607442129629</v>
      </c>
      <c r="S1425">
        <f t="shared" si="208"/>
        <v>0</v>
      </c>
      <c r="T1425" s="2">
        <f t="shared" si="209"/>
        <v>45149</v>
      </c>
      <c r="U1425" t="str">
        <f t="shared" si="210"/>
        <v>NO PRAZO</v>
      </c>
    </row>
    <row r="1426" spans="1:21" hidden="1">
      <c r="A1426" s="1">
        <v>14204</v>
      </c>
      <c r="B1426" t="s">
        <v>23</v>
      </c>
      <c r="C1426" t="s">
        <v>9</v>
      </c>
      <c r="D1426" t="s">
        <v>18</v>
      </c>
      <c r="E1426" s="1">
        <v>2182</v>
      </c>
      <c r="F1426" s="1">
        <v>2023</v>
      </c>
      <c r="G1426" t="s">
        <v>11</v>
      </c>
      <c r="H1426" s="2">
        <v>45140.414224537039</v>
      </c>
      <c r="I1426" s="9">
        <f t="shared" si="202"/>
        <v>45145</v>
      </c>
      <c r="J1426" s="2" t="str">
        <f t="shared" si="203"/>
        <v/>
      </c>
      <c r="L1426" s="2" t="str">
        <f t="shared" si="204"/>
        <v/>
      </c>
      <c r="N1426" s="10" t="str">
        <f t="shared" si="205"/>
        <v/>
      </c>
      <c r="O1426" s="2">
        <f t="shared" si="206"/>
        <v>45145</v>
      </c>
      <c r="P1426" s="2">
        <v>45140.870243055557</v>
      </c>
      <c r="Q1426" s="2">
        <f t="shared" si="207"/>
        <v>45149</v>
      </c>
      <c r="R1426" s="2">
        <v>45142.405428240738</v>
      </c>
      <c r="S1426">
        <f t="shared" si="208"/>
        <v>0</v>
      </c>
      <c r="T1426" s="2">
        <f t="shared" si="209"/>
        <v>45149</v>
      </c>
      <c r="U1426" t="str">
        <f t="shared" si="210"/>
        <v>NO PRAZO</v>
      </c>
    </row>
    <row r="1427" spans="1:21">
      <c r="A1427" s="1">
        <v>14195</v>
      </c>
      <c r="B1427" t="s">
        <v>22</v>
      </c>
      <c r="C1427" t="s">
        <v>13</v>
      </c>
      <c r="D1427" t="s">
        <v>14</v>
      </c>
      <c r="E1427" s="1">
        <v>2173</v>
      </c>
      <c r="F1427" s="1">
        <v>2023</v>
      </c>
      <c r="G1427" t="s">
        <v>11</v>
      </c>
      <c r="H1427" s="2">
        <v>45139.622650462959</v>
      </c>
      <c r="I1427" s="9">
        <f t="shared" si="202"/>
        <v>45140</v>
      </c>
      <c r="J1427" s="2" t="str">
        <f t="shared" si="203"/>
        <v/>
      </c>
      <c r="L1427" s="2" t="str">
        <f t="shared" si="204"/>
        <v/>
      </c>
      <c r="N1427" s="10" t="str">
        <f t="shared" si="205"/>
        <v/>
      </c>
      <c r="O1427" s="2">
        <f t="shared" si="206"/>
        <v>45140</v>
      </c>
      <c r="P1427" s="2">
        <v>45147.521192129629</v>
      </c>
      <c r="Q1427" s="2">
        <f t="shared" si="207"/>
        <v>45141</v>
      </c>
      <c r="R1427" s="2">
        <v>45148.451423611114</v>
      </c>
      <c r="S1427">
        <f t="shared" si="208"/>
        <v>7</v>
      </c>
      <c r="T1427" s="2">
        <f t="shared" si="209"/>
        <v>45141</v>
      </c>
      <c r="U1427" t="str">
        <f t="shared" si="210"/>
        <v>ATRASO</v>
      </c>
    </row>
    <row r="1428" spans="1:21">
      <c r="A1428" s="1">
        <v>14190</v>
      </c>
      <c r="B1428" t="s">
        <v>20</v>
      </c>
      <c r="C1428" t="s">
        <v>13</v>
      </c>
      <c r="D1428" t="s">
        <v>10</v>
      </c>
      <c r="E1428" s="1">
        <v>2168</v>
      </c>
      <c r="F1428" s="1">
        <v>2023</v>
      </c>
      <c r="G1428" t="s">
        <v>11</v>
      </c>
      <c r="H1428" s="2">
        <v>45139.497685185182</v>
      </c>
      <c r="I1428" s="9">
        <f t="shared" si="202"/>
        <v>45140</v>
      </c>
      <c r="J1428" s="2" t="str">
        <f t="shared" si="203"/>
        <v/>
      </c>
      <c r="L1428" s="2" t="str">
        <f t="shared" si="204"/>
        <v/>
      </c>
      <c r="N1428" s="10" t="str">
        <f t="shared" si="205"/>
        <v/>
      </c>
      <c r="O1428" s="2">
        <f t="shared" si="206"/>
        <v>45140</v>
      </c>
      <c r="P1428" s="2">
        <v>45145.467210648145</v>
      </c>
      <c r="Q1428" s="2">
        <f t="shared" si="207"/>
        <v>45141</v>
      </c>
      <c r="R1428" s="2">
        <v>45161.441979166666</v>
      </c>
      <c r="S1428">
        <f t="shared" si="208"/>
        <v>20</v>
      </c>
      <c r="T1428" s="2">
        <f t="shared" si="209"/>
        <v>45141</v>
      </c>
      <c r="U1428" t="str">
        <f t="shared" si="210"/>
        <v>ATRASO</v>
      </c>
    </row>
    <row r="1429" spans="1:21" hidden="1">
      <c r="A1429" s="1">
        <v>14187</v>
      </c>
      <c r="B1429" t="s">
        <v>22</v>
      </c>
      <c r="C1429" t="s">
        <v>13</v>
      </c>
      <c r="D1429" t="s">
        <v>18</v>
      </c>
      <c r="E1429" s="1">
        <v>2165</v>
      </c>
      <c r="F1429" s="1">
        <v>2023</v>
      </c>
      <c r="G1429" t="s">
        <v>11</v>
      </c>
      <c r="H1429" s="2">
        <v>45139.456018518518</v>
      </c>
      <c r="I1429" s="9">
        <f t="shared" si="202"/>
        <v>45142</v>
      </c>
      <c r="J1429" s="2" t="str">
        <f t="shared" si="203"/>
        <v/>
      </c>
      <c r="L1429" s="2" t="str">
        <f t="shared" si="204"/>
        <v/>
      </c>
      <c r="N1429" s="10" t="str">
        <f t="shared" si="205"/>
        <v/>
      </c>
      <c r="O1429" s="2">
        <f t="shared" si="206"/>
        <v>45142</v>
      </c>
      <c r="P1429" s="2">
        <v>45146.665150462963</v>
      </c>
      <c r="Q1429" s="2">
        <f t="shared" si="207"/>
        <v>45148</v>
      </c>
      <c r="R1429" s="2">
        <v>45146.723541666666</v>
      </c>
      <c r="S1429">
        <f t="shared" si="208"/>
        <v>0</v>
      </c>
      <c r="T1429" s="2">
        <f t="shared" si="209"/>
        <v>45148</v>
      </c>
      <c r="U1429" t="str">
        <f t="shared" si="210"/>
        <v>NO PRAZO</v>
      </c>
    </row>
    <row r="1430" spans="1:21" hidden="1">
      <c r="A1430" s="1">
        <v>14186</v>
      </c>
      <c r="B1430" t="s">
        <v>20</v>
      </c>
      <c r="C1430" t="s">
        <v>13</v>
      </c>
      <c r="D1430" t="s">
        <v>18</v>
      </c>
      <c r="E1430" s="1">
        <v>2164</v>
      </c>
      <c r="F1430" s="1">
        <v>2023</v>
      </c>
      <c r="G1430" t="s">
        <v>11</v>
      </c>
      <c r="H1430" s="2">
        <v>45139.456018518518</v>
      </c>
      <c r="I1430" s="9">
        <f t="shared" si="202"/>
        <v>45142</v>
      </c>
      <c r="J1430" s="2" t="str">
        <f t="shared" si="203"/>
        <v/>
      </c>
      <c r="L1430" s="2" t="str">
        <f t="shared" si="204"/>
        <v/>
      </c>
      <c r="N1430" s="10" t="str">
        <f t="shared" si="205"/>
        <v/>
      </c>
      <c r="O1430" s="2">
        <f t="shared" si="206"/>
        <v>45142</v>
      </c>
      <c r="P1430" s="2">
        <v>45146.639456018522</v>
      </c>
      <c r="Q1430" s="2">
        <f t="shared" si="207"/>
        <v>45148</v>
      </c>
      <c r="R1430" s="2">
        <v>45147.446122685185</v>
      </c>
      <c r="S1430">
        <f t="shared" si="208"/>
        <v>0</v>
      </c>
      <c r="T1430" s="2">
        <f t="shared" si="209"/>
        <v>45148</v>
      </c>
      <c r="U1430" t="str">
        <f t="shared" si="210"/>
        <v>NO PRAZO</v>
      </c>
    </row>
    <row r="1431" spans="1:21" hidden="1">
      <c r="A1431" s="1">
        <v>14185</v>
      </c>
      <c r="B1431" t="s">
        <v>20</v>
      </c>
      <c r="C1431" t="s">
        <v>13</v>
      </c>
      <c r="D1431" t="s">
        <v>18</v>
      </c>
      <c r="E1431" s="1">
        <v>2163</v>
      </c>
      <c r="F1431" s="1">
        <v>2023</v>
      </c>
      <c r="G1431" t="s">
        <v>11</v>
      </c>
      <c r="H1431" s="2">
        <v>45139.456018518518</v>
      </c>
      <c r="I1431" s="9">
        <f t="shared" si="202"/>
        <v>45142</v>
      </c>
      <c r="J1431" s="2" t="str">
        <f t="shared" si="203"/>
        <v/>
      </c>
      <c r="L1431" s="2" t="str">
        <f t="shared" si="204"/>
        <v/>
      </c>
      <c r="N1431" s="10" t="str">
        <f t="shared" si="205"/>
        <v/>
      </c>
      <c r="O1431" s="2">
        <f t="shared" si="206"/>
        <v>45142</v>
      </c>
      <c r="P1431" s="2">
        <v>45147.448657407411</v>
      </c>
      <c r="Q1431" s="2">
        <f t="shared" si="207"/>
        <v>45148</v>
      </c>
      <c r="R1431" s="2">
        <v>45147.712187500001</v>
      </c>
      <c r="S1431">
        <f t="shared" si="208"/>
        <v>0</v>
      </c>
      <c r="T1431" s="2">
        <f t="shared" si="209"/>
        <v>45148</v>
      </c>
      <c r="U1431" t="str">
        <f t="shared" si="210"/>
        <v>NO PRAZO</v>
      </c>
    </row>
    <row r="1432" spans="1:21" hidden="1">
      <c r="A1432" s="1">
        <v>14184</v>
      </c>
      <c r="B1432" t="s">
        <v>20</v>
      </c>
      <c r="C1432" t="s">
        <v>13</v>
      </c>
      <c r="D1432" t="s">
        <v>18</v>
      </c>
      <c r="E1432" s="1">
        <v>2162</v>
      </c>
      <c r="F1432" s="1">
        <v>2023</v>
      </c>
      <c r="G1432" t="s">
        <v>11</v>
      </c>
      <c r="H1432" s="2">
        <v>45139.456018518518</v>
      </c>
      <c r="I1432" s="9">
        <f t="shared" si="202"/>
        <v>45142</v>
      </c>
      <c r="J1432" s="2" t="str">
        <f t="shared" si="203"/>
        <v/>
      </c>
      <c r="L1432" s="2" t="str">
        <f t="shared" si="204"/>
        <v/>
      </c>
      <c r="N1432" s="10" t="str">
        <f t="shared" si="205"/>
        <v/>
      </c>
      <c r="O1432" s="2">
        <f t="shared" si="206"/>
        <v>45142</v>
      </c>
      <c r="P1432" s="2">
        <v>45145.713240740741</v>
      </c>
      <c r="Q1432" s="2">
        <f t="shared" si="207"/>
        <v>45148</v>
      </c>
      <c r="R1432" s="2">
        <v>45145.714583333334</v>
      </c>
      <c r="S1432">
        <f t="shared" si="208"/>
        <v>0</v>
      </c>
      <c r="T1432" s="2">
        <f t="shared" si="209"/>
        <v>45148</v>
      </c>
      <c r="U1432" t="str">
        <f t="shared" si="210"/>
        <v>NO PRAZO</v>
      </c>
    </row>
    <row r="1433" spans="1:21" hidden="1">
      <c r="A1433" s="1">
        <v>14181</v>
      </c>
      <c r="B1433" t="s">
        <v>17</v>
      </c>
      <c r="C1433" t="s">
        <v>9</v>
      </c>
      <c r="D1433" t="s">
        <v>18</v>
      </c>
      <c r="E1433" s="1">
        <v>2159</v>
      </c>
      <c r="F1433" s="1">
        <v>2023</v>
      </c>
      <c r="G1433" t="s">
        <v>11</v>
      </c>
      <c r="H1433" s="2">
        <v>45139.414305555554</v>
      </c>
      <c r="I1433" s="9">
        <f t="shared" si="202"/>
        <v>45142</v>
      </c>
      <c r="J1433" s="2" t="str">
        <f t="shared" si="203"/>
        <v/>
      </c>
      <c r="L1433" s="2" t="str">
        <f t="shared" si="204"/>
        <v/>
      </c>
      <c r="N1433" s="10" t="str">
        <f t="shared" si="205"/>
        <v/>
      </c>
      <c r="O1433" s="2">
        <f t="shared" si="206"/>
        <v>45142</v>
      </c>
      <c r="P1433" s="2">
        <v>45145.430590277778</v>
      </c>
      <c r="Q1433" s="2">
        <f t="shared" si="207"/>
        <v>45148</v>
      </c>
      <c r="R1433" s="2">
        <v>45145.431250000001</v>
      </c>
      <c r="S1433">
        <f t="shared" si="208"/>
        <v>0</v>
      </c>
      <c r="T1433" s="2">
        <f t="shared" si="209"/>
        <v>45148</v>
      </c>
      <c r="U1433" t="str">
        <f t="shared" si="210"/>
        <v>NO PRAZO</v>
      </c>
    </row>
    <row r="1434" spans="1:21" hidden="1">
      <c r="A1434" s="1">
        <v>14180</v>
      </c>
      <c r="B1434" t="s">
        <v>20</v>
      </c>
      <c r="C1434" t="s">
        <v>13</v>
      </c>
      <c r="D1434" t="s">
        <v>18</v>
      </c>
      <c r="E1434" s="1">
        <v>2158</v>
      </c>
      <c r="F1434" s="1">
        <v>2023</v>
      </c>
      <c r="G1434" t="s">
        <v>11</v>
      </c>
      <c r="H1434" s="2">
        <v>45139.414305555554</v>
      </c>
      <c r="I1434" s="9">
        <f t="shared" si="202"/>
        <v>45142</v>
      </c>
      <c r="J1434" s="2" t="str">
        <f t="shared" si="203"/>
        <v/>
      </c>
      <c r="L1434" s="2" t="str">
        <f t="shared" si="204"/>
        <v/>
      </c>
      <c r="N1434" s="10" t="str">
        <f t="shared" si="205"/>
        <v/>
      </c>
      <c r="O1434" s="2">
        <f t="shared" si="206"/>
        <v>45142</v>
      </c>
      <c r="P1434" s="2">
        <v>45145.712372685186</v>
      </c>
      <c r="Q1434" s="2">
        <f t="shared" si="207"/>
        <v>45148</v>
      </c>
      <c r="R1434" s="2">
        <v>45145.712511574071</v>
      </c>
      <c r="S1434">
        <f t="shared" si="208"/>
        <v>0</v>
      </c>
      <c r="T1434" s="2">
        <f t="shared" si="209"/>
        <v>45148</v>
      </c>
      <c r="U1434" t="str">
        <f t="shared" si="210"/>
        <v>NO PRAZO</v>
      </c>
    </row>
    <row r="1435" spans="1:21" hidden="1">
      <c r="A1435" s="1">
        <v>14179</v>
      </c>
      <c r="B1435" t="s">
        <v>20</v>
      </c>
      <c r="C1435" t="s">
        <v>13</v>
      </c>
      <c r="D1435" t="s">
        <v>18</v>
      </c>
      <c r="E1435" s="1">
        <v>2157</v>
      </c>
      <c r="F1435" s="1">
        <v>2023</v>
      </c>
      <c r="G1435" t="s">
        <v>11</v>
      </c>
      <c r="H1435" s="2">
        <v>45139.414305555554</v>
      </c>
      <c r="I1435" s="9">
        <f t="shared" si="202"/>
        <v>45142</v>
      </c>
      <c r="J1435" s="2" t="str">
        <f t="shared" si="203"/>
        <v/>
      </c>
      <c r="L1435" s="2" t="str">
        <f t="shared" si="204"/>
        <v/>
      </c>
      <c r="N1435" s="10" t="str">
        <f t="shared" si="205"/>
        <v/>
      </c>
      <c r="O1435" s="2">
        <f t="shared" si="206"/>
        <v>45142</v>
      </c>
      <c r="P1435" s="2">
        <v>45145.710219907407</v>
      </c>
      <c r="Q1435" s="2">
        <f t="shared" si="207"/>
        <v>45148</v>
      </c>
      <c r="R1435" s="2">
        <v>45145.710543981484</v>
      </c>
      <c r="S1435">
        <f t="shared" si="208"/>
        <v>0</v>
      </c>
      <c r="T1435" s="2">
        <f t="shared" si="209"/>
        <v>45148</v>
      </c>
      <c r="U1435" t="str">
        <f t="shared" si="210"/>
        <v>NO PRAZO</v>
      </c>
    </row>
    <row r="1436" spans="1:21" hidden="1">
      <c r="A1436" s="1">
        <v>14171</v>
      </c>
      <c r="B1436" t="s">
        <v>20</v>
      </c>
      <c r="C1436" t="s">
        <v>13</v>
      </c>
      <c r="D1436" t="s">
        <v>18</v>
      </c>
      <c r="E1436" s="1">
        <v>2149</v>
      </c>
      <c r="F1436" s="1">
        <v>2023</v>
      </c>
      <c r="G1436" t="s">
        <v>11</v>
      </c>
      <c r="H1436" s="2">
        <v>45138.706099537034</v>
      </c>
      <c r="I1436" s="9">
        <f t="shared" si="202"/>
        <v>45141</v>
      </c>
      <c r="J1436" s="2" t="str">
        <f t="shared" si="203"/>
        <v/>
      </c>
      <c r="L1436" s="2" t="str">
        <f t="shared" si="204"/>
        <v/>
      </c>
      <c r="N1436" s="10" t="str">
        <f t="shared" si="205"/>
        <v/>
      </c>
      <c r="O1436" s="2">
        <f t="shared" si="206"/>
        <v>45141</v>
      </c>
      <c r="P1436" s="2">
        <v>45145.543854166666</v>
      </c>
      <c r="Q1436" s="2">
        <f t="shared" si="207"/>
        <v>45147</v>
      </c>
      <c r="R1436" s="2">
        <v>45145.544270833336</v>
      </c>
      <c r="S1436">
        <f t="shared" si="208"/>
        <v>0</v>
      </c>
      <c r="T1436" s="2">
        <f t="shared" si="209"/>
        <v>45147</v>
      </c>
      <c r="U1436" t="str">
        <f t="shared" si="210"/>
        <v>NO PRAZO</v>
      </c>
    </row>
    <row r="1437" spans="1:21">
      <c r="A1437" s="1">
        <v>14163</v>
      </c>
      <c r="B1437" t="s">
        <v>24</v>
      </c>
      <c r="C1437" t="s">
        <v>13</v>
      </c>
      <c r="D1437" t="s">
        <v>10</v>
      </c>
      <c r="E1437" s="1">
        <v>2141</v>
      </c>
      <c r="F1437" s="1">
        <v>2023</v>
      </c>
      <c r="G1437" t="s">
        <v>11</v>
      </c>
      <c r="H1437" s="2">
        <v>45138.414456018516</v>
      </c>
      <c r="I1437" s="9">
        <f t="shared" si="202"/>
        <v>45139</v>
      </c>
      <c r="J1437" s="2" t="str">
        <f t="shared" si="203"/>
        <v/>
      </c>
      <c r="L1437" s="2" t="str">
        <f t="shared" si="204"/>
        <v/>
      </c>
      <c r="N1437" s="10" t="str">
        <f t="shared" si="205"/>
        <v/>
      </c>
      <c r="O1437" s="2">
        <f t="shared" si="206"/>
        <v>45139</v>
      </c>
      <c r="P1437" s="2">
        <v>45145.368275462963</v>
      </c>
      <c r="Q1437" s="2">
        <f t="shared" si="207"/>
        <v>45140</v>
      </c>
      <c r="R1437" s="2">
        <v>45145.633171296293</v>
      </c>
      <c r="S1437">
        <f t="shared" si="208"/>
        <v>5</v>
      </c>
      <c r="T1437" s="2">
        <f t="shared" si="209"/>
        <v>45140</v>
      </c>
      <c r="U1437" t="str">
        <f t="shared" si="210"/>
        <v>ATRASO</v>
      </c>
    </row>
    <row r="1438" spans="1:21" hidden="1">
      <c r="A1438" s="1">
        <v>14161</v>
      </c>
      <c r="B1438" t="s">
        <v>17</v>
      </c>
      <c r="C1438" t="s">
        <v>9</v>
      </c>
      <c r="D1438" t="s">
        <v>18</v>
      </c>
      <c r="E1438" s="1">
        <v>2139</v>
      </c>
      <c r="F1438" s="1">
        <v>2023</v>
      </c>
      <c r="G1438" t="s">
        <v>11</v>
      </c>
      <c r="H1438" s="2">
        <v>45138.414456018516</v>
      </c>
      <c r="I1438" s="9">
        <f t="shared" si="202"/>
        <v>45141</v>
      </c>
      <c r="J1438" s="2" t="str">
        <f t="shared" si="203"/>
        <v/>
      </c>
      <c r="L1438" s="2" t="str">
        <f t="shared" si="204"/>
        <v/>
      </c>
      <c r="N1438" s="10" t="str">
        <f t="shared" si="205"/>
        <v/>
      </c>
      <c r="O1438" s="2">
        <f t="shared" si="206"/>
        <v>45141</v>
      </c>
      <c r="P1438" s="2">
        <v>45145.426423611112</v>
      </c>
      <c r="Q1438" s="2">
        <f t="shared" si="207"/>
        <v>45147</v>
      </c>
      <c r="R1438" s="2">
        <v>45145.427175925928</v>
      </c>
      <c r="S1438">
        <f t="shared" si="208"/>
        <v>0</v>
      </c>
      <c r="T1438" s="2">
        <f t="shared" si="209"/>
        <v>45147</v>
      </c>
      <c r="U1438" t="str">
        <f t="shared" si="210"/>
        <v>NO PRAZO</v>
      </c>
    </row>
    <row r="1439" spans="1:21" hidden="1">
      <c r="A1439" s="1">
        <v>14151</v>
      </c>
      <c r="B1439" t="s">
        <v>17</v>
      </c>
      <c r="C1439" t="s">
        <v>9</v>
      </c>
      <c r="D1439" t="s">
        <v>18</v>
      </c>
      <c r="E1439" s="1">
        <v>2129</v>
      </c>
      <c r="F1439" s="1">
        <v>2023</v>
      </c>
      <c r="G1439" t="s">
        <v>11</v>
      </c>
      <c r="H1439" s="2">
        <v>45135.456365740742</v>
      </c>
      <c r="I1439" s="9">
        <f t="shared" si="202"/>
        <v>45140</v>
      </c>
      <c r="J1439" s="2" t="str">
        <f t="shared" si="203"/>
        <v/>
      </c>
      <c r="L1439" s="2" t="str">
        <f t="shared" si="204"/>
        <v/>
      </c>
      <c r="N1439" s="10" t="str">
        <f t="shared" si="205"/>
        <v/>
      </c>
      <c r="O1439" s="2">
        <f t="shared" si="206"/>
        <v>45140</v>
      </c>
      <c r="P1439" s="2">
        <v>45142.698344907411</v>
      </c>
      <c r="Q1439" s="2">
        <f t="shared" si="207"/>
        <v>45146</v>
      </c>
      <c r="R1439" s="2">
        <v>45142.699108796296</v>
      </c>
      <c r="S1439">
        <f t="shared" si="208"/>
        <v>0</v>
      </c>
      <c r="T1439" s="2">
        <f t="shared" si="209"/>
        <v>45146</v>
      </c>
      <c r="U1439" t="str">
        <f t="shared" si="210"/>
        <v>NO PRAZO</v>
      </c>
    </row>
    <row r="1440" spans="1:21" hidden="1">
      <c r="A1440" s="1">
        <v>14150</v>
      </c>
      <c r="B1440" t="s">
        <v>12</v>
      </c>
      <c r="C1440" t="s">
        <v>9</v>
      </c>
      <c r="D1440" t="s">
        <v>10</v>
      </c>
      <c r="E1440" s="1">
        <v>2128</v>
      </c>
      <c r="F1440" s="1">
        <v>2023</v>
      </c>
      <c r="G1440" t="s">
        <v>11</v>
      </c>
      <c r="H1440" s="2">
        <v>45135.414710648147</v>
      </c>
      <c r="I1440" s="9">
        <f t="shared" si="202"/>
        <v>45138</v>
      </c>
      <c r="J1440" s="2" t="str">
        <f t="shared" si="203"/>
        <v/>
      </c>
      <c r="L1440" s="2" t="str">
        <f t="shared" si="204"/>
        <v/>
      </c>
      <c r="N1440" s="10" t="str">
        <f t="shared" si="205"/>
        <v/>
      </c>
      <c r="O1440" s="2">
        <f t="shared" si="206"/>
        <v>45138</v>
      </c>
      <c r="P1440" s="2">
        <v>45138.398043981484</v>
      </c>
      <c r="Q1440" s="2">
        <f t="shared" si="207"/>
        <v>45139</v>
      </c>
      <c r="R1440" s="2">
        <v>45138.398506944446</v>
      </c>
      <c r="S1440">
        <f t="shared" si="208"/>
        <v>0</v>
      </c>
      <c r="T1440" s="2">
        <f t="shared" si="209"/>
        <v>45139</v>
      </c>
      <c r="U1440" t="str">
        <f t="shared" si="210"/>
        <v>NO PRAZO</v>
      </c>
    </row>
    <row r="1441" spans="1:21" hidden="1">
      <c r="A1441" s="1">
        <v>14142</v>
      </c>
      <c r="B1441" t="s">
        <v>20</v>
      </c>
      <c r="C1441" t="s">
        <v>13</v>
      </c>
      <c r="D1441" t="s">
        <v>18</v>
      </c>
      <c r="E1441" s="1">
        <v>2120</v>
      </c>
      <c r="F1441" s="1">
        <v>2023</v>
      </c>
      <c r="G1441" t="s">
        <v>11</v>
      </c>
      <c r="H1441" s="2">
        <v>45134.66474537037</v>
      </c>
      <c r="I1441" s="9">
        <f t="shared" si="202"/>
        <v>45139</v>
      </c>
      <c r="J1441" s="2" t="str">
        <f t="shared" si="203"/>
        <v/>
      </c>
      <c r="L1441" s="2" t="str">
        <f t="shared" si="204"/>
        <v/>
      </c>
      <c r="N1441" s="10" t="str">
        <f t="shared" si="205"/>
        <v/>
      </c>
      <c r="O1441" s="2">
        <f t="shared" si="206"/>
        <v>45139</v>
      </c>
      <c r="P1441" s="2">
        <v>45139.354849537034</v>
      </c>
      <c r="Q1441" s="2">
        <f t="shared" si="207"/>
        <v>45145</v>
      </c>
      <c r="R1441" s="2">
        <v>45142.549456018518</v>
      </c>
      <c r="S1441">
        <f t="shared" si="208"/>
        <v>0</v>
      </c>
      <c r="T1441" s="2">
        <f t="shared" si="209"/>
        <v>45145</v>
      </c>
      <c r="U1441" t="str">
        <f t="shared" si="210"/>
        <v>NO PRAZO</v>
      </c>
    </row>
    <row r="1442" spans="1:21" hidden="1">
      <c r="A1442" s="1">
        <v>14131</v>
      </c>
      <c r="B1442" t="s">
        <v>20</v>
      </c>
      <c r="C1442" t="s">
        <v>13</v>
      </c>
      <c r="D1442" t="s">
        <v>18</v>
      </c>
      <c r="E1442" s="1">
        <v>2109</v>
      </c>
      <c r="F1442" s="1">
        <v>2023</v>
      </c>
      <c r="G1442" t="s">
        <v>11</v>
      </c>
      <c r="H1442" s="2">
        <v>45134.456469907411</v>
      </c>
      <c r="I1442" s="9">
        <f t="shared" si="202"/>
        <v>45139</v>
      </c>
      <c r="J1442" s="2" t="str">
        <f t="shared" si="203"/>
        <v/>
      </c>
      <c r="L1442" s="2" t="str">
        <f t="shared" si="204"/>
        <v/>
      </c>
      <c r="N1442" s="10" t="str">
        <f t="shared" si="205"/>
        <v/>
      </c>
      <c r="O1442" s="2">
        <f t="shared" si="206"/>
        <v>45139</v>
      </c>
      <c r="P1442" s="2">
        <v>45139.422881944447</v>
      </c>
      <c r="Q1442" s="2">
        <f t="shared" si="207"/>
        <v>45145</v>
      </c>
      <c r="R1442" s="2">
        <v>45140.661192129628</v>
      </c>
      <c r="S1442">
        <f t="shared" si="208"/>
        <v>0</v>
      </c>
      <c r="T1442" s="2">
        <f t="shared" si="209"/>
        <v>45145</v>
      </c>
      <c r="U1442" t="str">
        <f t="shared" si="210"/>
        <v>NO PRAZO</v>
      </c>
    </row>
    <row r="1443" spans="1:21">
      <c r="A1443" s="1">
        <v>14114</v>
      </c>
      <c r="B1443" t="s">
        <v>24</v>
      </c>
      <c r="C1443" t="s">
        <v>13</v>
      </c>
      <c r="D1443" t="s">
        <v>14</v>
      </c>
      <c r="E1443" s="1">
        <v>2092</v>
      </c>
      <c r="F1443" s="1">
        <v>2023</v>
      </c>
      <c r="G1443" t="s">
        <v>11</v>
      </c>
      <c r="H1443" s="2">
        <v>45133.581504629627</v>
      </c>
      <c r="I1443" s="9">
        <f t="shared" si="202"/>
        <v>45134</v>
      </c>
      <c r="J1443" s="2" t="str">
        <f t="shared" si="203"/>
        <v/>
      </c>
      <c r="L1443" s="2" t="str">
        <f t="shared" si="204"/>
        <v/>
      </c>
      <c r="N1443" s="10" t="str">
        <f t="shared" si="205"/>
        <v/>
      </c>
      <c r="O1443" s="2">
        <f t="shared" si="206"/>
        <v>45134</v>
      </c>
      <c r="P1443" s="2">
        <v>45147.599722222221</v>
      </c>
      <c r="Q1443" s="2">
        <f t="shared" si="207"/>
        <v>45135</v>
      </c>
      <c r="R1443" s="2">
        <v>45148.458067129628</v>
      </c>
      <c r="S1443">
        <f t="shared" si="208"/>
        <v>13</v>
      </c>
      <c r="T1443" s="2">
        <f t="shared" si="209"/>
        <v>45135</v>
      </c>
      <c r="U1443" t="str">
        <f t="shared" si="210"/>
        <v>ATRASO</v>
      </c>
    </row>
    <row r="1444" spans="1:21" hidden="1">
      <c r="A1444" s="1">
        <v>14113</v>
      </c>
      <c r="B1444" t="s">
        <v>17</v>
      </c>
      <c r="C1444" t="s">
        <v>9</v>
      </c>
      <c r="D1444" t="s">
        <v>10</v>
      </c>
      <c r="E1444" s="1">
        <v>2091</v>
      </c>
      <c r="F1444" s="1">
        <v>2023</v>
      </c>
      <c r="G1444" t="s">
        <v>11</v>
      </c>
      <c r="H1444" s="2">
        <v>45133.581504629627</v>
      </c>
      <c r="I1444" s="9">
        <f t="shared" si="202"/>
        <v>45134</v>
      </c>
      <c r="J1444" s="2" t="str">
        <f t="shared" si="203"/>
        <v/>
      </c>
      <c r="L1444" s="2" t="str">
        <f t="shared" si="204"/>
        <v/>
      </c>
      <c r="N1444" s="10" t="str">
        <f t="shared" si="205"/>
        <v/>
      </c>
      <c r="O1444" s="2">
        <f t="shared" si="206"/>
        <v>45134</v>
      </c>
      <c r="P1444" s="2">
        <v>45133.689085648148</v>
      </c>
      <c r="Q1444" s="2">
        <f t="shared" si="207"/>
        <v>45135</v>
      </c>
      <c r="R1444" s="2">
        <v>45133.692986111113</v>
      </c>
      <c r="S1444">
        <f t="shared" si="208"/>
        <v>0</v>
      </c>
      <c r="T1444" s="2">
        <f t="shared" si="209"/>
        <v>45135</v>
      </c>
      <c r="U1444" t="str">
        <f t="shared" si="210"/>
        <v>NO PRAZO</v>
      </c>
    </row>
    <row r="1445" spans="1:21" hidden="1">
      <c r="A1445" s="1">
        <v>14112</v>
      </c>
      <c r="B1445" t="s">
        <v>17</v>
      </c>
      <c r="C1445" t="s">
        <v>9</v>
      </c>
      <c r="D1445" t="s">
        <v>18</v>
      </c>
      <c r="E1445" s="1">
        <v>2090</v>
      </c>
      <c r="F1445" s="1">
        <v>2023</v>
      </c>
      <c r="G1445" t="s">
        <v>11</v>
      </c>
      <c r="H1445" s="2">
        <v>45133.498206018521</v>
      </c>
      <c r="I1445" s="9">
        <f t="shared" si="202"/>
        <v>45138</v>
      </c>
      <c r="J1445" s="2" t="str">
        <f t="shared" si="203"/>
        <v/>
      </c>
      <c r="L1445" s="2" t="str">
        <f t="shared" si="204"/>
        <v/>
      </c>
      <c r="N1445" s="10" t="str">
        <f t="shared" si="205"/>
        <v/>
      </c>
      <c r="O1445" s="2">
        <f t="shared" si="206"/>
        <v>45138</v>
      </c>
      <c r="P1445" s="2">
        <v>45133.509479166663</v>
      </c>
      <c r="Q1445" s="2">
        <f t="shared" si="207"/>
        <v>45142</v>
      </c>
      <c r="R1445" s="2">
        <v>45134.477500000001</v>
      </c>
      <c r="S1445">
        <f t="shared" si="208"/>
        <v>0</v>
      </c>
      <c r="T1445" s="2">
        <f t="shared" si="209"/>
        <v>45142</v>
      </c>
      <c r="U1445" t="str">
        <f t="shared" si="210"/>
        <v>NO PRAZO</v>
      </c>
    </row>
    <row r="1446" spans="1:21" hidden="1">
      <c r="A1446" s="1">
        <v>14100</v>
      </c>
      <c r="B1446" t="s">
        <v>17</v>
      </c>
      <c r="C1446" t="s">
        <v>9</v>
      </c>
      <c r="D1446" t="s">
        <v>18</v>
      </c>
      <c r="E1446" s="1">
        <v>2078</v>
      </c>
      <c r="F1446" s="1">
        <v>2023</v>
      </c>
      <c r="G1446" t="s">
        <v>11</v>
      </c>
      <c r="H1446" s="2">
        <v>45133.373194444444</v>
      </c>
      <c r="I1446" s="9">
        <f t="shared" si="202"/>
        <v>45138</v>
      </c>
      <c r="J1446" s="2" t="str">
        <f t="shared" si="203"/>
        <v/>
      </c>
      <c r="L1446" s="2" t="str">
        <f t="shared" si="204"/>
        <v/>
      </c>
      <c r="N1446" s="10" t="str">
        <f t="shared" si="205"/>
        <v/>
      </c>
      <c r="O1446" s="2">
        <f t="shared" si="206"/>
        <v>45138</v>
      </c>
      <c r="P1446" s="2">
        <v>45134.382106481484</v>
      </c>
      <c r="Q1446" s="2">
        <f t="shared" si="207"/>
        <v>45142</v>
      </c>
      <c r="R1446" s="2">
        <v>45134.477141203701</v>
      </c>
      <c r="S1446">
        <f t="shared" si="208"/>
        <v>0</v>
      </c>
      <c r="T1446" s="2">
        <f t="shared" si="209"/>
        <v>45142</v>
      </c>
      <c r="U1446" t="str">
        <f t="shared" si="210"/>
        <v>NO PRAZO</v>
      </c>
    </row>
    <row r="1447" spans="1:21" hidden="1">
      <c r="A1447" s="1">
        <v>14099</v>
      </c>
      <c r="B1447" t="s">
        <v>17</v>
      </c>
      <c r="C1447" t="s">
        <v>9</v>
      </c>
      <c r="D1447" t="s">
        <v>18</v>
      </c>
      <c r="E1447" s="1">
        <v>2077</v>
      </c>
      <c r="F1447" s="1">
        <v>2023</v>
      </c>
      <c r="G1447" t="s">
        <v>11</v>
      </c>
      <c r="H1447" s="2">
        <v>45133.373194444444</v>
      </c>
      <c r="I1447" s="9">
        <f t="shared" si="202"/>
        <v>45138</v>
      </c>
      <c r="J1447" s="2" t="str">
        <f t="shared" si="203"/>
        <v/>
      </c>
      <c r="L1447" s="2" t="str">
        <f t="shared" si="204"/>
        <v/>
      </c>
      <c r="N1447" s="10" t="str">
        <f t="shared" si="205"/>
        <v/>
      </c>
      <c r="O1447" s="2">
        <f t="shared" si="206"/>
        <v>45138</v>
      </c>
      <c r="P1447" s="2">
        <v>45133.5078125</v>
      </c>
      <c r="Q1447" s="2">
        <f t="shared" si="207"/>
        <v>45142</v>
      </c>
      <c r="R1447" s="2">
        <v>45134.476956018516</v>
      </c>
      <c r="S1447">
        <f t="shared" si="208"/>
        <v>0</v>
      </c>
      <c r="T1447" s="2">
        <f t="shared" si="209"/>
        <v>45142</v>
      </c>
      <c r="U1447" t="str">
        <f t="shared" si="210"/>
        <v>NO PRAZO</v>
      </c>
    </row>
    <row r="1448" spans="1:21" hidden="1">
      <c r="A1448" s="1">
        <v>14096</v>
      </c>
      <c r="B1448" t="s">
        <v>19</v>
      </c>
      <c r="C1448" t="s">
        <v>13</v>
      </c>
      <c r="D1448" t="s">
        <v>18</v>
      </c>
      <c r="E1448" s="1">
        <v>2074</v>
      </c>
      <c r="F1448" s="1">
        <v>2023</v>
      </c>
      <c r="G1448" t="s">
        <v>11</v>
      </c>
      <c r="H1448" s="2">
        <v>45132.706597222219</v>
      </c>
      <c r="I1448" s="9">
        <f t="shared" si="202"/>
        <v>45135</v>
      </c>
      <c r="J1448" s="2" t="str">
        <f t="shared" si="203"/>
        <v/>
      </c>
      <c r="L1448" s="2" t="str">
        <f t="shared" si="204"/>
        <v/>
      </c>
      <c r="N1448" s="10" t="str">
        <f t="shared" si="205"/>
        <v/>
      </c>
      <c r="O1448" s="2">
        <f t="shared" si="206"/>
        <v>45135</v>
      </c>
      <c r="P1448" s="2">
        <v>45133.4606712963</v>
      </c>
      <c r="Q1448" s="2">
        <f t="shared" si="207"/>
        <v>45141</v>
      </c>
      <c r="R1448" s="2">
        <v>45133.547986111109</v>
      </c>
      <c r="S1448">
        <f t="shared" si="208"/>
        <v>0</v>
      </c>
      <c r="T1448" s="2">
        <f t="shared" si="209"/>
        <v>45141</v>
      </c>
      <c r="U1448" t="str">
        <f t="shared" si="210"/>
        <v>NO PRAZO</v>
      </c>
    </row>
    <row r="1449" spans="1:21" hidden="1">
      <c r="A1449" s="1">
        <v>14093</v>
      </c>
      <c r="B1449" t="s">
        <v>20</v>
      </c>
      <c r="C1449" t="s">
        <v>13</v>
      </c>
      <c r="D1449" t="s">
        <v>18</v>
      </c>
      <c r="E1449" s="1">
        <v>2071</v>
      </c>
      <c r="F1449" s="1">
        <v>2023</v>
      </c>
      <c r="G1449" t="s">
        <v>11</v>
      </c>
      <c r="H1449" s="2">
        <v>45132.664930555555</v>
      </c>
      <c r="I1449" s="9">
        <f t="shared" si="202"/>
        <v>45135</v>
      </c>
      <c r="J1449" s="2" t="str">
        <f t="shared" si="203"/>
        <v/>
      </c>
      <c r="L1449" s="2" t="str">
        <f t="shared" si="204"/>
        <v/>
      </c>
      <c r="N1449" s="10" t="str">
        <f t="shared" si="205"/>
        <v/>
      </c>
      <c r="O1449" s="2">
        <f t="shared" si="206"/>
        <v>45135</v>
      </c>
      <c r="P1449" s="2">
        <v>45138.470925925925</v>
      </c>
      <c r="Q1449" s="2">
        <f t="shared" si="207"/>
        <v>45141</v>
      </c>
      <c r="R1449" s="2">
        <v>45138.473645833335</v>
      </c>
      <c r="S1449">
        <f t="shared" si="208"/>
        <v>0</v>
      </c>
      <c r="T1449" s="2">
        <f t="shared" si="209"/>
        <v>45141</v>
      </c>
      <c r="U1449" t="str">
        <f t="shared" si="210"/>
        <v>NO PRAZO</v>
      </c>
    </row>
    <row r="1450" spans="1:21">
      <c r="A1450" s="1">
        <v>14086</v>
      </c>
      <c r="B1450" t="s">
        <v>22</v>
      </c>
      <c r="C1450" t="s">
        <v>13</v>
      </c>
      <c r="D1450" t="s">
        <v>14</v>
      </c>
      <c r="E1450" s="1">
        <v>2064</v>
      </c>
      <c r="F1450" s="1">
        <v>2023</v>
      </c>
      <c r="G1450" t="s">
        <v>11</v>
      </c>
      <c r="H1450" s="2">
        <v>45132.581608796296</v>
      </c>
      <c r="I1450" s="9">
        <f t="shared" si="202"/>
        <v>45133</v>
      </c>
      <c r="J1450" s="2" t="str">
        <f t="shared" si="203"/>
        <v/>
      </c>
      <c r="L1450" s="2" t="str">
        <f t="shared" si="204"/>
        <v/>
      </c>
      <c r="N1450" s="10" t="str">
        <f t="shared" si="205"/>
        <v/>
      </c>
      <c r="O1450" s="2">
        <f t="shared" si="206"/>
        <v>45133</v>
      </c>
      <c r="P1450" s="2">
        <v>45147.598726851851</v>
      </c>
      <c r="Q1450" s="2">
        <f t="shared" si="207"/>
        <v>45134</v>
      </c>
      <c r="R1450" s="2">
        <v>45148.457407407404</v>
      </c>
      <c r="S1450">
        <f t="shared" si="208"/>
        <v>14</v>
      </c>
      <c r="T1450" s="2">
        <f t="shared" si="209"/>
        <v>45134</v>
      </c>
      <c r="U1450" t="str">
        <f t="shared" si="210"/>
        <v>ATRASO</v>
      </c>
    </row>
    <row r="1451" spans="1:21" hidden="1">
      <c r="A1451" s="1">
        <v>14080</v>
      </c>
      <c r="B1451" t="s">
        <v>23</v>
      </c>
      <c r="C1451" t="s">
        <v>13</v>
      </c>
      <c r="D1451" t="s">
        <v>18</v>
      </c>
      <c r="E1451" s="1">
        <v>2058</v>
      </c>
      <c r="F1451" s="1">
        <v>2023</v>
      </c>
      <c r="G1451" t="s">
        <v>11</v>
      </c>
      <c r="H1451" s="2">
        <v>45132.49827546296</v>
      </c>
      <c r="I1451" s="9">
        <f t="shared" si="202"/>
        <v>45135</v>
      </c>
      <c r="J1451" s="2" t="str">
        <f t="shared" si="203"/>
        <v/>
      </c>
      <c r="L1451" s="2" t="str">
        <f t="shared" si="204"/>
        <v/>
      </c>
      <c r="N1451" s="10" t="str">
        <f t="shared" si="205"/>
        <v/>
      </c>
      <c r="O1451" s="2">
        <f t="shared" si="206"/>
        <v>45135</v>
      </c>
      <c r="P1451" s="2">
        <v>45134.847824074073</v>
      </c>
      <c r="Q1451" s="2">
        <f t="shared" si="207"/>
        <v>45141</v>
      </c>
      <c r="R1451" s="2">
        <v>45140.431296296294</v>
      </c>
      <c r="S1451">
        <f t="shared" si="208"/>
        <v>0</v>
      </c>
      <c r="T1451" s="2">
        <f t="shared" si="209"/>
        <v>45141</v>
      </c>
      <c r="U1451" t="str">
        <f t="shared" si="210"/>
        <v>NO PRAZO</v>
      </c>
    </row>
    <row r="1452" spans="1:21" hidden="1">
      <c r="A1452" s="1">
        <v>14077</v>
      </c>
      <c r="B1452" t="s">
        <v>20</v>
      </c>
      <c r="C1452" t="s">
        <v>13</v>
      </c>
      <c r="D1452" t="s">
        <v>18</v>
      </c>
      <c r="E1452" s="1">
        <v>2055</v>
      </c>
      <c r="F1452" s="1">
        <v>2023</v>
      </c>
      <c r="G1452" t="s">
        <v>11</v>
      </c>
      <c r="H1452" s="2">
        <v>45132.49827546296</v>
      </c>
      <c r="I1452" s="9">
        <f t="shared" si="202"/>
        <v>45135</v>
      </c>
      <c r="J1452" s="2" t="str">
        <f t="shared" si="203"/>
        <v/>
      </c>
      <c r="L1452" s="2" t="str">
        <f t="shared" si="204"/>
        <v/>
      </c>
      <c r="N1452" s="10" t="str">
        <f t="shared" si="205"/>
        <v/>
      </c>
      <c r="O1452" s="2">
        <f t="shared" si="206"/>
        <v>45135</v>
      </c>
      <c r="P1452" s="2">
        <v>45134.714270833334</v>
      </c>
      <c r="Q1452" s="2">
        <f t="shared" si="207"/>
        <v>45141</v>
      </c>
      <c r="R1452" s="2">
        <v>45134.71465277778</v>
      </c>
      <c r="S1452">
        <f t="shared" si="208"/>
        <v>0</v>
      </c>
      <c r="T1452" s="2">
        <f t="shared" si="209"/>
        <v>45141</v>
      </c>
      <c r="U1452" t="str">
        <f t="shared" si="210"/>
        <v>NO PRAZO</v>
      </c>
    </row>
    <row r="1453" spans="1:21" hidden="1">
      <c r="A1453" s="1">
        <v>14076</v>
      </c>
      <c r="B1453" t="s">
        <v>20</v>
      </c>
      <c r="C1453" t="s">
        <v>13</v>
      </c>
      <c r="D1453" t="s">
        <v>18</v>
      </c>
      <c r="E1453" s="1">
        <v>2054</v>
      </c>
      <c r="F1453" s="1">
        <v>2023</v>
      </c>
      <c r="G1453" t="s">
        <v>11</v>
      </c>
      <c r="H1453" s="2">
        <v>45132.49827546296</v>
      </c>
      <c r="I1453" s="9">
        <f t="shared" si="202"/>
        <v>45135</v>
      </c>
      <c r="J1453" s="2" t="str">
        <f t="shared" si="203"/>
        <v/>
      </c>
      <c r="L1453" s="2" t="str">
        <f t="shared" si="204"/>
        <v/>
      </c>
      <c r="N1453" s="10" t="str">
        <f t="shared" si="205"/>
        <v/>
      </c>
      <c r="O1453" s="2">
        <f t="shared" si="206"/>
        <v>45135</v>
      </c>
      <c r="P1453" s="2">
        <v>45134.713541666664</v>
      </c>
      <c r="Q1453" s="2">
        <f t="shared" si="207"/>
        <v>45141</v>
      </c>
      <c r="R1453" s="2">
        <v>45134.713923611111</v>
      </c>
      <c r="S1453">
        <f t="shared" si="208"/>
        <v>0</v>
      </c>
      <c r="T1453" s="2">
        <f t="shared" si="209"/>
        <v>45141</v>
      </c>
      <c r="U1453" t="str">
        <f t="shared" si="210"/>
        <v>NO PRAZO</v>
      </c>
    </row>
    <row r="1454" spans="1:21" hidden="1">
      <c r="A1454" s="1">
        <v>14064</v>
      </c>
      <c r="B1454" t="s">
        <v>19</v>
      </c>
      <c r="C1454" t="s">
        <v>13</v>
      </c>
      <c r="D1454" t="s">
        <v>10</v>
      </c>
      <c r="E1454" s="1">
        <v>2042</v>
      </c>
      <c r="F1454" s="1">
        <v>2023</v>
      </c>
      <c r="G1454" t="s">
        <v>11</v>
      </c>
      <c r="H1454" s="2">
        <v>45131.665034722224</v>
      </c>
      <c r="I1454" s="9">
        <f t="shared" si="202"/>
        <v>45132</v>
      </c>
      <c r="J1454" s="2" t="str">
        <f t="shared" si="203"/>
        <v/>
      </c>
      <c r="L1454" s="2" t="str">
        <f t="shared" si="204"/>
        <v/>
      </c>
      <c r="N1454" s="10" t="str">
        <f t="shared" si="205"/>
        <v/>
      </c>
      <c r="O1454" s="2">
        <f t="shared" si="206"/>
        <v>45132</v>
      </c>
      <c r="P1454" s="2">
        <v>45133.564583333333</v>
      </c>
      <c r="Q1454" s="2">
        <f t="shared" si="207"/>
        <v>45133</v>
      </c>
      <c r="R1454" s="2">
        <v>45133.764004629629</v>
      </c>
      <c r="S1454">
        <f t="shared" si="208"/>
        <v>0</v>
      </c>
      <c r="T1454" s="2">
        <f t="shared" si="209"/>
        <v>45133</v>
      </c>
      <c r="U1454" t="str">
        <f t="shared" si="210"/>
        <v>NO PRAZO</v>
      </c>
    </row>
    <row r="1455" spans="1:21">
      <c r="A1455" s="1">
        <v>14063</v>
      </c>
      <c r="B1455" t="s">
        <v>24</v>
      </c>
      <c r="C1455" t="s">
        <v>13</v>
      </c>
      <c r="D1455" t="s">
        <v>14</v>
      </c>
      <c r="E1455" s="1">
        <v>2041</v>
      </c>
      <c r="F1455" s="1">
        <v>2023</v>
      </c>
      <c r="G1455" t="s">
        <v>11</v>
      </c>
      <c r="H1455" s="2">
        <v>45131.623368055552</v>
      </c>
      <c r="I1455" s="9">
        <f t="shared" si="202"/>
        <v>45132</v>
      </c>
      <c r="J1455" s="2" t="str">
        <f t="shared" si="203"/>
        <v/>
      </c>
      <c r="L1455" s="2" t="str">
        <f t="shared" si="204"/>
        <v/>
      </c>
      <c r="N1455" s="10" t="str">
        <f t="shared" si="205"/>
        <v/>
      </c>
      <c r="O1455" s="2">
        <f t="shared" si="206"/>
        <v>45132</v>
      </c>
      <c r="P1455" s="2">
        <v>45147.596817129626</v>
      </c>
      <c r="Q1455" s="2">
        <f t="shared" si="207"/>
        <v>45133</v>
      </c>
      <c r="R1455" s="2">
        <v>45148.456585648149</v>
      </c>
      <c r="S1455">
        <f t="shared" si="208"/>
        <v>15</v>
      </c>
      <c r="T1455" s="2">
        <f t="shared" si="209"/>
        <v>45133</v>
      </c>
      <c r="U1455" t="str">
        <f t="shared" si="210"/>
        <v>ATRASO</v>
      </c>
    </row>
    <row r="1456" spans="1:21" hidden="1">
      <c r="A1456" s="1">
        <v>14055</v>
      </c>
      <c r="B1456" t="s">
        <v>19</v>
      </c>
      <c r="C1456" t="s">
        <v>9</v>
      </c>
      <c r="D1456" t="s">
        <v>18</v>
      </c>
      <c r="E1456" s="1">
        <v>2033</v>
      </c>
      <c r="F1456" s="1">
        <v>2023</v>
      </c>
      <c r="G1456" t="s">
        <v>11</v>
      </c>
      <c r="H1456" s="2">
        <v>45131.581689814811</v>
      </c>
      <c r="I1456" s="9">
        <f t="shared" si="202"/>
        <v>45134</v>
      </c>
      <c r="J1456" s="2" t="str">
        <f t="shared" si="203"/>
        <v/>
      </c>
      <c r="L1456" s="2" t="str">
        <f t="shared" si="204"/>
        <v/>
      </c>
      <c r="N1456" s="10" t="str">
        <f t="shared" si="205"/>
        <v/>
      </c>
      <c r="O1456" s="2">
        <f t="shared" si="206"/>
        <v>45134</v>
      </c>
      <c r="P1456" s="2">
        <v>45133.727743055555</v>
      </c>
      <c r="Q1456" s="2">
        <f t="shared" si="207"/>
        <v>45140</v>
      </c>
      <c r="R1456" s="2">
        <v>45133.728275462963</v>
      </c>
      <c r="S1456">
        <f t="shared" si="208"/>
        <v>0</v>
      </c>
      <c r="T1456" s="2">
        <f t="shared" si="209"/>
        <v>45140</v>
      </c>
      <c r="U1456" t="str">
        <f t="shared" si="210"/>
        <v>NO PRAZO</v>
      </c>
    </row>
    <row r="1457" spans="1:21">
      <c r="A1457" s="1">
        <v>14041</v>
      </c>
      <c r="B1457" t="s">
        <v>22</v>
      </c>
      <c r="C1457" t="s">
        <v>9</v>
      </c>
      <c r="D1457" t="s">
        <v>14</v>
      </c>
      <c r="E1457" s="1">
        <v>2019</v>
      </c>
      <c r="F1457" s="1">
        <v>2023</v>
      </c>
      <c r="G1457" t="s">
        <v>11</v>
      </c>
      <c r="H1457" s="2">
        <v>45128.581759259258</v>
      </c>
      <c r="I1457" s="9">
        <f t="shared" si="202"/>
        <v>45131</v>
      </c>
      <c r="J1457" s="2" t="str">
        <f t="shared" si="203"/>
        <v/>
      </c>
      <c r="L1457" s="2" t="str">
        <f t="shared" si="204"/>
        <v/>
      </c>
      <c r="N1457" s="10" t="str">
        <f t="shared" si="205"/>
        <v/>
      </c>
      <c r="O1457" s="2">
        <f t="shared" si="206"/>
        <v>45131</v>
      </c>
      <c r="P1457" s="2">
        <v>45147.596342592595</v>
      </c>
      <c r="Q1457" s="2">
        <f t="shared" si="207"/>
        <v>45132</v>
      </c>
      <c r="R1457" s="2">
        <v>45148.455960648149</v>
      </c>
      <c r="S1457">
        <f t="shared" si="208"/>
        <v>16</v>
      </c>
      <c r="T1457" s="2">
        <f t="shared" si="209"/>
        <v>45132</v>
      </c>
      <c r="U1457" t="str">
        <f t="shared" si="210"/>
        <v>ATRASO</v>
      </c>
    </row>
    <row r="1458" spans="1:21" hidden="1">
      <c r="A1458" s="1">
        <v>14040</v>
      </c>
      <c r="B1458" t="s">
        <v>20</v>
      </c>
      <c r="C1458" t="s">
        <v>13</v>
      </c>
      <c r="D1458" t="s">
        <v>18</v>
      </c>
      <c r="E1458" s="1">
        <v>2018</v>
      </c>
      <c r="F1458" s="1">
        <v>2023</v>
      </c>
      <c r="G1458" t="s">
        <v>11</v>
      </c>
      <c r="H1458" s="2">
        <v>45128.498425925929</v>
      </c>
      <c r="I1458" s="9">
        <f t="shared" si="202"/>
        <v>45133</v>
      </c>
      <c r="J1458" s="2" t="str">
        <f t="shared" si="203"/>
        <v/>
      </c>
      <c r="L1458" s="2" t="str">
        <f t="shared" si="204"/>
        <v/>
      </c>
      <c r="N1458" s="10" t="str">
        <f t="shared" si="205"/>
        <v/>
      </c>
      <c r="O1458" s="2">
        <f t="shared" si="206"/>
        <v>45133</v>
      </c>
      <c r="P1458" s="2">
        <v>45135.705069444448</v>
      </c>
      <c r="Q1458" s="2">
        <f t="shared" si="207"/>
        <v>45139</v>
      </c>
      <c r="R1458" s="2">
        <v>45135.706469907411</v>
      </c>
      <c r="S1458">
        <f t="shared" si="208"/>
        <v>0</v>
      </c>
      <c r="T1458" s="2">
        <f t="shared" si="209"/>
        <v>45139</v>
      </c>
      <c r="U1458" t="str">
        <f t="shared" si="210"/>
        <v>NO PRAZO</v>
      </c>
    </row>
    <row r="1459" spans="1:21" hidden="1">
      <c r="A1459" s="1">
        <v>14039</v>
      </c>
      <c r="B1459" t="s">
        <v>17</v>
      </c>
      <c r="C1459" t="s">
        <v>9</v>
      </c>
      <c r="D1459" t="s">
        <v>18</v>
      </c>
      <c r="E1459" s="1">
        <v>2017</v>
      </c>
      <c r="F1459" s="1">
        <v>2023</v>
      </c>
      <c r="G1459" t="s">
        <v>11</v>
      </c>
      <c r="H1459" s="2">
        <v>45128.456770833334</v>
      </c>
      <c r="I1459" s="9">
        <f t="shared" si="202"/>
        <v>45133</v>
      </c>
      <c r="J1459" s="2" t="str">
        <f t="shared" si="203"/>
        <v/>
      </c>
      <c r="L1459" s="2" t="str">
        <f t="shared" si="204"/>
        <v/>
      </c>
      <c r="N1459" s="10" t="str">
        <f t="shared" si="205"/>
        <v/>
      </c>
      <c r="O1459" s="2">
        <f t="shared" si="206"/>
        <v>45133</v>
      </c>
      <c r="P1459" s="2">
        <v>45135.672372685185</v>
      </c>
      <c r="Q1459" s="2">
        <f t="shared" si="207"/>
        <v>45139</v>
      </c>
      <c r="R1459" s="2">
        <v>45135.673078703701</v>
      </c>
      <c r="S1459">
        <f t="shared" si="208"/>
        <v>0</v>
      </c>
      <c r="T1459" s="2">
        <f t="shared" si="209"/>
        <v>45139</v>
      </c>
      <c r="U1459" t="str">
        <f t="shared" si="210"/>
        <v>NO PRAZO</v>
      </c>
    </row>
    <row r="1460" spans="1:21" hidden="1">
      <c r="A1460" s="1">
        <v>14035</v>
      </c>
      <c r="B1460" t="s">
        <v>12</v>
      </c>
      <c r="C1460" t="s">
        <v>13</v>
      </c>
      <c r="D1460" t="s">
        <v>18</v>
      </c>
      <c r="E1460" s="1">
        <v>2013</v>
      </c>
      <c r="F1460" s="1">
        <v>2023</v>
      </c>
      <c r="G1460" t="s">
        <v>11</v>
      </c>
      <c r="H1460" s="2">
        <v>45128.415092592593</v>
      </c>
      <c r="I1460" s="9">
        <f t="shared" si="202"/>
        <v>45133</v>
      </c>
      <c r="J1460" s="2" t="str">
        <f t="shared" si="203"/>
        <v/>
      </c>
      <c r="L1460" s="2" t="str">
        <f t="shared" si="204"/>
        <v/>
      </c>
      <c r="N1460" s="10" t="str">
        <f t="shared" si="205"/>
        <v/>
      </c>
      <c r="O1460" s="2">
        <f t="shared" si="206"/>
        <v>45133</v>
      </c>
      <c r="P1460" s="2">
        <v>45132.642048611109</v>
      </c>
      <c r="Q1460" s="2">
        <f t="shared" si="207"/>
        <v>45139</v>
      </c>
      <c r="R1460" s="2">
        <v>45132.642951388887</v>
      </c>
      <c r="S1460">
        <f t="shared" si="208"/>
        <v>0</v>
      </c>
      <c r="T1460" s="2">
        <f t="shared" si="209"/>
        <v>45139</v>
      </c>
      <c r="U1460" t="str">
        <f t="shared" si="210"/>
        <v>NO PRAZO</v>
      </c>
    </row>
    <row r="1461" spans="1:21">
      <c r="A1461" s="1">
        <v>14033</v>
      </c>
      <c r="B1461" t="s">
        <v>24</v>
      </c>
      <c r="C1461" t="s">
        <v>13</v>
      </c>
      <c r="D1461" t="s">
        <v>10</v>
      </c>
      <c r="E1461" s="1">
        <v>2011</v>
      </c>
      <c r="F1461" s="1">
        <v>2023</v>
      </c>
      <c r="G1461" t="s">
        <v>11</v>
      </c>
      <c r="H1461" s="2">
        <v>45128.373437499999</v>
      </c>
      <c r="I1461" s="9">
        <f t="shared" si="202"/>
        <v>45131</v>
      </c>
      <c r="J1461" s="2" t="str">
        <f t="shared" si="203"/>
        <v/>
      </c>
      <c r="L1461" s="2" t="str">
        <f t="shared" si="204"/>
        <v/>
      </c>
      <c r="N1461" s="10" t="str">
        <f t="shared" si="205"/>
        <v/>
      </c>
      <c r="O1461" s="2">
        <f t="shared" si="206"/>
        <v>45131</v>
      </c>
      <c r="P1461" s="2">
        <v>45142.431898148148</v>
      </c>
      <c r="Q1461" s="2">
        <f t="shared" si="207"/>
        <v>45132</v>
      </c>
      <c r="R1461" s="2">
        <v>45142.453113425923</v>
      </c>
      <c r="S1461">
        <f t="shared" si="208"/>
        <v>10</v>
      </c>
      <c r="T1461" s="2">
        <f t="shared" si="209"/>
        <v>45132</v>
      </c>
      <c r="U1461" t="str">
        <f t="shared" si="210"/>
        <v>ATRASO</v>
      </c>
    </row>
    <row r="1462" spans="1:21" hidden="1">
      <c r="A1462" s="1">
        <v>14028</v>
      </c>
      <c r="B1462" t="s">
        <v>20</v>
      </c>
      <c r="C1462" t="s">
        <v>13</v>
      </c>
      <c r="D1462" t="s">
        <v>10</v>
      </c>
      <c r="E1462" s="1">
        <v>2006</v>
      </c>
      <c r="F1462" s="1">
        <v>2023</v>
      </c>
      <c r="G1462" t="s">
        <v>11</v>
      </c>
      <c r="H1462" s="2">
        <v>45127.581828703704</v>
      </c>
      <c r="I1462" s="9">
        <f t="shared" si="202"/>
        <v>45128</v>
      </c>
      <c r="J1462" s="2" t="str">
        <f t="shared" si="203"/>
        <v/>
      </c>
      <c r="L1462" s="2" t="str">
        <f t="shared" si="204"/>
        <v/>
      </c>
      <c r="N1462" s="10" t="str">
        <f t="shared" si="205"/>
        <v/>
      </c>
      <c r="O1462" s="2">
        <f t="shared" si="206"/>
        <v>45128</v>
      </c>
      <c r="P1462" s="2">
        <v>45127.632673611108</v>
      </c>
      <c r="Q1462" s="2">
        <f t="shared" si="207"/>
        <v>45131</v>
      </c>
      <c r="R1462" s="2">
        <v>45127.649525462963</v>
      </c>
      <c r="S1462">
        <f t="shared" si="208"/>
        <v>0</v>
      </c>
      <c r="T1462" s="2">
        <f t="shared" si="209"/>
        <v>45131</v>
      </c>
      <c r="U1462" t="str">
        <f t="shared" si="210"/>
        <v>NO PRAZO</v>
      </c>
    </row>
    <row r="1463" spans="1:21" hidden="1">
      <c r="A1463" s="1">
        <v>14025</v>
      </c>
      <c r="B1463" t="s">
        <v>17</v>
      </c>
      <c r="C1463" t="s">
        <v>9</v>
      </c>
      <c r="D1463" t="s">
        <v>18</v>
      </c>
      <c r="E1463" s="1">
        <v>2003</v>
      </c>
      <c r="F1463" s="1">
        <v>2023</v>
      </c>
      <c r="G1463" t="s">
        <v>11</v>
      </c>
      <c r="H1463" s="2">
        <v>45127.498472222222</v>
      </c>
      <c r="I1463" s="9">
        <f t="shared" si="202"/>
        <v>45132</v>
      </c>
      <c r="J1463" s="2" t="str">
        <f t="shared" si="203"/>
        <v/>
      </c>
      <c r="L1463" s="2" t="str">
        <f t="shared" si="204"/>
        <v/>
      </c>
      <c r="N1463" s="10" t="str">
        <f t="shared" si="205"/>
        <v/>
      </c>
      <c r="O1463" s="2">
        <f t="shared" si="206"/>
        <v>45132</v>
      </c>
      <c r="P1463" s="2">
        <v>45132.638831018521</v>
      </c>
      <c r="Q1463" s="2">
        <f t="shared" si="207"/>
        <v>45138</v>
      </c>
      <c r="R1463" s="2">
        <v>45132.639525462961</v>
      </c>
      <c r="S1463">
        <f t="shared" si="208"/>
        <v>0</v>
      </c>
      <c r="T1463" s="2">
        <f t="shared" si="209"/>
        <v>45138</v>
      </c>
      <c r="U1463" t="str">
        <f t="shared" si="210"/>
        <v>NO PRAZO</v>
      </c>
    </row>
    <row r="1464" spans="1:21">
      <c r="A1464" s="1">
        <v>14012</v>
      </c>
      <c r="B1464" t="s">
        <v>22</v>
      </c>
      <c r="C1464" t="s">
        <v>13</v>
      </c>
      <c r="D1464" t="s">
        <v>14</v>
      </c>
      <c r="E1464" s="1">
        <v>1990</v>
      </c>
      <c r="F1464" s="1">
        <v>2023</v>
      </c>
      <c r="G1464" t="s">
        <v>11</v>
      </c>
      <c r="H1464" s="2">
        <v>45126.581956018519</v>
      </c>
      <c r="I1464" s="9">
        <f t="shared" si="202"/>
        <v>45127</v>
      </c>
      <c r="J1464" s="2" t="str">
        <f t="shared" si="203"/>
        <v/>
      </c>
      <c r="L1464" s="2" t="str">
        <f t="shared" si="204"/>
        <v/>
      </c>
      <c r="N1464" s="10" t="str">
        <f t="shared" si="205"/>
        <v/>
      </c>
      <c r="O1464" s="2">
        <f t="shared" si="206"/>
        <v>45127</v>
      </c>
      <c r="P1464" s="2">
        <v>45131.626932870371</v>
      </c>
      <c r="Q1464" s="2">
        <f t="shared" si="207"/>
        <v>45128</v>
      </c>
      <c r="R1464" s="2">
        <v>45131.652800925927</v>
      </c>
      <c r="S1464">
        <f t="shared" si="208"/>
        <v>3</v>
      </c>
      <c r="T1464" s="2">
        <f t="shared" si="209"/>
        <v>45128</v>
      </c>
      <c r="U1464" t="str">
        <f t="shared" si="210"/>
        <v>ATRASO</v>
      </c>
    </row>
    <row r="1465" spans="1:21" hidden="1">
      <c r="A1465" s="1">
        <v>14010</v>
      </c>
      <c r="B1465" t="s">
        <v>24</v>
      </c>
      <c r="C1465" t="s">
        <v>13</v>
      </c>
      <c r="D1465" t="s">
        <v>14</v>
      </c>
      <c r="E1465" s="1">
        <v>1988</v>
      </c>
      <c r="F1465" s="1">
        <v>2023</v>
      </c>
      <c r="G1465" t="s">
        <v>11</v>
      </c>
      <c r="H1465" s="2">
        <v>45126.581956018519</v>
      </c>
      <c r="I1465" s="9">
        <f t="shared" si="202"/>
        <v>45127</v>
      </c>
      <c r="J1465" s="2" t="str">
        <f t="shared" si="203"/>
        <v/>
      </c>
      <c r="L1465" s="2" t="str">
        <f t="shared" si="204"/>
        <v/>
      </c>
      <c r="N1465" s="10" t="str">
        <f t="shared" si="205"/>
        <v/>
      </c>
      <c r="O1465" s="2">
        <f t="shared" si="206"/>
        <v>45127</v>
      </c>
      <c r="P1465" s="2">
        <v>45127.608090277776</v>
      </c>
      <c r="Q1465" s="2">
        <f t="shared" si="207"/>
        <v>45128</v>
      </c>
      <c r="R1465" s="2">
        <v>45127.684849537036</v>
      </c>
      <c r="S1465">
        <f t="shared" si="208"/>
        <v>0</v>
      </c>
      <c r="T1465" s="2">
        <f t="shared" si="209"/>
        <v>45128</v>
      </c>
      <c r="U1465" t="str">
        <f t="shared" si="210"/>
        <v>NO PRAZO</v>
      </c>
    </row>
    <row r="1466" spans="1:21" hidden="1">
      <c r="A1466" s="1">
        <v>14002</v>
      </c>
      <c r="B1466" t="s">
        <v>17</v>
      </c>
      <c r="C1466" t="s">
        <v>9</v>
      </c>
      <c r="D1466" t="s">
        <v>18</v>
      </c>
      <c r="E1466" s="1">
        <v>1980</v>
      </c>
      <c r="F1466" s="1">
        <v>2023</v>
      </c>
      <c r="G1466" t="s">
        <v>11</v>
      </c>
      <c r="H1466" s="2">
        <v>45126.37363425926</v>
      </c>
      <c r="I1466" s="9">
        <f t="shared" si="202"/>
        <v>45131</v>
      </c>
      <c r="J1466" s="2" t="str">
        <f t="shared" si="203"/>
        <v/>
      </c>
      <c r="L1466" s="2" t="str">
        <f t="shared" si="204"/>
        <v/>
      </c>
      <c r="N1466" s="10" t="str">
        <f t="shared" si="205"/>
        <v/>
      </c>
      <c r="O1466" s="2">
        <f t="shared" si="206"/>
        <v>45131</v>
      </c>
      <c r="P1466" s="2">
        <v>45127.657187500001</v>
      </c>
      <c r="Q1466" s="2">
        <f t="shared" si="207"/>
        <v>45135</v>
      </c>
      <c r="R1466" s="2">
        <v>45127.658090277779</v>
      </c>
      <c r="S1466">
        <f t="shared" si="208"/>
        <v>0</v>
      </c>
      <c r="T1466" s="2">
        <f t="shared" si="209"/>
        <v>45135</v>
      </c>
      <c r="U1466" t="str">
        <f t="shared" si="210"/>
        <v>NO PRAZO</v>
      </c>
    </row>
    <row r="1467" spans="1:21" hidden="1">
      <c r="A1467" s="1">
        <v>13996</v>
      </c>
      <c r="B1467" t="s">
        <v>8</v>
      </c>
      <c r="C1467" t="s">
        <v>9</v>
      </c>
      <c r="D1467" t="s">
        <v>18</v>
      </c>
      <c r="E1467" s="1">
        <v>1974</v>
      </c>
      <c r="F1467" s="1">
        <v>2023</v>
      </c>
      <c r="G1467" t="s">
        <v>11</v>
      </c>
      <c r="H1467" s="2">
        <v>45125.623715277776</v>
      </c>
      <c r="I1467" s="9">
        <f t="shared" si="202"/>
        <v>45128</v>
      </c>
      <c r="J1467" s="2" t="str">
        <f t="shared" si="203"/>
        <v/>
      </c>
      <c r="L1467" s="2" t="str">
        <f t="shared" si="204"/>
        <v/>
      </c>
      <c r="N1467" s="10" t="str">
        <f t="shared" si="205"/>
        <v/>
      </c>
      <c r="O1467" s="2">
        <f t="shared" si="206"/>
        <v>45128</v>
      </c>
      <c r="P1467" s="2">
        <v>45125.670925925922</v>
      </c>
      <c r="Q1467" s="2">
        <f t="shared" si="207"/>
        <v>45134</v>
      </c>
      <c r="R1467" s="2">
        <v>45125.673310185186</v>
      </c>
      <c r="S1467">
        <f t="shared" si="208"/>
        <v>0</v>
      </c>
      <c r="T1467" s="2">
        <f t="shared" si="209"/>
        <v>45134</v>
      </c>
      <c r="U1467" t="str">
        <f t="shared" si="210"/>
        <v>NO PRAZO</v>
      </c>
    </row>
    <row r="1468" spans="1:21" hidden="1">
      <c r="A1468" s="1">
        <v>13991</v>
      </c>
      <c r="B1468" t="s">
        <v>12</v>
      </c>
      <c r="C1468" t="s">
        <v>9</v>
      </c>
      <c r="D1468" t="s">
        <v>14</v>
      </c>
      <c r="E1468" s="1">
        <v>1969</v>
      </c>
      <c r="F1468" s="1">
        <v>2023</v>
      </c>
      <c r="G1468" t="s">
        <v>11</v>
      </c>
      <c r="H1468" s="2">
        <v>45125.498703703706</v>
      </c>
      <c r="I1468" s="9">
        <f t="shared" si="202"/>
        <v>45126</v>
      </c>
      <c r="J1468" s="2" t="str">
        <f t="shared" si="203"/>
        <v/>
      </c>
      <c r="L1468" s="2" t="str">
        <f t="shared" si="204"/>
        <v/>
      </c>
      <c r="N1468" s="10" t="str">
        <f t="shared" si="205"/>
        <v/>
      </c>
      <c r="O1468" s="2">
        <f t="shared" si="206"/>
        <v>45126</v>
      </c>
      <c r="P1468" s="2">
        <v>45127.704884259256</v>
      </c>
      <c r="Q1468" s="2">
        <f t="shared" si="207"/>
        <v>45127</v>
      </c>
      <c r="R1468" s="2">
        <v>45127.740729166668</v>
      </c>
      <c r="S1468">
        <f t="shared" si="208"/>
        <v>0</v>
      </c>
      <c r="T1468" s="2">
        <f t="shared" si="209"/>
        <v>45127</v>
      </c>
      <c r="U1468" t="str">
        <f t="shared" si="210"/>
        <v>NO PRAZO</v>
      </c>
    </row>
    <row r="1469" spans="1:21" hidden="1">
      <c r="A1469" s="1">
        <v>13990</v>
      </c>
      <c r="B1469" t="s">
        <v>12</v>
      </c>
      <c r="C1469" t="s">
        <v>13</v>
      </c>
      <c r="D1469" t="s">
        <v>18</v>
      </c>
      <c r="E1469" s="1">
        <v>1968</v>
      </c>
      <c r="F1469" s="1">
        <v>2023</v>
      </c>
      <c r="G1469" t="s">
        <v>11</v>
      </c>
      <c r="H1469" s="2">
        <v>45125.457060185188</v>
      </c>
      <c r="I1469" s="9">
        <f t="shared" si="202"/>
        <v>45128</v>
      </c>
      <c r="J1469" s="2" t="str">
        <f t="shared" si="203"/>
        <v/>
      </c>
      <c r="L1469" s="2" t="str">
        <f t="shared" si="204"/>
        <v/>
      </c>
      <c r="N1469" s="10" t="str">
        <f t="shared" si="205"/>
        <v/>
      </c>
      <c r="O1469" s="2">
        <f t="shared" si="206"/>
        <v>45128</v>
      </c>
      <c r="P1469" s="2">
        <v>45127.652233796296</v>
      </c>
      <c r="Q1469" s="2">
        <f t="shared" si="207"/>
        <v>45134</v>
      </c>
      <c r="R1469" s="2">
        <v>45127.653124999997</v>
      </c>
      <c r="S1469">
        <f t="shared" si="208"/>
        <v>0</v>
      </c>
      <c r="T1469" s="2">
        <f t="shared" si="209"/>
        <v>45134</v>
      </c>
      <c r="U1469" t="str">
        <f t="shared" si="210"/>
        <v>NO PRAZO</v>
      </c>
    </row>
    <row r="1470" spans="1:21" hidden="1">
      <c r="A1470" s="1">
        <v>13987</v>
      </c>
      <c r="B1470" t="s">
        <v>12</v>
      </c>
      <c r="C1470" t="s">
        <v>13</v>
      </c>
      <c r="D1470" t="s">
        <v>18</v>
      </c>
      <c r="E1470" s="1">
        <v>1965</v>
      </c>
      <c r="F1470" s="1">
        <v>2023</v>
      </c>
      <c r="G1470" t="s">
        <v>11</v>
      </c>
      <c r="H1470" s="2">
        <v>45125.415370370371</v>
      </c>
      <c r="I1470" s="9">
        <f t="shared" si="202"/>
        <v>45128</v>
      </c>
      <c r="J1470" s="2" t="str">
        <f t="shared" si="203"/>
        <v/>
      </c>
      <c r="L1470" s="2" t="str">
        <f t="shared" si="204"/>
        <v/>
      </c>
      <c r="N1470" s="10" t="str">
        <f t="shared" si="205"/>
        <v/>
      </c>
      <c r="O1470" s="2">
        <f t="shared" si="206"/>
        <v>45128</v>
      </c>
      <c r="P1470" s="2">
        <v>45131.750300925924</v>
      </c>
      <c r="Q1470" s="2">
        <f t="shared" si="207"/>
        <v>45134</v>
      </c>
      <c r="R1470" s="2">
        <v>45132.746423611112</v>
      </c>
      <c r="S1470">
        <f t="shared" si="208"/>
        <v>0</v>
      </c>
      <c r="T1470" s="2">
        <f t="shared" si="209"/>
        <v>45134</v>
      </c>
      <c r="U1470" t="str">
        <f t="shared" si="210"/>
        <v>NO PRAZO</v>
      </c>
    </row>
    <row r="1471" spans="1:21" hidden="1">
      <c r="A1471" s="1">
        <v>13983</v>
      </c>
      <c r="B1471" t="s">
        <v>8</v>
      </c>
      <c r="C1471" t="s">
        <v>13</v>
      </c>
      <c r="D1471" t="s">
        <v>18</v>
      </c>
      <c r="E1471" s="1">
        <v>1961</v>
      </c>
      <c r="F1471" s="1">
        <v>2023</v>
      </c>
      <c r="G1471" t="s">
        <v>11</v>
      </c>
      <c r="H1471" s="2">
        <v>45124.707118055558</v>
      </c>
      <c r="I1471" s="9">
        <f t="shared" si="202"/>
        <v>45127</v>
      </c>
      <c r="J1471" s="2" t="str">
        <f t="shared" si="203"/>
        <v/>
      </c>
      <c r="L1471" s="2" t="str">
        <f t="shared" si="204"/>
        <v/>
      </c>
      <c r="N1471" s="10" t="str">
        <f t="shared" si="205"/>
        <v/>
      </c>
      <c r="O1471" s="2">
        <f t="shared" si="206"/>
        <v>45127</v>
      </c>
      <c r="P1471" s="2">
        <v>45125.500115740739</v>
      </c>
      <c r="Q1471" s="2">
        <f t="shared" si="207"/>
        <v>45133</v>
      </c>
      <c r="R1471" s="2">
        <v>45125.675034722219</v>
      </c>
      <c r="S1471">
        <f t="shared" si="208"/>
        <v>0</v>
      </c>
      <c r="T1471" s="2">
        <f t="shared" si="209"/>
        <v>45133</v>
      </c>
      <c r="U1471" t="str">
        <f t="shared" si="210"/>
        <v>NO PRAZO</v>
      </c>
    </row>
    <row r="1472" spans="1:21">
      <c r="A1472" s="1">
        <v>13966</v>
      </c>
      <c r="B1472" t="s">
        <v>20</v>
      </c>
      <c r="C1472" t="s">
        <v>13</v>
      </c>
      <c r="D1472" t="s">
        <v>21</v>
      </c>
      <c r="E1472" s="1">
        <v>1944</v>
      </c>
      <c r="F1472" s="1">
        <v>2023</v>
      </c>
      <c r="G1472" t="s">
        <v>11</v>
      </c>
      <c r="H1472" s="2">
        <v>45121.665729166663</v>
      </c>
      <c r="I1472" s="9">
        <f t="shared" ref="I1472:I1535" si="211">IF(OR(D1472="ORIENTAÇÃO",D1472="BUG IMPEDITIVO",D1472="BUG NÃO IMPEDITIVO"),WORKDAY(H1472,1,Z$2:Z$500),IF(OR(D1472="MELHORIA PEQUENA",D1472="MELHORIA MÉDIA"),WORKDAY(H1472,3,Z$2:Z$500),""))</f>
        <v>45126</v>
      </c>
      <c r="J1472" s="2">
        <f t="shared" si="203"/>
        <v>45126</v>
      </c>
      <c r="K1472" s="2">
        <v>45167.494004629632</v>
      </c>
      <c r="L1472" s="2">
        <f t="shared" si="204"/>
        <v>45146</v>
      </c>
      <c r="M1472" s="2">
        <v>45173.661273148151</v>
      </c>
      <c r="N1472" s="10">
        <f t="shared" si="205"/>
        <v>27</v>
      </c>
      <c r="O1472" s="2">
        <f t="shared" si="206"/>
        <v>45147</v>
      </c>
      <c r="P1472" s="2">
        <v>45174.424537037034</v>
      </c>
      <c r="Q1472" s="2">
        <f t="shared" si="207"/>
        <v>45174</v>
      </c>
      <c r="R1472" s="2">
        <v>45315.77851851852</v>
      </c>
      <c r="S1472">
        <f t="shared" si="208"/>
        <v>141</v>
      </c>
      <c r="T1472" s="2">
        <f t="shared" si="209"/>
        <v>45174</v>
      </c>
      <c r="U1472" t="str">
        <f t="shared" si="210"/>
        <v>ATRASO</v>
      </c>
    </row>
    <row r="1473" spans="1:21" hidden="1">
      <c r="A1473" s="1">
        <v>13961</v>
      </c>
      <c r="B1473" t="s">
        <v>20</v>
      </c>
      <c r="C1473" t="s">
        <v>13</v>
      </c>
      <c r="D1473" t="s">
        <v>14</v>
      </c>
      <c r="E1473" s="1">
        <v>1939</v>
      </c>
      <c r="F1473" s="1">
        <v>2023</v>
      </c>
      <c r="G1473" t="s">
        <v>11</v>
      </c>
      <c r="H1473" s="2">
        <v>45121.498993055553</v>
      </c>
      <c r="I1473" s="9">
        <f t="shared" si="211"/>
        <v>45124</v>
      </c>
      <c r="J1473" s="2" t="str">
        <f t="shared" si="203"/>
        <v/>
      </c>
      <c r="L1473" s="2" t="str">
        <f t="shared" si="204"/>
        <v/>
      </c>
      <c r="N1473" s="10" t="str">
        <f t="shared" si="205"/>
        <v/>
      </c>
      <c r="O1473" s="2">
        <f t="shared" si="206"/>
        <v>45124</v>
      </c>
      <c r="P1473" s="2">
        <v>45124.425706018519</v>
      </c>
      <c r="Q1473" s="2">
        <f t="shared" si="207"/>
        <v>45125</v>
      </c>
      <c r="R1473" s="2">
        <v>45124.436909722222</v>
      </c>
      <c r="S1473">
        <f t="shared" si="208"/>
        <v>0</v>
      </c>
      <c r="T1473" s="2">
        <f t="shared" si="209"/>
        <v>45125</v>
      </c>
      <c r="U1473" t="str">
        <f t="shared" si="210"/>
        <v>NO PRAZO</v>
      </c>
    </row>
    <row r="1474" spans="1:21" hidden="1">
      <c r="A1474" s="1">
        <v>13960</v>
      </c>
      <c r="B1474" t="s">
        <v>23</v>
      </c>
      <c r="C1474" t="s">
        <v>9</v>
      </c>
      <c r="D1474" t="s">
        <v>10</v>
      </c>
      <c r="E1474" s="1">
        <v>1938</v>
      </c>
      <c r="F1474" s="1">
        <v>2023</v>
      </c>
      <c r="G1474" t="s">
        <v>11</v>
      </c>
      <c r="H1474" s="2">
        <v>45121.472592592596</v>
      </c>
      <c r="I1474" s="9">
        <f t="shared" si="211"/>
        <v>45124</v>
      </c>
      <c r="J1474" s="2" t="str">
        <f t="shared" si="203"/>
        <v/>
      </c>
      <c r="L1474" s="2" t="str">
        <f t="shared" si="204"/>
        <v/>
      </c>
      <c r="N1474" s="10" t="str">
        <f t="shared" si="205"/>
        <v/>
      </c>
      <c r="O1474" s="2">
        <f t="shared" si="206"/>
        <v>45124</v>
      </c>
      <c r="P1474" s="2">
        <v>45121.472858796296</v>
      </c>
      <c r="Q1474" s="2">
        <f t="shared" si="207"/>
        <v>45125</v>
      </c>
      <c r="R1474" s="2">
        <v>45121.537662037037</v>
      </c>
      <c r="S1474">
        <f t="shared" si="208"/>
        <v>0</v>
      </c>
      <c r="T1474" s="2">
        <f t="shared" si="209"/>
        <v>45125</v>
      </c>
      <c r="U1474" t="str">
        <f t="shared" si="210"/>
        <v>NO PRAZO</v>
      </c>
    </row>
    <row r="1475" spans="1:21" hidden="1">
      <c r="A1475" s="1">
        <v>13943</v>
      </c>
      <c r="B1475" t="s">
        <v>24</v>
      </c>
      <c r="C1475" t="s">
        <v>9</v>
      </c>
      <c r="D1475" t="s">
        <v>14</v>
      </c>
      <c r="E1475" s="1">
        <v>1921</v>
      </c>
      <c r="F1475" s="1">
        <v>2023</v>
      </c>
      <c r="G1475" t="s">
        <v>11</v>
      </c>
      <c r="H1475" s="2">
        <v>45120.582476851851</v>
      </c>
      <c r="I1475" s="9">
        <f t="shared" si="211"/>
        <v>45121</v>
      </c>
      <c r="J1475" s="2" t="str">
        <f t="shared" ref="J1475:J1538" si="212">IF(K1475&lt;&gt;"",I1475,"")</f>
        <v/>
      </c>
      <c r="L1475" s="2" t="str">
        <f t="shared" ref="L1475:L1538" si="213">IF(J1475="","",WORKDAY(J1475,14,Z$2:Z$500))</f>
        <v/>
      </c>
      <c r="N1475" s="10" t="str">
        <f t="shared" ref="N1475:N1538" si="214">IF(M1475="","",MAX(0,INT(M1475)-INT(L1475)))</f>
        <v/>
      </c>
      <c r="O1475" s="2">
        <f t="shared" ref="O1475:O1538" si="215">IF(L1475="",I1475,WORKDAY(L1475,1,Z$2:Z$500))</f>
        <v>45121</v>
      </c>
      <c r="P1475" s="2">
        <v>45121.513749999998</v>
      </c>
      <c r="Q1475" s="2">
        <f t="shared" ref="Q1475:Q1538" si="216">IF(OR(D1475="ORIENTAÇÃO",D1475="BUG IMPEDITIVO"),WORKDAY(O1475,1,Z$2:Z$500),IF(OR(D1475="MELHORIA PEQUENA",D1475="BUG NÃO IMPEDITIVO"),WORKDAY(O1475,4,Z$2:Z$500),IF(D1475="MELHORIA MÉDIA",WORKDAY(O1475,19,Z$2:Z$500),"")))</f>
        <v>45124</v>
      </c>
      <c r="R1475" s="2">
        <v>45121.539386574077</v>
      </c>
      <c r="S1475">
        <f t="shared" ref="S1475:S1538" si="217">MAX(0,INT(R1475)-INT(Q1475))</f>
        <v>0</v>
      </c>
      <c r="T1475" s="2">
        <f t="shared" ref="T1475:T1538" si="218">IF(D1475="MELHORIA MÉDIA",IF(K1475&lt;&gt;"",WORKDAY(I1475,34,$Z$2:$Z$1000),WORKDAY(I1475,19,$Z$2:$Z$1000)),IF(OR(D1475="MELHORIA PEQUENA",D1475="BUG NÃO IMPEDITIVO"),WORKDAY(I1475,4,$Z$2:$Z$1000),IF(OR(D1475="ORIENTAÇÃO",D1475="BUG IMPEDITIVO"),WORKDAY(I1475,1,$Z$2:$Z$1000),"")))</f>
        <v>45124</v>
      </c>
      <c r="U1475" t="str">
        <f t="shared" ref="U1475:U1538" si="219">IF(INT(R1475)&lt;=INT(T1475),"NO PRAZO","ATRASO")</f>
        <v>NO PRAZO</v>
      </c>
    </row>
    <row r="1476" spans="1:21" hidden="1">
      <c r="A1476" s="1">
        <v>13914</v>
      </c>
      <c r="B1476" t="s">
        <v>20</v>
      </c>
      <c r="C1476" t="s">
        <v>13</v>
      </c>
      <c r="D1476" t="s">
        <v>18</v>
      </c>
      <c r="E1476" s="1">
        <v>1892</v>
      </c>
      <c r="F1476" s="1">
        <v>2023</v>
      </c>
      <c r="G1476" t="s">
        <v>11</v>
      </c>
      <c r="H1476" s="2">
        <v>45120.374155092592</v>
      </c>
      <c r="I1476" s="9">
        <f t="shared" si="211"/>
        <v>45125</v>
      </c>
      <c r="J1476" s="2" t="str">
        <f t="shared" si="212"/>
        <v/>
      </c>
      <c r="L1476" s="2" t="str">
        <f t="shared" si="213"/>
        <v/>
      </c>
      <c r="N1476" s="10" t="str">
        <f t="shared" si="214"/>
        <v/>
      </c>
      <c r="O1476" s="2">
        <f t="shared" si="215"/>
        <v>45125</v>
      </c>
      <c r="P1476" s="2">
        <v>45127.670532407406</v>
      </c>
      <c r="Q1476" s="2">
        <f t="shared" si="216"/>
        <v>45131</v>
      </c>
      <c r="R1476" s="2">
        <v>45127.672511574077</v>
      </c>
      <c r="S1476">
        <f t="shared" si="217"/>
        <v>0</v>
      </c>
      <c r="T1476" s="2">
        <f t="shared" si="218"/>
        <v>45131</v>
      </c>
      <c r="U1476" t="str">
        <f t="shared" si="219"/>
        <v>NO PRAZO</v>
      </c>
    </row>
    <row r="1477" spans="1:21" hidden="1">
      <c r="A1477" s="1">
        <v>13912</v>
      </c>
      <c r="B1477" t="s">
        <v>12</v>
      </c>
      <c r="C1477" t="s">
        <v>13</v>
      </c>
      <c r="D1477" t="s">
        <v>14</v>
      </c>
      <c r="E1477" s="1">
        <v>1890</v>
      </c>
      <c r="F1477" s="1">
        <v>2023</v>
      </c>
      <c r="G1477" t="s">
        <v>11</v>
      </c>
      <c r="H1477" s="2">
        <v>45119.832546296297</v>
      </c>
      <c r="I1477" s="9">
        <f t="shared" si="211"/>
        <v>45120</v>
      </c>
      <c r="J1477" s="2" t="str">
        <f t="shared" si="212"/>
        <v/>
      </c>
      <c r="L1477" s="2" t="str">
        <f t="shared" si="213"/>
        <v/>
      </c>
      <c r="N1477" s="10" t="str">
        <f t="shared" si="214"/>
        <v/>
      </c>
      <c r="O1477" s="2">
        <f t="shared" si="215"/>
        <v>45120</v>
      </c>
      <c r="P1477" s="2">
        <v>45121.746921296297</v>
      </c>
      <c r="Q1477" s="2">
        <f t="shared" si="216"/>
        <v>45121</v>
      </c>
      <c r="R1477" s="2">
        <v>45121.755983796298</v>
      </c>
      <c r="S1477">
        <f t="shared" si="217"/>
        <v>0</v>
      </c>
      <c r="T1477" s="2">
        <f t="shared" si="218"/>
        <v>45121</v>
      </c>
      <c r="U1477" t="str">
        <f t="shared" si="219"/>
        <v>NO PRAZO</v>
      </c>
    </row>
    <row r="1478" spans="1:21" hidden="1">
      <c r="A1478" s="1">
        <v>13911</v>
      </c>
      <c r="B1478" t="s">
        <v>19</v>
      </c>
      <c r="C1478" t="s">
        <v>13</v>
      </c>
      <c r="D1478" t="s">
        <v>18</v>
      </c>
      <c r="E1478" s="1">
        <v>1889</v>
      </c>
      <c r="F1478" s="1">
        <v>2023</v>
      </c>
      <c r="G1478" t="s">
        <v>11</v>
      </c>
      <c r="H1478" s="2">
        <v>45119.725300925929</v>
      </c>
      <c r="I1478" s="9">
        <f t="shared" si="211"/>
        <v>45124</v>
      </c>
      <c r="J1478" s="2" t="str">
        <f t="shared" si="212"/>
        <v/>
      </c>
      <c r="L1478" s="2" t="str">
        <f t="shared" si="213"/>
        <v/>
      </c>
      <c r="N1478" s="10" t="str">
        <f t="shared" si="214"/>
        <v/>
      </c>
      <c r="O1478" s="2">
        <f t="shared" si="215"/>
        <v>45124</v>
      </c>
      <c r="P1478" s="2">
        <v>45124.682905092595</v>
      </c>
      <c r="Q1478" s="2">
        <f t="shared" si="216"/>
        <v>45128</v>
      </c>
      <c r="R1478" s="2">
        <v>45127.671724537038</v>
      </c>
      <c r="S1478">
        <f t="shared" si="217"/>
        <v>0</v>
      </c>
      <c r="T1478" s="2">
        <f t="shared" si="218"/>
        <v>45128</v>
      </c>
      <c r="U1478" t="str">
        <f t="shared" si="219"/>
        <v>NO PRAZO</v>
      </c>
    </row>
    <row r="1479" spans="1:21" hidden="1">
      <c r="A1479" s="1">
        <v>13910</v>
      </c>
      <c r="B1479" t="s">
        <v>12</v>
      </c>
      <c r="C1479" t="s">
        <v>9</v>
      </c>
      <c r="D1479" t="s">
        <v>14</v>
      </c>
      <c r="E1479" s="1">
        <v>1888</v>
      </c>
      <c r="F1479" s="1">
        <v>2023</v>
      </c>
      <c r="G1479" t="s">
        <v>11</v>
      </c>
      <c r="H1479" s="2">
        <v>45119.720729166664</v>
      </c>
      <c r="I1479" s="9">
        <f t="shared" si="211"/>
        <v>45120</v>
      </c>
      <c r="J1479" s="2" t="str">
        <f t="shared" si="212"/>
        <v/>
      </c>
      <c r="L1479" s="2" t="str">
        <f t="shared" si="213"/>
        <v/>
      </c>
      <c r="N1479" s="10" t="str">
        <f t="shared" si="214"/>
        <v/>
      </c>
      <c r="O1479" s="2">
        <f t="shared" si="215"/>
        <v>45120</v>
      </c>
      <c r="P1479" s="2">
        <v>45120.7658912037</v>
      </c>
      <c r="Q1479" s="2">
        <f t="shared" si="216"/>
        <v>45121</v>
      </c>
      <c r="R1479" s="2">
        <v>45121.493252314816</v>
      </c>
      <c r="S1479">
        <f t="shared" si="217"/>
        <v>0</v>
      </c>
      <c r="T1479" s="2">
        <f t="shared" si="218"/>
        <v>45121</v>
      </c>
      <c r="U1479" t="str">
        <f t="shared" si="219"/>
        <v>NO PRAZO</v>
      </c>
    </row>
    <row r="1480" spans="1:21" hidden="1">
      <c r="A1480" s="1">
        <v>13907</v>
      </c>
      <c r="B1480" t="s">
        <v>24</v>
      </c>
      <c r="C1480" t="s">
        <v>13</v>
      </c>
      <c r="D1480" t="s">
        <v>10</v>
      </c>
      <c r="E1480" s="1">
        <v>1885</v>
      </c>
      <c r="F1480" s="1">
        <v>2023</v>
      </c>
      <c r="G1480" t="s">
        <v>11</v>
      </c>
      <c r="H1480" s="2">
        <v>45119.499236111114</v>
      </c>
      <c r="I1480" s="9">
        <f t="shared" si="211"/>
        <v>45120</v>
      </c>
      <c r="J1480" s="2" t="str">
        <f t="shared" si="212"/>
        <v/>
      </c>
      <c r="L1480" s="2" t="str">
        <f t="shared" si="213"/>
        <v/>
      </c>
      <c r="N1480" s="10" t="str">
        <f t="shared" si="214"/>
        <v/>
      </c>
      <c r="O1480" s="2">
        <f t="shared" si="215"/>
        <v>45120</v>
      </c>
      <c r="P1480" s="2">
        <v>45121.42597222222</v>
      </c>
      <c r="Q1480" s="2">
        <f t="shared" si="216"/>
        <v>45121</v>
      </c>
      <c r="R1480" s="2">
        <v>45121.537210648145</v>
      </c>
      <c r="S1480">
        <f t="shared" si="217"/>
        <v>0</v>
      </c>
      <c r="T1480" s="2">
        <f t="shared" si="218"/>
        <v>45121</v>
      </c>
      <c r="U1480" t="str">
        <f t="shared" si="219"/>
        <v>NO PRAZO</v>
      </c>
    </row>
    <row r="1481" spans="1:21" hidden="1">
      <c r="A1481" s="1">
        <v>13902</v>
      </c>
      <c r="B1481" t="s">
        <v>8</v>
      </c>
      <c r="C1481" t="s">
        <v>9</v>
      </c>
      <c r="D1481" t="s">
        <v>18</v>
      </c>
      <c r="E1481" s="1">
        <v>1880</v>
      </c>
      <c r="F1481" s="1">
        <v>2023</v>
      </c>
      <c r="G1481" t="s">
        <v>11</v>
      </c>
      <c r="H1481" s="2">
        <v>45119.457557870373</v>
      </c>
      <c r="I1481" s="9">
        <f t="shared" si="211"/>
        <v>45124</v>
      </c>
      <c r="J1481" s="2" t="str">
        <f t="shared" si="212"/>
        <v/>
      </c>
      <c r="L1481" s="2" t="str">
        <f t="shared" si="213"/>
        <v/>
      </c>
      <c r="N1481" s="10" t="str">
        <f t="shared" si="214"/>
        <v/>
      </c>
      <c r="O1481" s="2">
        <f t="shared" si="215"/>
        <v>45124</v>
      </c>
      <c r="P1481" s="2">
        <v>45121.682152777779</v>
      </c>
      <c r="Q1481" s="2">
        <f t="shared" si="216"/>
        <v>45128</v>
      </c>
      <c r="R1481" s="2">
        <v>45124.403298611112</v>
      </c>
      <c r="S1481">
        <f t="shared" si="217"/>
        <v>0</v>
      </c>
      <c r="T1481" s="2">
        <f t="shared" si="218"/>
        <v>45128</v>
      </c>
      <c r="U1481" t="str">
        <f t="shared" si="219"/>
        <v>NO PRAZO</v>
      </c>
    </row>
    <row r="1482" spans="1:21" hidden="1">
      <c r="A1482" s="1">
        <v>13886</v>
      </c>
      <c r="B1482" t="s">
        <v>24</v>
      </c>
      <c r="C1482" t="s">
        <v>13</v>
      </c>
      <c r="D1482" t="s">
        <v>10</v>
      </c>
      <c r="E1482" s="1">
        <v>1864</v>
      </c>
      <c r="F1482" s="1">
        <v>2023</v>
      </c>
      <c r="G1482" t="s">
        <v>11</v>
      </c>
      <c r="H1482" s="2">
        <v>45118.582638888889</v>
      </c>
      <c r="I1482" s="9">
        <f t="shared" si="211"/>
        <v>45119</v>
      </c>
      <c r="J1482" s="2" t="str">
        <f t="shared" si="212"/>
        <v/>
      </c>
      <c r="L1482" s="2" t="str">
        <f t="shared" si="213"/>
        <v/>
      </c>
      <c r="N1482" s="10" t="str">
        <f t="shared" si="214"/>
        <v/>
      </c>
      <c r="O1482" s="2">
        <f t="shared" si="215"/>
        <v>45119</v>
      </c>
      <c r="P1482" s="2">
        <v>45120.495081018518</v>
      </c>
      <c r="Q1482" s="2">
        <f t="shared" si="216"/>
        <v>45120</v>
      </c>
      <c r="R1482" s="2">
        <v>45120.52648148148</v>
      </c>
      <c r="S1482">
        <f t="shared" si="217"/>
        <v>0</v>
      </c>
      <c r="T1482" s="2">
        <f t="shared" si="218"/>
        <v>45120</v>
      </c>
      <c r="U1482" t="str">
        <f t="shared" si="219"/>
        <v>NO PRAZO</v>
      </c>
    </row>
    <row r="1483" spans="1:21" hidden="1">
      <c r="A1483" s="1">
        <v>13884</v>
      </c>
      <c r="B1483" t="s">
        <v>22</v>
      </c>
      <c r="C1483" t="s">
        <v>13</v>
      </c>
      <c r="D1483" t="s">
        <v>10</v>
      </c>
      <c r="E1483" s="1">
        <v>1862</v>
      </c>
      <c r="F1483" s="1">
        <v>2023</v>
      </c>
      <c r="G1483" t="s">
        <v>11</v>
      </c>
      <c r="H1483" s="2">
        <v>45118.49931712963</v>
      </c>
      <c r="I1483" s="9">
        <f t="shared" si="211"/>
        <v>45119</v>
      </c>
      <c r="J1483" s="2" t="str">
        <f t="shared" si="212"/>
        <v/>
      </c>
      <c r="L1483" s="2" t="str">
        <f t="shared" si="213"/>
        <v/>
      </c>
      <c r="N1483" s="10" t="str">
        <f t="shared" si="214"/>
        <v/>
      </c>
      <c r="O1483" s="2">
        <f t="shared" si="215"/>
        <v>45119</v>
      </c>
      <c r="P1483" s="2">
        <v>45120.470995370371</v>
      </c>
      <c r="Q1483" s="2">
        <f t="shared" si="216"/>
        <v>45120</v>
      </c>
      <c r="R1483" s="2">
        <v>45120.525914351849</v>
      </c>
      <c r="S1483">
        <f t="shared" si="217"/>
        <v>0</v>
      </c>
      <c r="T1483" s="2">
        <f t="shared" si="218"/>
        <v>45120</v>
      </c>
      <c r="U1483" t="str">
        <f t="shared" si="219"/>
        <v>NO PRAZO</v>
      </c>
    </row>
    <row r="1484" spans="1:21" hidden="1">
      <c r="A1484" s="1">
        <v>13873</v>
      </c>
      <c r="B1484" t="s">
        <v>19</v>
      </c>
      <c r="C1484" t="s">
        <v>13</v>
      </c>
      <c r="D1484" t="s">
        <v>18</v>
      </c>
      <c r="E1484" s="1">
        <v>1851</v>
      </c>
      <c r="F1484" s="1">
        <v>2023</v>
      </c>
      <c r="G1484" t="s">
        <v>11</v>
      </c>
      <c r="H1484" s="2">
        <v>45117.582708333335</v>
      </c>
      <c r="I1484" s="9">
        <f t="shared" si="211"/>
        <v>45120</v>
      </c>
      <c r="J1484" s="2" t="str">
        <f t="shared" si="212"/>
        <v/>
      </c>
      <c r="L1484" s="2" t="str">
        <f t="shared" si="213"/>
        <v/>
      </c>
      <c r="N1484" s="10" t="str">
        <f t="shared" si="214"/>
        <v/>
      </c>
      <c r="O1484" s="2">
        <f t="shared" si="215"/>
        <v>45120</v>
      </c>
      <c r="P1484" s="2">
        <v>45118.393831018519</v>
      </c>
      <c r="Q1484" s="2">
        <f t="shared" si="216"/>
        <v>45126</v>
      </c>
      <c r="R1484" s="2">
        <v>45118.447523148148</v>
      </c>
      <c r="S1484">
        <f t="shared" si="217"/>
        <v>0</v>
      </c>
      <c r="T1484" s="2">
        <f t="shared" si="218"/>
        <v>45126</v>
      </c>
      <c r="U1484" t="str">
        <f t="shared" si="219"/>
        <v>NO PRAZO</v>
      </c>
    </row>
    <row r="1485" spans="1:21">
      <c r="A1485" s="1">
        <v>13870</v>
      </c>
      <c r="B1485" t="s">
        <v>12</v>
      </c>
      <c r="C1485" t="s">
        <v>13</v>
      </c>
      <c r="D1485" t="s">
        <v>14</v>
      </c>
      <c r="E1485" s="1">
        <v>1848</v>
      </c>
      <c r="F1485" s="1">
        <v>2023</v>
      </c>
      <c r="G1485" t="s">
        <v>11</v>
      </c>
      <c r="H1485" s="2">
        <v>45117.457719907405</v>
      </c>
      <c r="I1485" s="9">
        <f t="shared" si="211"/>
        <v>45118</v>
      </c>
      <c r="J1485" s="2" t="str">
        <f t="shared" si="212"/>
        <v/>
      </c>
      <c r="L1485" s="2" t="str">
        <f t="shared" si="213"/>
        <v/>
      </c>
      <c r="N1485" s="10" t="str">
        <f t="shared" si="214"/>
        <v/>
      </c>
      <c r="O1485" s="2">
        <f t="shared" si="215"/>
        <v>45118</v>
      </c>
      <c r="P1485" s="2">
        <v>45120.567337962966</v>
      </c>
      <c r="Q1485" s="2">
        <f t="shared" si="216"/>
        <v>45119</v>
      </c>
      <c r="R1485" s="2">
        <v>45120.718877314815</v>
      </c>
      <c r="S1485">
        <f t="shared" si="217"/>
        <v>1</v>
      </c>
      <c r="T1485" s="2">
        <f t="shared" si="218"/>
        <v>45119</v>
      </c>
      <c r="U1485" t="str">
        <f t="shared" si="219"/>
        <v>ATRASO</v>
      </c>
    </row>
    <row r="1486" spans="1:21" hidden="1">
      <c r="A1486" s="1">
        <v>13865</v>
      </c>
      <c r="B1486" t="s">
        <v>20</v>
      </c>
      <c r="C1486" t="s">
        <v>13</v>
      </c>
      <c r="D1486" t="s">
        <v>16</v>
      </c>
      <c r="E1486" s="1">
        <v>1843</v>
      </c>
      <c r="F1486" s="1">
        <v>2023</v>
      </c>
      <c r="G1486" t="s">
        <v>11</v>
      </c>
      <c r="H1486" s="2">
        <v>45117.374456018515</v>
      </c>
      <c r="I1486" s="9">
        <f t="shared" si="211"/>
        <v>45118</v>
      </c>
      <c r="J1486" s="2" t="str">
        <f t="shared" si="212"/>
        <v/>
      </c>
      <c r="L1486" s="2" t="str">
        <f t="shared" si="213"/>
        <v/>
      </c>
      <c r="N1486" s="10" t="str">
        <f t="shared" si="214"/>
        <v/>
      </c>
      <c r="O1486" s="2">
        <f t="shared" si="215"/>
        <v>45118</v>
      </c>
      <c r="P1486" s="2">
        <v>45121.436608796299</v>
      </c>
      <c r="Q1486" s="2">
        <f t="shared" si="216"/>
        <v>45124</v>
      </c>
      <c r="R1486" s="2">
        <v>45121.566701388889</v>
      </c>
      <c r="S1486">
        <f t="shared" si="217"/>
        <v>0</v>
      </c>
      <c r="T1486" s="2">
        <f t="shared" si="218"/>
        <v>45124</v>
      </c>
      <c r="U1486" t="str">
        <f t="shared" si="219"/>
        <v>NO PRAZO</v>
      </c>
    </row>
    <row r="1487" spans="1:21" hidden="1">
      <c r="A1487" s="1">
        <v>13856</v>
      </c>
      <c r="B1487" t="s">
        <v>24</v>
      </c>
      <c r="C1487" t="s">
        <v>13</v>
      </c>
      <c r="D1487" t="s">
        <v>10</v>
      </c>
      <c r="E1487" s="1">
        <v>1834</v>
      </c>
      <c r="F1487" s="1">
        <v>2023</v>
      </c>
      <c r="G1487" t="s">
        <v>11</v>
      </c>
      <c r="H1487" s="2">
        <v>45114.582997685182</v>
      </c>
      <c r="I1487" s="9">
        <f t="shared" si="211"/>
        <v>45117</v>
      </c>
      <c r="J1487" s="2" t="str">
        <f t="shared" si="212"/>
        <v/>
      </c>
      <c r="L1487" s="2" t="str">
        <f t="shared" si="213"/>
        <v/>
      </c>
      <c r="N1487" s="10" t="str">
        <f t="shared" si="214"/>
        <v/>
      </c>
      <c r="O1487" s="2">
        <f t="shared" si="215"/>
        <v>45117</v>
      </c>
      <c r="P1487" s="2">
        <v>45117.687025462961</v>
      </c>
      <c r="Q1487" s="2">
        <f t="shared" si="216"/>
        <v>45118</v>
      </c>
      <c r="R1487" s="2">
        <v>45117.695416666669</v>
      </c>
      <c r="S1487">
        <f t="shared" si="217"/>
        <v>0</v>
      </c>
      <c r="T1487" s="2">
        <f t="shared" si="218"/>
        <v>45118</v>
      </c>
      <c r="U1487" t="str">
        <f t="shared" si="219"/>
        <v>NO PRAZO</v>
      </c>
    </row>
    <row r="1488" spans="1:21" hidden="1">
      <c r="A1488" s="1">
        <v>13854</v>
      </c>
      <c r="B1488" t="s">
        <v>24</v>
      </c>
      <c r="C1488" t="s">
        <v>13</v>
      </c>
      <c r="D1488" t="s">
        <v>10</v>
      </c>
      <c r="E1488" s="1">
        <v>1832</v>
      </c>
      <c r="F1488" s="1">
        <v>2023</v>
      </c>
      <c r="G1488" t="s">
        <v>11</v>
      </c>
      <c r="H1488" s="2">
        <v>45114.499675925923</v>
      </c>
      <c r="I1488" s="9">
        <f t="shared" si="211"/>
        <v>45117</v>
      </c>
      <c r="J1488" s="2" t="str">
        <f t="shared" si="212"/>
        <v/>
      </c>
      <c r="L1488" s="2" t="str">
        <f t="shared" si="213"/>
        <v/>
      </c>
      <c r="N1488" s="10" t="str">
        <f t="shared" si="214"/>
        <v/>
      </c>
      <c r="O1488" s="2">
        <f t="shared" si="215"/>
        <v>45117</v>
      </c>
      <c r="P1488" s="2">
        <v>45118.458703703705</v>
      </c>
      <c r="Q1488" s="2">
        <f t="shared" si="216"/>
        <v>45118</v>
      </c>
      <c r="R1488" s="2">
        <v>45118.489814814813</v>
      </c>
      <c r="S1488">
        <f t="shared" si="217"/>
        <v>0</v>
      </c>
      <c r="T1488" s="2">
        <f t="shared" si="218"/>
        <v>45118</v>
      </c>
      <c r="U1488" t="str">
        <f t="shared" si="219"/>
        <v>NO PRAZO</v>
      </c>
    </row>
    <row r="1489" spans="1:21" hidden="1">
      <c r="A1489" s="1">
        <v>13781</v>
      </c>
      <c r="B1489" t="s">
        <v>24</v>
      </c>
      <c r="C1489" t="s">
        <v>9</v>
      </c>
      <c r="D1489" t="s">
        <v>10</v>
      </c>
      <c r="E1489" s="1">
        <v>1759</v>
      </c>
      <c r="F1489" s="1">
        <v>2023</v>
      </c>
      <c r="G1489" t="s">
        <v>11</v>
      </c>
      <c r="H1489" s="2">
        <v>45111.416631944441</v>
      </c>
      <c r="I1489" s="9">
        <f t="shared" si="211"/>
        <v>45112</v>
      </c>
      <c r="J1489" s="2" t="str">
        <f t="shared" si="212"/>
        <v/>
      </c>
      <c r="L1489" s="2" t="str">
        <f t="shared" si="213"/>
        <v/>
      </c>
      <c r="N1489" s="10" t="str">
        <f t="shared" si="214"/>
        <v/>
      </c>
      <c r="O1489" s="2">
        <f t="shared" si="215"/>
        <v>45112</v>
      </c>
      <c r="P1489" s="2">
        <v>45113.384942129633</v>
      </c>
      <c r="Q1489" s="2">
        <f t="shared" si="216"/>
        <v>45113</v>
      </c>
      <c r="R1489" s="2">
        <v>45113.400636574072</v>
      </c>
      <c r="S1489">
        <f t="shared" si="217"/>
        <v>0</v>
      </c>
      <c r="T1489" s="2">
        <f t="shared" si="218"/>
        <v>45113</v>
      </c>
      <c r="U1489" t="str">
        <f t="shared" si="219"/>
        <v>NO PRAZO</v>
      </c>
    </row>
    <row r="1490" spans="1:21" hidden="1">
      <c r="A1490" s="1">
        <v>13756</v>
      </c>
      <c r="B1490" t="s">
        <v>12</v>
      </c>
      <c r="C1490" t="s">
        <v>13</v>
      </c>
      <c r="D1490" t="s">
        <v>10</v>
      </c>
      <c r="E1490" s="1">
        <v>1734</v>
      </c>
      <c r="F1490" s="1">
        <v>2023</v>
      </c>
      <c r="G1490" t="s">
        <v>11</v>
      </c>
      <c r="H1490" s="2">
        <v>45110.607407407406</v>
      </c>
      <c r="I1490" s="9">
        <f t="shared" si="211"/>
        <v>45111</v>
      </c>
      <c r="J1490" s="2" t="str">
        <f t="shared" si="212"/>
        <v/>
      </c>
      <c r="L1490" s="2" t="str">
        <f t="shared" si="213"/>
        <v/>
      </c>
      <c r="N1490" s="10" t="str">
        <f t="shared" si="214"/>
        <v/>
      </c>
      <c r="O1490" s="2">
        <f t="shared" si="215"/>
        <v>45111</v>
      </c>
      <c r="P1490" s="2">
        <v>45111.515972222223</v>
      </c>
      <c r="Q1490" s="2">
        <f t="shared" si="216"/>
        <v>45112</v>
      </c>
      <c r="R1490" s="2">
        <v>45111.527881944443</v>
      </c>
      <c r="S1490">
        <f t="shared" si="217"/>
        <v>0</v>
      </c>
      <c r="T1490" s="2">
        <f t="shared" si="218"/>
        <v>45112</v>
      </c>
      <c r="U1490" t="str">
        <f t="shared" si="219"/>
        <v>NO PRAZO</v>
      </c>
    </row>
    <row r="1491" spans="1:21">
      <c r="A1491" s="1">
        <v>13752</v>
      </c>
      <c r="B1491" t="s">
        <v>12</v>
      </c>
      <c r="C1491" t="s">
        <v>13</v>
      </c>
      <c r="D1491" t="s">
        <v>14</v>
      </c>
      <c r="E1491" s="1">
        <v>1730</v>
      </c>
      <c r="F1491" s="1">
        <v>2023</v>
      </c>
      <c r="G1491" t="s">
        <v>11</v>
      </c>
      <c r="H1491" s="2">
        <v>45110.607407407406</v>
      </c>
      <c r="I1491" s="9">
        <f t="shared" si="211"/>
        <v>45111</v>
      </c>
      <c r="J1491" s="2" t="str">
        <f t="shared" si="212"/>
        <v/>
      </c>
      <c r="L1491" s="2" t="str">
        <f t="shared" si="213"/>
        <v/>
      </c>
      <c r="N1491" s="10" t="str">
        <f t="shared" si="214"/>
        <v/>
      </c>
      <c r="O1491" s="2">
        <f t="shared" si="215"/>
        <v>45111</v>
      </c>
      <c r="P1491" s="2">
        <v>45113.519687499997</v>
      </c>
      <c r="Q1491" s="2">
        <f t="shared" si="216"/>
        <v>45112</v>
      </c>
      <c r="R1491" s="2">
        <v>45113.520451388889</v>
      </c>
      <c r="S1491">
        <f t="shared" si="217"/>
        <v>1</v>
      </c>
      <c r="T1491" s="2">
        <f t="shared" si="218"/>
        <v>45112</v>
      </c>
      <c r="U1491" t="str">
        <f t="shared" si="219"/>
        <v>ATRASO</v>
      </c>
    </row>
    <row r="1492" spans="1:21" hidden="1">
      <c r="A1492" s="1">
        <v>13751</v>
      </c>
      <c r="B1492" t="s">
        <v>20</v>
      </c>
      <c r="C1492" t="s">
        <v>13</v>
      </c>
      <c r="D1492" t="s">
        <v>10</v>
      </c>
      <c r="E1492" s="1">
        <v>1729</v>
      </c>
      <c r="F1492" s="1">
        <v>2023</v>
      </c>
      <c r="G1492" t="s">
        <v>11</v>
      </c>
      <c r="H1492" s="2">
        <v>45110.607407407406</v>
      </c>
      <c r="I1492" s="9">
        <f t="shared" si="211"/>
        <v>45111</v>
      </c>
      <c r="J1492" s="2" t="str">
        <f t="shared" si="212"/>
        <v/>
      </c>
      <c r="L1492" s="2" t="str">
        <f t="shared" si="213"/>
        <v/>
      </c>
      <c r="N1492" s="10" t="str">
        <f t="shared" si="214"/>
        <v/>
      </c>
      <c r="O1492" s="2">
        <f t="shared" si="215"/>
        <v>45111</v>
      </c>
      <c r="P1492" s="2">
        <v>45111.666770833333</v>
      </c>
      <c r="Q1492" s="2">
        <f t="shared" si="216"/>
        <v>45112</v>
      </c>
      <c r="R1492" s="2">
        <v>45111.718599537038</v>
      </c>
      <c r="S1492">
        <f t="shared" si="217"/>
        <v>0</v>
      </c>
      <c r="T1492" s="2">
        <f t="shared" si="218"/>
        <v>45112</v>
      </c>
      <c r="U1492" t="str">
        <f t="shared" si="219"/>
        <v>NO PRAZO</v>
      </c>
    </row>
    <row r="1493" spans="1:21" hidden="1">
      <c r="A1493" s="1">
        <v>13750</v>
      </c>
      <c r="B1493" t="s">
        <v>20</v>
      </c>
      <c r="C1493" t="s">
        <v>13</v>
      </c>
      <c r="D1493" t="s">
        <v>10</v>
      </c>
      <c r="E1493" s="1">
        <v>1728</v>
      </c>
      <c r="F1493" s="1">
        <v>2023</v>
      </c>
      <c r="G1493" t="s">
        <v>11</v>
      </c>
      <c r="H1493" s="2">
        <v>45110.607407407406</v>
      </c>
      <c r="I1493" s="9">
        <f t="shared" si="211"/>
        <v>45111</v>
      </c>
      <c r="J1493" s="2" t="str">
        <f t="shared" si="212"/>
        <v/>
      </c>
      <c r="L1493" s="2" t="str">
        <f t="shared" si="213"/>
        <v/>
      </c>
      <c r="N1493" s="10" t="str">
        <f t="shared" si="214"/>
        <v/>
      </c>
      <c r="O1493" s="2">
        <f t="shared" si="215"/>
        <v>45111</v>
      </c>
      <c r="P1493" s="2">
        <v>45111.373368055552</v>
      </c>
      <c r="Q1493" s="2">
        <f t="shared" si="216"/>
        <v>45112</v>
      </c>
      <c r="R1493" s="2">
        <v>45111.428541666668</v>
      </c>
      <c r="S1493">
        <f t="shared" si="217"/>
        <v>0</v>
      </c>
      <c r="T1493" s="2">
        <f t="shared" si="218"/>
        <v>45112</v>
      </c>
      <c r="U1493" t="str">
        <f t="shared" si="219"/>
        <v>NO PRAZO</v>
      </c>
    </row>
    <row r="1494" spans="1:21" hidden="1">
      <c r="A1494" s="1">
        <v>13734</v>
      </c>
      <c r="B1494" t="s">
        <v>12</v>
      </c>
      <c r="C1494" t="s">
        <v>13</v>
      </c>
      <c r="D1494" t="s">
        <v>16</v>
      </c>
      <c r="E1494" s="1">
        <v>1713</v>
      </c>
      <c r="F1494" s="1">
        <v>2023</v>
      </c>
      <c r="G1494" t="s">
        <v>11</v>
      </c>
      <c r="H1494" s="2">
        <v>45107.553715277776</v>
      </c>
      <c r="I1494" s="9">
        <f t="shared" si="211"/>
        <v>45110</v>
      </c>
      <c r="J1494" s="2" t="str">
        <f t="shared" si="212"/>
        <v/>
      </c>
      <c r="L1494" s="2" t="str">
        <f t="shared" si="213"/>
        <v/>
      </c>
      <c r="N1494" s="10" t="str">
        <f t="shared" si="214"/>
        <v/>
      </c>
      <c r="O1494" s="2">
        <f t="shared" si="215"/>
        <v>45110</v>
      </c>
      <c r="P1494" s="2">
        <v>45107.554965277777</v>
      </c>
      <c r="Q1494" s="2">
        <f t="shared" si="216"/>
        <v>45114</v>
      </c>
      <c r="R1494" s="2">
        <v>45111.62431712963</v>
      </c>
      <c r="S1494">
        <f t="shared" si="217"/>
        <v>0</v>
      </c>
      <c r="T1494" s="2">
        <f t="shared" si="218"/>
        <v>45114</v>
      </c>
      <c r="U1494" t="str">
        <f t="shared" si="219"/>
        <v>NO PRAZO</v>
      </c>
    </row>
    <row r="1495" spans="1:21" hidden="1">
      <c r="A1495" s="1">
        <v>13720</v>
      </c>
      <c r="B1495" t="s">
        <v>19</v>
      </c>
      <c r="C1495" t="s">
        <v>9</v>
      </c>
      <c r="D1495" t="s">
        <v>18</v>
      </c>
      <c r="E1495" s="1">
        <v>1699</v>
      </c>
      <c r="F1495" s="1">
        <v>2023</v>
      </c>
      <c r="G1495" t="s">
        <v>11</v>
      </c>
      <c r="H1495" s="2">
        <v>45106.666747685187</v>
      </c>
      <c r="I1495" s="9">
        <f t="shared" si="211"/>
        <v>45111</v>
      </c>
      <c r="J1495" s="2" t="str">
        <f t="shared" si="212"/>
        <v/>
      </c>
      <c r="L1495" s="2" t="str">
        <f t="shared" si="213"/>
        <v/>
      </c>
      <c r="N1495" s="10" t="str">
        <f t="shared" si="214"/>
        <v/>
      </c>
      <c r="O1495" s="2">
        <f t="shared" si="215"/>
        <v>45111</v>
      </c>
      <c r="P1495" s="2">
        <v>45110.587048611109</v>
      </c>
      <c r="Q1495" s="2">
        <f t="shared" si="216"/>
        <v>45117</v>
      </c>
      <c r="R1495" s="2">
        <v>45110.653703703705</v>
      </c>
      <c r="S1495">
        <f t="shared" si="217"/>
        <v>0</v>
      </c>
      <c r="T1495" s="2">
        <f t="shared" si="218"/>
        <v>45117</v>
      </c>
      <c r="U1495" t="str">
        <f t="shared" si="219"/>
        <v>NO PRAZO</v>
      </c>
    </row>
    <row r="1496" spans="1:21" hidden="1">
      <c r="A1496" s="1">
        <v>13719</v>
      </c>
      <c r="B1496" t="s">
        <v>12</v>
      </c>
      <c r="C1496" t="s">
        <v>13</v>
      </c>
      <c r="D1496" t="s">
        <v>14</v>
      </c>
      <c r="E1496" s="1">
        <v>1698</v>
      </c>
      <c r="F1496" s="1">
        <v>2023</v>
      </c>
      <c r="G1496" t="s">
        <v>11</v>
      </c>
      <c r="H1496" s="2">
        <v>45106.597754629627</v>
      </c>
      <c r="I1496" s="9">
        <f t="shared" si="211"/>
        <v>45107</v>
      </c>
      <c r="J1496" s="2" t="str">
        <f t="shared" si="212"/>
        <v/>
      </c>
      <c r="L1496" s="2" t="str">
        <f t="shared" si="213"/>
        <v/>
      </c>
      <c r="N1496" s="10" t="str">
        <f t="shared" si="214"/>
        <v/>
      </c>
      <c r="O1496" s="2">
        <f t="shared" si="215"/>
        <v>45107</v>
      </c>
      <c r="P1496" s="2">
        <v>45106.655312499999</v>
      </c>
      <c r="Q1496" s="2">
        <f t="shared" si="216"/>
        <v>45110</v>
      </c>
      <c r="R1496" s="2">
        <v>45107.384236111109</v>
      </c>
      <c r="S1496">
        <f t="shared" si="217"/>
        <v>0</v>
      </c>
      <c r="T1496" s="2">
        <f t="shared" si="218"/>
        <v>45110</v>
      </c>
      <c r="U1496" t="str">
        <f t="shared" si="219"/>
        <v>NO PRAZO</v>
      </c>
    </row>
    <row r="1497" spans="1:21" hidden="1">
      <c r="A1497" s="1">
        <v>13702</v>
      </c>
      <c r="B1497" t="s">
        <v>19</v>
      </c>
      <c r="C1497" t="s">
        <v>13</v>
      </c>
      <c r="D1497" t="s">
        <v>18</v>
      </c>
      <c r="E1497" s="1">
        <v>1681</v>
      </c>
      <c r="F1497" s="1">
        <v>2023</v>
      </c>
      <c r="G1497" t="s">
        <v>11</v>
      </c>
      <c r="H1497" s="2">
        <v>45105.500069444446</v>
      </c>
      <c r="I1497" s="9">
        <f t="shared" si="211"/>
        <v>45110</v>
      </c>
      <c r="J1497" s="2" t="str">
        <f t="shared" si="212"/>
        <v/>
      </c>
      <c r="L1497" s="2" t="str">
        <f t="shared" si="213"/>
        <v/>
      </c>
      <c r="N1497" s="10" t="str">
        <f t="shared" si="214"/>
        <v/>
      </c>
      <c r="O1497" s="2">
        <f t="shared" si="215"/>
        <v>45110</v>
      </c>
      <c r="P1497" s="2">
        <v>45106.507187499999</v>
      </c>
      <c r="Q1497" s="2">
        <f t="shared" si="216"/>
        <v>45114</v>
      </c>
      <c r="R1497" s="2">
        <v>45106.615543981483</v>
      </c>
      <c r="S1497">
        <f t="shared" si="217"/>
        <v>0</v>
      </c>
      <c r="T1497" s="2">
        <f t="shared" si="218"/>
        <v>45114</v>
      </c>
      <c r="U1497" t="str">
        <f t="shared" si="219"/>
        <v>NO PRAZO</v>
      </c>
    </row>
    <row r="1498" spans="1:21" hidden="1">
      <c r="A1498" s="1">
        <v>13694</v>
      </c>
      <c r="B1498" t="s">
        <v>17</v>
      </c>
      <c r="C1498" t="s">
        <v>9</v>
      </c>
      <c r="D1498" t="s">
        <v>18</v>
      </c>
      <c r="E1498" s="1">
        <v>1673</v>
      </c>
      <c r="F1498" s="1">
        <v>2023</v>
      </c>
      <c r="G1498" t="s">
        <v>11</v>
      </c>
      <c r="H1498" s="2">
        <v>45104.666747685187</v>
      </c>
      <c r="I1498" s="9">
        <f t="shared" si="211"/>
        <v>45107</v>
      </c>
      <c r="J1498" s="2" t="str">
        <f t="shared" si="212"/>
        <v/>
      </c>
      <c r="L1498" s="2" t="str">
        <f t="shared" si="213"/>
        <v/>
      </c>
      <c r="N1498" s="10" t="str">
        <f t="shared" si="214"/>
        <v/>
      </c>
      <c r="O1498" s="2">
        <f t="shared" si="215"/>
        <v>45107</v>
      </c>
      <c r="P1498" s="2">
        <v>45106.651770833334</v>
      </c>
      <c r="Q1498" s="2">
        <f t="shared" si="216"/>
        <v>45113</v>
      </c>
      <c r="R1498" s="2">
        <v>45106.652372685188</v>
      </c>
      <c r="S1498">
        <f t="shared" si="217"/>
        <v>0</v>
      </c>
      <c r="T1498" s="2">
        <f t="shared" si="218"/>
        <v>45113</v>
      </c>
      <c r="U1498" t="str">
        <f t="shared" si="219"/>
        <v>NO PRAZO</v>
      </c>
    </row>
    <row r="1499" spans="1:21" hidden="1">
      <c r="A1499" s="1">
        <v>13619</v>
      </c>
      <c r="B1499" t="s">
        <v>19</v>
      </c>
      <c r="C1499" t="s">
        <v>13</v>
      </c>
      <c r="D1499" t="s">
        <v>18</v>
      </c>
      <c r="E1499" s="1">
        <v>1598</v>
      </c>
      <c r="F1499" s="1">
        <v>2023</v>
      </c>
      <c r="G1499" t="s">
        <v>11</v>
      </c>
      <c r="H1499" s="2">
        <v>45098.500092592592</v>
      </c>
      <c r="I1499" s="9">
        <f t="shared" si="211"/>
        <v>45103</v>
      </c>
      <c r="J1499" s="2" t="str">
        <f t="shared" si="212"/>
        <v/>
      </c>
      <c r="L1499" s="2" t="str">
        <f t="shared" si="213"/>
        <v/>
      </c>
      <c r="N1499" s="10" t="str">
        <f t="shared" si="214"/>
        <v/>
      </c>
      <c r="O1499" s="2">
        <f t="shared" si="215"/>
        <v>45103</v>
      </c>
      <c r="P1499" s="2">
        <v>45098.696238425924</v>
      </c>
      <c r="Q1499" s="2">
        <f t="shared" si="216"/>
        <v>45107</v>
      </c>
      <c r="R1499" s="2">
        <v>45098.69935185185</v>
      </c>
      <c r="S1499">
        <f t="shared" si="217"/>
        <v>0</v>
      </c>
      <c r="T1499" s="2">
        <f t="shared" si="218"/>
        <v>45107</v>
      </c>
      <c r="U1499" t="str">
        <f t="shared" si="219"/>
        <v>NO PRAZO</v>
      </c>
    </row>
    <row r="1500" spans="1:21" hidden="1">
      <c r="A1500" s="1">
        <v>13600</v>
      </c>
      <c r="B1500" t="s">
        <v>19</v>
      </c>
      <c r="C1500" t="s">
        <v>13</v>
      </c>
      <c r="D1500" t="s">
        <v>21</v>
      </c>
      <c r="E1500" s="1">
        <v>1579</v>
      </c>
      <c r="F1500" s="1">
        <v>2023</v>
      </c>
      <c r="G1500" t="s">
        <v>11</v>
      </c>
      <c r="H1500" s="2">
        <v>45097.666759259257</v>
      </c>
      <c r="I1500" s="9">
        <f t="shared" si="211"/>
        <v>45100</v>
      </c>
      <c r="J1500" s="2" t="str">
        <f t="shared" si="212"/>
        <v/>
      </c>
      <c r="L1500" s="2" t="str">
        <f t="shared" si="213"/>
        <v/>
      </c>
      <c r="N1500" s="10" t="str">
        <f t="shared" si="214"/>
        <v/>
      </c>
      <c r="O1500" s="2">
        <f t="shared" si="215"/>
        <v>45100</v>
      </c>
      <c r="P1500" s="2">
        <v>45105.451817129629</v>
      </c>
      <c r="Q1500" s="2">
        <f t="shared" si="216"/>
        <v>45127</v>
      </c>
      <c r="R1500" s="2">
        <v>45105.452337962961</v>
      </c>
      <c r="S1500">
        <f t="shared" si="217"/>
        <v>0</v>
      </c>
      <c r="T1500" s="2">
        <f t="shared" si="218"/>
        <v>45127</v>
      </c>
      <c r="U1500" t="str">
        <f t="shared" si="219"/>
        <v>NO PRAZO</v>
      </c>
    </row>
    <row r="1501" spans="1:21">
      <c r="A1501" s="1">
        <v>13597</v>
      </c>
      <c r="B1501" t="s">
        <v>24</v>
      </c>
      <c r="C1501" t="s">
        <v>13</v>
      </c>
      <c r="D1501" t="s">
        <v>18</v>
      </c>
      <c r="E1501" s="1">
        <v>1576</v>
      </c>
      <c r="F1501" s="1">
        <v>2023</v>
      </c>
      <c r="G1501" t="s">
        <v>11</v>
      </c>
      <c r="H1501" s="2">
        <v>45097.583402777775</v>
      </c>
      <c r="I1501" s="9">
        <f t="shared" si="211"/>
        <v>45100</v>
      </c>
      <c r="J1501" s="2" t="str">
        <f t="shared" si="212"/>
        <v/>
      </c>
      <c r="L1501" s="2" t="str">
        <f t="shared" si="213"/>
        <v/>
      </c>
      <c r="N1501" s="10" t="str">
        <f t="shared" si="214"/>
        <v/>
      </c>
      <c r="O1501" s="2">
        <f t="shared" si="215"/>
        <v>45100</v>
      </c>
      <c r="P1501" s="2">
        <v>45147.600844907407</v>
      </c>
      <c r="Q1501" s="2">
        <f t="shared" si="216"/>
        <v>45106</v>
      </c>
      <c r="R1501" s="2">
        <v>45148.459699074076</v>
      </c>
      <c r="S1501">
        <f t="shared" si="217"/>
        <v>42</v>
      </c>
      <c r="T1501" s="2">
        <f t="shared" si="218"/>
        <v>45106</v>
      </c>
      <c r="U1501" t="str">
        <f t="shared" si="219"/>
        <v>ATRASO</v>
      </c>
    </row>
    <row r="1502" spans="1:21">
      <c r="A1502" s="1">
        <v>13596</v>
      </c>
      <c r="B1502" t="s">
        <v>20</v>
      </c>
      <c r="C1502" t="s">
        <v>13</v>
      </c>
      <c r="D1502" t="s">
        <v>18</v>
      </c>
      <c r="E1502" s="1">
        <v>1575</v>
      </c>
      <c r="F1502" s="1">
        <v>2023</v>
      </c>
      <c r="G1502" t="s">
        <v>11</v>
      </c>
      <c r="H1502" s="2">
        <v>45097.583402777775</v>
      </c>
      <c r="I1502" s="9">
        <f t="shared" si="211"/>
        <v>45100</v>
      </c>
      <c r="J1502" s="2" t="str">
        <f t="shared" si="212"/>
        <v/>
      </c>
      <c r="L1502" s="2" t="str">
        <f t="shared" si="213"/>
        <v/>
      </c>
      <c r="N1502" s="10" t="str">
        <f t="shared" si="214"/>
        <v/>
      </c>
      <c r="O1502" s="2">
        <f t="shared" si="215"/>
        <v>45100</v>
      </c>
      <c r="P1502" s="2">
        <v>45098.642627314817</v>
      </c>
      <c r="Q1502" s="2">
        <f t="shared" si="216"/>
        <v>45106</v>
      </c>
      <c r="R1502" s="2">
        <v>45219.408587962964</v>
      </c>
      <c r="S1502">
        <f t="shared" si="217"/>
        <v>113</v>
      </c>
      <c r="T1502" s="2">
        <f t="shared" si="218"/>
        <v>45106</v>
      </c>
      <c r="U1502" t="str">
        <f t="shared" si="219"/>
        <v>ATRASO</v>
      </c>
    </row>
    <row r="1503" spans="1:21" hidden="1">
      <c r="A1503" s="1">
        <v>13594</v>
      </c>
      <c r="B1503" t="s">
        <v>24</v>
      </c>
      <c r="C1503" t="s">
        <v>13</v>
      </c>
      <c r="D1503" t="s">
        <v>10</v>
      </c>
      <c r="E1503" s="1">
        <v>1573</v>
      </c>
      <c r="F1503" s="1">
        <v>2023</v>
      </c>
      <c r="G1503" t="s">
        <v>11</v>
      </c>
      <c r="H1503" s="2">
        <v>45097.500034722223</v>
      </c>
      <c r="I1503" s="9">
        <f t="shared" si="211"/>
        <v>45098</v>
      </c>
      <c r="J1503" s="2" t="str">
        <f t="shared" si="212"/>
        <v/>
      </c>
      <c r="L1503" s="2" t="str">
        <f t="shared" si="213"/>
        <v/>
      </c>
      <c r="N1503" s="10" t="str">
        <f t="shared" si="214"/>
        <v/>
      </c>
      <c r="O1503" s="2">
        <f t="shared" si="215"/>
        <v>45098</v>
      </c>
      <c r="P1503" s="2">
        <v>45097.516956018517</v>
      </c>
      <c r="Q1503" s="2">
        <f t="shared" si="216"/>
        <v>45099</v>
      </c>
      <c r="R1503" s="2">
        <v>45097.663622685184</v>
      </c>
      <c r="S1503">
        <f t="shared" si="217"/>
        <v>0</v>
      </c>
      <c r="T1503" s="2">
        <f t="shared" si="218"/>
        <v>45099</v>
      </c>
      <c r="U1503" t="str">
        <f t="shared" si="219"/>
        <v>NO PRAZO</v>
      </c>
    </row>
    <row r="1504" spans="1:21" hidden="1">
      <c r="A1504" s="1">
        <v>13580</v>
      </c>
      <c r="B1504" t="s">
        <v>20</v>
      </c>
      <c r="C1504" t="s">
        <v>13</v>
      </c>
      <c r="D1504" t="s">
        <v>18</v>
      </c>
      <c r="E1504" s="1">
        <v>1559</v>
      </c>
      <c r="F1504" s="1">
        <v>2023</v>
      </c>
      <c r="G1504" t="s">
        <v>11</v>
      </c>
      <c r="H1504" s="2">
        <v>45096.583437499998</v>
      </c>
      <c r="I1504" s="9">
        <f t="shared" si="211"/>
        <v>45099</v>
      </c>
      <c r="J1504" s="2" t="str">
        <f t="shared" si="212"/>
        <v/>
      </c>
      <c r="L1504" s="2" t="str">
        <f t="shared" si="213"/>
        <v/>
      </c>
      <c r="N1504" s="10" t="str">
        <f t="shared" si="214"/>
        <v/>
      </c>
      <c r="O1504" s="2">
        <f t="shared" si="215"/>
        <v>45099</v>
      </c>
      <c r="P1504" s="2">
        <v>45103.565069444441</v>
      </c>
      <c r="Q1504" s="2">
        <f t="shared" si="216"/>
        <v>45105</v>
      </c>
      <c r="R1504" s="2">
        <v>45103.566631944443</v>
      </c>
      <c r="S1504">
        <f t="shared" si="217"/>
        <v>0</v>
      </c>
      <c r="T1504" s="2">
        <f t="shared" si="218"/>
        <v>45105</v>
      </c>
      <c r="U1504" t="str">
        <f t="shared" si="219"/>
        <v>NO PRAZO</v>
      </c>
    </row>
    <row r="1505" spans="1:21" hidden="1">
      <c r="A1505" s="1">
        <v>13558</v>
      </c>
      <c r="B1505" t="s">
        <v>17</v>
      </c>
      <c r="C1505" t="s">
        <v>9</v>
      </c>
      <c r="D1505" t="s">
        <v>18</v>
      </c>
      <c r="E1505" s="1">
        <v>1537</v>
      </c>
      <c r="F1505" s="1">
        <v>2023</v>
      </c>
      <c r="G1505" t="s">
        <v>11</v>
      </c>
      <c r="H1505" s="2">
        <v>45093.625138888892</v>
      </c>
      <c r="I1505" s="9">
        <f t="shared" si="211"/>
        <v>45098</v>
      </c>
      <c r="J1505" s="2" t="str">
        <f t="shared" si="212"/>
        <v/>
      </c>
      <c r="L1505" s="2" t="str">
        <f t="shared" si="213"/>
        <v/>
      </c>
      <c r="N1505" s="10" t="str">
        <f t="shared" si="214"/>
        <v/>
      </c>
      <c r="O1505" s="2">
        <f t="shared" si="215"/>
        <v>45098</v>
      </c>
      <c r="P1505" s="2">
        <v>45093.645069444443</v>
      </c>
      <c r="Q1505" s="2">
        <f t="shared" si="216"/>
        <v>45104</v>
      </c>
      <c r="R1505" s="2">
        <v>45093.706782407404</v>
      </c>
      <c r="S1505">
        <f t="shared" si="217"/>
        <v>0</v>
      </c>
      <c r="T1505" s="2">
        <f t="shared" si="218"/>
        <v>45104</v>
      </c>
      <c r="U1505" t="str">
        <f t="shared" si="219"/>
        <v>NO PRAZO</v>
      </c>
    </row>
    <row r="1506" spans="1:21" hidden="1">
      <c r="A1506" s="1">
        <v>13553</v>
      </c>
      <c r="B1506" t="s">
        <v>20</v>
      </c>
      <c r="C1506" t="s">
        <v>13</v>
      </c>
      <c r="D1506" t="s">
        <v>18</v>
      </c>
      <c r="E1506" s="1">
        <v>1532</v>
      </c>
      <c r="F1506" s="1">
        <v>2023</v>
      </c>
      <c r="G1506" t="s">
        <v>11</v>
      </c>
      <c r="H1506" s="2">
        <v>45093.500092592592</v>
      </c>
      <c r="I1506" s="9">
        <f t="shared" si="211"/>
        <v>45098</v>
      </c>
      <c r="J1506" s="2" t="str">
        <f t="shared" si="212"/>
        <v/>
      </c>
      <c r="L1506" s="2" t="str">
        <f t="shared" si="213"/>
        <v/>
      </c>
      <c r="N1506" s="10" t="str">
        <f t="shared" si="214"/>
        <v/>
      </c>
      <c r="O1506" s="2">
        <f t="shared" si="215"/>
        <v>45098</v>
      </c>
      <c r="P1506" s="2">
        <v>45098.502129629633</v>
      </c>
      <c r="Q1506" s="2">
        <f t="shared" si="216"/>
        <v>45104</v>
      </c>
      <c r="R1506" s="2">
        <v>45098.50277777778</v>
      </c>
      <c r="S1506">
        <f t="shared" si="217"/>
        <v>0</v>
      </c>
      <c r="T1506" s="2">
        <f t="shared" si="218"/>
        <v>45104</v>
      </c>
      <c r="U1506" t="str">
        <f t="shared" si="219"/>
        <v>NO PRAZO</v>
      </c>
    </row>
    <row r="1507" spans="1:21" hidden="1">
      <c r="A1507" s="1">
        <v>13552</v>
      </c>
      <c r="B1507" t="s">
        <v>20</v>
      </c>
      <c r="C1507" t="s">
        <v>13</v>
      </c>
      <c r="D1507" t="s">
        <v>18</v>
      </c>
      <c r="E1507" s="1">
        <v>1531</v>
      </c>
      <c r="F1507" s="1">
        <v>2023</v>
      </c>
      <c r="G1507" t="s">
        <v>11</v>
      </c>
      <c r="H1507" s="2">
        <v>45093.500092592592</v>
      </c>
      <c r="I1507" s="9">
        <f t="shared" si="211"/>
        <v>45098</v>
      </c>
      <c r="J1507" s="2" t="str">
        <f t="shared" si="212"/>
        <v/>
      </c>
      <c r="L1507" s="2" t="str">
        <f t="shared" si="213"/>
        <v/>
      </c>
      <c r="N1507" s="10" t="str">
        <f t="shared" si="214"/>
        <v/>
      </c>
      <c r="O1507" s="2">
        <f t="shared" si="215"/>
        <v>45098</v>
      </c>
      <c r="P1507" s="2">
        <v>45096.655590277776</v>
      </c>
      <c r="Q1507" s="2">
        <f t="shared" si="216"/>
        <v>45104</v>
      </c>
      <c r="R1507" s="2">
        <v>45098.500069444446</v>
      </c>
      <c r="S1507">
        <f t="shared" si="217"/>
        <v>0</v>
      </c>
      <c r="T1507" s="2">
        <f t="shared" si="218"/>
        <v>45104</v>
      </c>
      <c r="U1507" t="str">
        <f t="shared" si="219"/>
        <v>NO PRAZO</v>
      </c>
    </row>
    <row r="1508" spans="1:21" hidden="1">
      <c r="A1508" s="1">
        <v>13548</v>
      </c>
      <c r="B1508" t="s">
        <v>20</v>
      </c>
      <c r="C1508" t="s">
        <v>13</v>
      </c>
      <c r="D1508" t="s">
        <v>16</v>
      </c>
      <c r="E1508" s="1">
        <v>1527</v>
      </c>
      <c r="F1508" s="1">
        <v>2023</v>
      </c>
      <c r="G1508" t="s">
        <v>11</v>
      </c>
      <c r="H1508" s="2">
        <v>45093.458391203705</v>
      </c>
      <c r="I1508" s="9">
        <f t="shared" si="211"/>
        <v>45096</v>
      </c>
      <c r="J1508" s="2" t="str">
        <f t="shared" si="212"/>
        <v/>
      </c>
      <c r="L1508" s="2" t="str">
        <f t="shared" si="213"/>
        <v/>
      </c>
      <c r="N1508" s="10" t="str">
        <f t="shared" si="214"/>
        <v/>
      </c>
      <c r="O1508" s="2">
        <f t="shared" si="215"/>
        <v>45096</v>
      </c>
      <c r="P1508" s="2">
        <v>45097.380208333336</v>
      </c>
      <c r="Q1508" s="2">
        <f t="shared" si="216"/>
        <v>45100</v>
      </c>
      <c r="R1508" s="2">
        <v>45100.718182870369</v>
      </c>
      <c r="S1508">
        <f t="shared" si="217"/>
        <v>0</v>
      </c>
      <c r="T1508" s="2">
        <f t="shared" si="218"/>
        <v>45100</v>
      </c>
      <c r="U1508" t="str">
        <f t="shared" si="219"/>
        <v>NO PRAZO</v>
      </c>
    </row>
    <row r="1509" spans="1:21" hidden="1">
      <c r="A1509" s="1">
        <v>13547</v>
      </c>
      <c r="B1509" t="s">
        <v>17</v>
      </c>
      <c r="C1509" t="s">
        <v>9</v>
      </c>
      <c r="D1509" t="s">
        <v>18</v>
      </c>
      <c r="E1509" s="1">
        <v>1526</v>
      </c>
      <c r="F1509" s="1">
        <v>2023</v>
      </c>
      <c r="G1509" t="s">
        <v>11</v>
      </c>
      <c r="H1509" s="2">
        <v>45093.458391203705</v>
      </c>
      <c r="I1509" s="9">
        <f t="shared" si="211"/>
        <v>45098</v>
      </c>
      <c r="J1509" s="2" t="str">
        <f t="shared" si="212"/>
        <v/>
      </c>
      <c r="L1509" s="2" t="str">
        <f t="shared" si="213"/>
        <v/>
      </c>
      <c r="N1509" s="10" t="str">
        <f t="shared" si="214"/>
        <v/>
      </c>
      <c r="O1509" s="2">
        <f t="shared" si="215"/>
        <v>45098</v>
      </c>
      <c r="P1509" s="2">
        <v>45093.655717592592</v>
      </c>
      <c r="Q1509" s="2">
        <f t="shared" si="216"/>
        <v>45104</v>
      </c>
      <c r="R1509" s="2">
        <v>45096.49800925926</v>
      </c>
      <c r="S1509">
        <f t="shared" si="217"/>
        <v>0</v>
      </c>
      <c r="T1509" s="2">
        <f t="shared" si="218"/>
        <v>45104</v>
      </c>
      <c r="U1509" t="str">
        <f t="shared" si="219"/>
        <v>NO PRAZO</v>
      </c>
    </row>
    <row r="1510" spans="1:21" hidden="1">
      <c r="A1510" s="1">
        <v>13542</v>
      </c>
      <c r="B1510" t="s">
        <v>17</v>
      </c>
      <c r="C1510" t="s">
        <v>9</v>
      </c>
      <c r="D1510" t="s">
        <v>18</v>
      </c>
      <c r="E1510" s="1">
        <v>1521</v>
      </c>
      <c r="F1510" s="1">
        <v>2023</v>
      </c>
      <c r="G1510" t="s">
        <v>11</v>
      </c>
      <c r="H1510" s="2">
        <v>45093.416770833333</v>
      </c>
      <c r="I1510" s="9">
        <f t="shared" si="211"/>
        <v>45098</v>
      </c>
      <c r="J1510" s="2" t="str">
        <f t="shared" si="212"/>
        <v/>
      </c>
      <c r="L1510" s="2" t="str">
        <f t="shared" si="213"/>
        <v/>
      </c>
      <c r="N1510" s="10" t="str">
        <f t="shared" si="214"/>
        <v/>
      </c>
      <c r="O1510" s="2">
        <f t="shared" si="215"/>
        <v>45098</v>
      </c>
      <c r="P1510" s="2">
        <v>45096.36445601852</v>
      </c>
      <c r="Q1510" s="2">
        <f t="shared" si="216"/>
        <v>45104</v>
      </c>
      <c r="R1510" s="2">
        <v>45096.365347222221</v>
      </c>
      <c r="S1510">
        <f t="shared" si="217"/>
        <v>0</v>
      </c>
      <c r="T1510" s="2">
        <f t="shared" si="218"/>
        <v>45104</v>
      </c>
      <c r="U1510" t="str">
        <f t="shared" si="219"/>
        <v>NO PRAZO</v>
      </c>
    </row>
    <row r="1511" spans="1:21" hidden="1">
      <c r="A1511" s="1">
        <v>13537</v>
      </c>
      <c r="B1511" t="s">
        <v>20</v>
      </c>
      <c r="C1511" t="s">
        <v>13</v>
      </c>
      <c r="D1511" t="s">
        <v>14</v>
      </c>
      <c r="E1511" s="1">
        <v>1516</v>
      </c>
      <c r="F1511" s="1">
        <v>2023</v>
      </c>
      <c r="G1511" t="s">
        <v>11</v>
      </c>
      <c r="H1511" s="2">
        <v>45092.666770833333</v>
      </c>
      <c r="I1511" s="9">
        <f t="shared" si="211"/>
        <v>45093</v>
      </c>
      <c r="J1511" s="2" t="str">
        <f t="shared" si="212"/>
        <v/>
      </c>
      <c r="L1511" s="2" t="str">
        <f t="shared" si="213"/>
        <v/>
      </c>
      <c r="N1511" s="10" t="str">
        <f t="shared" si="214"/>
        <v/>
      </c>
      <c r="O1511" s="2">
        <f t="shared" si="215"/>
        <v>45093</v>
      </c>
      <c r="P1511" s="2">
        <v>45092.671249999999</v>
      </c>
      <c r="Q1511" s="2">
        <f t="shared" si="216"/>
        <v>45096</v>
      </c>
      <c r="R1511" s="2">
        <v>45096.441053240742</v>
      </c>
      <c r="S1511">
        <f t="shared" si="217"/>
        <v>0</v>
      </c>
      <c r="T1511" s="2">
        <f t="shared" si="218"/>
        <v>45096</v>
      </c>
      <c r="U1511" t="str">
        <f t="shared" si="219"/>
        <v>NO PRAZO</v>
      </c>
    </row>
    <row r="1512" spans="1:21" hidden="1">
      <c r="A1512" s="1">
        <v>13532</v>
      </c>
      <c r="B1512" t="s">
        <v>12</v>
      </c>
      <c r="C1512" t="s">
        <v>13</v>
      </c>
      <c r="D1512" t="s">
        <v>18</v>
      </c>
      <c r="E1512" s="1">
        <v>1511</v>
      </c>
      <c r="F1512" s="1">
        <v>2023</v>
      </c>
      <c r="G1512" t="s">
        <v>11</v>
      </c>
      <c r="H1512" s="2">
        <v>45092.500127314815</v>
      </c>
      <c r="I1512" s="9">
        <f t="shared" si="211"/>
        <v>45097</v>
      </c>
      <c r="J1512" s="2" t="str">
        <f t="shared" si="212"/>
        <v/>
      </c>
      <c r="L1512" s="2" t="str">
        <f t="shared" si="213"/>
        <v/>
      </c>
      <c r="N1512" s="10" t="str">
        <f t="shared" si="214"/>
        <v/>
      </c>
      <c r="O1512" s="2">
        <f t="shared" si="215"/>
        <v>45097</v>
      </c>
      <c r="P1512" s="2">
        <v>45093.675995370373</v>
      </c>
      <c r="Q1512" s="2">
        <f t="shared" si="216"/>
        <v>45103</v>
      </c>
      <c r="R1512" s="2">
        <v>45093.677256944444</v>
      </c>
      <c r="S1512">
        <f t="shared" si="217"/>
        <v>0</v>
      </c>
      <c r="T1512" s="2">
        <f t="shared" si="218"/>
        <v>45103</v>
      </c>
      <c r="U1512" t="str">
        <f t="shared" si="219"/>
        <v>NO PRAZO</v>
      </c>
    </row>
    <row r="1513" spans="1:21" hidden="1">
      <c r="A1513" s="1">
        <v>13528</v>
      </c>
      <c r="B1513" t="s">
        <v>19</v>
      </c>
      <c r="C1513" t="s">
        <v>13</v>
      </c>
      <c r="D1513" t="s">
        <v>18</v>
      </c>
      <c r="E1513" s="1">
        <v>1507</v>
      </c>
      <c r="F1513" s="1">
        <v>2023</v>
      </c>
      <c r="G1513" t="s">
        <v>11</v>
      </c>
      <c r="H1513" s="2">
        <v>45092.416770833333</v>
      </c>
      <c r="I1513" s="9">
        <f t="shared" si="211"/>
        <v>45097</v>
      </c>
      <c r="J1513" s="2" t="str">
        <f t="shared" si="212"/>
        <v/>
      </c>
      <c r="L1513" s="2" t="str">
        <f t="shared" si="213"/>
        <v/>
      </c>
      <c r="N1513" s="10" t="str">
        <f t="shared" si="214"/>
        <v/>
      </c>
      <c r="O1513" s="2">
        <f t="shared" si="215"/>
        <v>45097</v>
      </c>
      <c r="P1513" s="2">
        <v>45097.438750000001</v>
      </c>
      <c r="Q1513" s="2">
        <f t="shared" si="216"/>
        <v>45103</v>
      </c>
      <c r="R1513" s="2">
        <v>45097.43891203704</v>
      </c>
      <c r="S1513">
        <f t="shared" si="217"/>
        <v>0</v>
      </c>
      <c r="T1513" s="2">
        <f t="shared" si="218"/>
        <v>45103</v>
      </c>
      <c r="U1513" t="str">
        <f t="shared" si="219"/>
        <v>NO PRAZO</v>
      </c>
    </row>
    <row r="1514" spans="1:21" hidden="1">
      <c r="A1514" s="1">
        <v>13525</v>
      </c>
      <c r="B1514" t="s">
        <v>17</v>
      </c>
      <c r="C1514" t="s">
        <v>9</v>
      </c>
      <c r="D1514" t="s">
        <v>18</v>
      </c>
      <c r="E1514" s="1">
        <v>1504</v>
      </c>
      <c r="F1514" s="1">
        <v>2023</v>
      </c>
      <c r="G1514" t="s">
        <v>11</v>
      </c>
      <c r="H1514" s="2">
        <v>45091.750081018516</v>
      </c>
      <c r="I1514" s="9">
        <f t="shared" si="211"/>
        <v>45096</v>
      </c>
      <c r="J1514" s="2" t="str">
        <f t="shared" si="212"/>
        <v/>
      </c>
      <c r="L1514" s="2" t="str">
        <f t="shared" si="213"/>
        <v/>
      </c>
      <c r="N1514" s="10" t="str">
        <f t="shared" si="214"/>
        <v/>
      </c>
      <c r="O1514" s="2">
        <f t="shared" si="215"/>
        <v>45096</v>
      </c>
      <c r="P1514" s="2">
        <v>45093.665648148148</v>
      </c>
      <c r="Q1514" s="2">
        <f t="shared" si="216"/>
        <v>45100</v>
      </c>
      <c r="R1514" s="2">
        <v>45093.666921296295</v>
      </c>
      <c r="S1514">
        <f t="shared" si="217"/>
        <v>0</v>
      </c>
      <c r="T1514" s="2">
        <f t="shared" si="218"/>
        <v>45100</v>
      </c>
      <c r="U1514" t="str">
        <f t="shared" si="219"/>
        <v>NO PRAZO</v>
      </c>
    </row>
    <row r="1515" spans="1:21" hidden="1">
      <c r="A1515" s="1">
        <v>13520</v>
      </c>
      <c r="B1515" t="s">
        <v>12</v>
      </c>
      <c r="C1515" t="s">
        <v>13</v>
      </c>
      <c r="D1515" t="s">
        <v>14</v>
      </c>
      <c r="E1515" s="1">
        <v>1499</v>
      </c>
      <c r="F1515" s="1">
        <v>2023</v>
      </c>
      <c r="G1515" t="s">
        <v>11</v>
      </c>
      <c r="H1515" s="2">
        <v>45091.625092592592</v>
      </c>
      <c r="I1515" s="9">
        <f t="shared" si="211"/>
        <v>45092</v>
      </c>
      <c r="J1515" s="2" t="str">
        <f t="shared" si="212"/>
        <v/>
      </c>
      <c r="L1515" s="2" t="str">
        <f t="shared" si="213"/>
        <v/>
      </c>
      <c r="N1515" s="10" t="str">
        <f t="shared" si="214"/>
        <v/>
      </c>
      <c r="O1515" s="2">
        <f t="shared" si="215"/>
        <v>45092</v>
      </c>
      <c r="P1515" s="2">
        <v>45091.682754629626</v>
      </c>
      <c r="Q1515" s="2">
        <f t="shared" si="216"/>
        <v>45093</v>
      </c>
      <c r="R1515" s="2">
        <v>45092.591041666667</v>
      </c>
      <c r="S1515">
        <f t="shared" si="217"/>
        <v>0</v>
      </c>
      <c r="T1515" s="2">
        <f t="shared" si="218"/>
        <v>45093</v>
      </c>
      <c r="U1515" t="str">
        <f t="shared" si="219"/>
        <v>NO PRAZO</v>
      </c>
    </row>
    <row r="1516" spans="1:21" hidden="1">
      <c r="A1516" s="1">
        <v>13516</v>
      </c>
      <c r="B1516" t="s">
        <v>19</v>
      </c>
      <c r="C1516" t="s">
        <v>13</v>
      </c>
      <c r="D1516" t="s">
        <v>18</v>
      </c>
      <c r="E1516" s="1">
        <v>1495</v>
      </c>
      <c r="F1516" s="1">
        <v>2023</v>
      </c>
      <c r="G1516" t="s">
        <v>11</v>
      </c>
      <c r="H1516" s="2">
        <v>45091.583437499998</v>
      </c>
      <c r="I1516" s="9">
        <f t="shared" si="211"/>
        <v>45096</v>
      </c>
      <c r="J1516" s="2" t="str">
        <f t="shared" si="212"/>
        <v/>
      </c>
      <c r="L1516" s="2" t="str">
        <f t="shared" si="213"/>
        <v/>
      </c>
      <c r="N1516" s="10" t="str">
        <f t="shared" si="214"/>
        <v/>
      </c>
      <c r="O1516" s="2">
        <f t="shared" si="215"/>
        <v>45096</v>
      </c>
      <c r="P1516" s="2">
        <v>45097.439085648148</v>
      </c>
      <c r="Q1516" s="2">
        <f t="shared" si="216"/>
        <v>45100</v>
      </c>
      <c r="R1516" s="2">
        <v>45097.441747685189</v>
      </c>
      <c r="S1516">
        <f t="shared" si="217"/>
        <v>0</v>
      </c>
      <c r="T1516" s="2">
        <f t="shared" si="218"/>
        <v>45100</v>
      </c>
      <c r="U1516" t="str">
        <f t="shared" si="219"/>
        <v>NO PRAZO</v>
      </c>
    </row>
    <row r="1517" spans="1:21" hidden="1">
      <c r="A1517" s="1">
        <v>13515</v>
      </c>
      <c r="B1517" t="s">
        <v>17</v>
      </c>
      <c r="C1517" t="s">
        <v>9</v>
      </c>
      <c r="D1517" t="s">
        <v>18</v>
      </c>
      <c r="E1517" s="1">
        <v>1494</v>
      </c>
      <c r="F1517" s="1">
        <v>2023</v>
      </c>
      <c r="G1517" t="s">
        <v>11</v>
      </c>
      <c r="H1517" s="2">
        <v>45091.583437499998</v>
      </c>
      <c r="I1517" s="9">
        <f t="shared" si="211"/>
        <v>45096</v>
      </c>
      <c r="J1517" s="2" t="str">
        <f t="shared" si="212"/>
        <v/>
      </c>
      <c r="L1517" s="2" t="str">
        <f t="shared" si="213"/>
        <v/>
      </c>
      <c r="N1517" s="10" t="str">
        <f t="shared" si="214"/>
        <v/>
      </c>
      <c r="O1517" s="2">
        <f t="shared" si="215"/>
        <v>45096</v>
      </c>
      <c r="P1517" s="2">
        <v>45093.655856481484</v>
      </c>
      <c r="Q1517" s="2">
        <f t="shared" si="216"/>
        <v>45100</v>
      </c>
      <c r="R1517" s="2">
        <v>45093.719131944446</v>
      </c>
      <c r="S1517">
        <f t="shared" si="217"/>
        <v>0</v>
      </c>
      <c r="T1517" s="2">
        <f t="shared" si="218"/>
        <v>45100</v>
      </c>
      <c r="U1517" t="str">
        <f t="shared" si="219"/>
        <v>NO PRAZO</v>
      </c>
    </row>
    <row r="1518" spans="1:21">
      <c r="A1518" s="1">
        <v>13503</v>
      </c>
      <c r="B1518" t="s">
        <v>20</v>
      </c>
      <c r="C1518" t="s">
        <v>13</v>
      </c>
      <c r="D1518" t="s">
        <v>14</v>
      </c>
      <c r="E1518" s="1">
        <v>1482</v>
      </c>
      <c r="F1518" s="1">
        <v>2023</v>
      </c>
      <c r="G1518" t="s">
        <v>11</v>
      </c>
      <c r="H1518" s="2">
        <v>45090.708437499998</v>
      </c>
      <c r="I1518" s="9">
        <f t="shared" si="211"/>
        <v>45091</v>
      </c>
      <c r="J1518" s="2" t="str">
        <f t="shared" si="212"/>
        <v/>
      </c>
      <c r="L1518" s="2" t="str">
        <f t="shared" si="213"/>
        <v/>
      </c>
      <c r="N1518" s="10" t="str">
        <f t="shared" si="214"/>
        <v/>
      </c>
      <c r="O1518" s="2">
        <f t="shared" si="215"/>
        <v>45091</v>
      </c>
      <c r="P1518" s="2">
        <v>45092.690266203703</v>
      </c>
      <c r="Q1518" s="2">
        <f t="shared" si="216"/>
        <v>45092</v>
      </c>
      <c r="R1518" s="2">
        <v>45097.886956018519</v>
      </c>
      <c r="S1518">
        <f t="shared" si="217"/>
        <v>5</v>
      </c>
      <c r="T1518" s="2">
        <f t="shared" si="218"/>
        <v>45092</v>
      </c>
      <c r="U1518" t="str">
        <f t="shared" si="219"/>
        <v>ATRASO</v>
      </c>
    </row>
    <row r="1519" spans="1:21">
      <c r="A1519" s="1">
        <v>13502</v>
      </c>
      <c r="B1519" t="s">
        <v>19</v>
      </c>
      <c r="C1519" t="s">
        <v>13</v>
      </c>
      <c r="D1519" t="s">
        <v>16</v>
      </c>
      <c r="E1519" s="1">
        <v>1481</v>
      </c>
      <c r="F1519" s="1">
        <v>2023</v>
      </c>
      <c r="G1519" t="s">
        <v>11</v>
      </c>
      <c r="H1519" s="2">
        <v>45090.625127314815</v>
      </c>
      <c r="I1519" s="9">
        <f t="shared" si="211"/>
        <v>45091</v>
      </c>
      <c r="J1519" s="2" t="str">
        <f t="shared" si="212"/>
        <v/>
      </c>
      <c r="L1519" s="2" t="str">
        <f t="shared" si="213"/>
        <v/>
      </c>
      <c r="N1519" s="10" t="str">
        <f t="shared" si="214"/>
        <v/>
      </c>
      <c r="O1519" s="2">
        <f t="shared" si="215"/>
        <v>45091</v>
      </c>
      <c r="P1519" s="2">
        <v>45099.608738425923</v>
      </c>
      <c r="Q1519" s="2">
        <f t="shared" si="216"/>
        <v>45097</v>
      </c>
      <c r="R1519" s="2">
        <v>45100.615972222222</v>
      </c>
      <c r="S1519">
        <f t="shared" si="217"/>
        <v>3</v>
      </c>
      <c r="T1519" s="2">
        <f t="shared" si="218"/>
        <v>45097</v>
      </c>
      <c r="U1519" t="str">
        <f t="shared" si="219"/>
        <v>ATRASO</v>
      </c>
    </row>
    <row r="1520" spans="1:21" hidden="1">
      <c r="A1520" s="1">
        <v>13489</v>
      </c>
      <c r="B1520" t="s">
        <v>17</v>
      </c>
      <c r="C1520" t="s">
        <v>9</v>
      </c>
      <c r="D1520" t="s">
        <v>18</v>
      </c>
      <c r="E1520" s="1">
        <v>1468</v>
      </c>
      <c r="F1520" s="1">
        <v>2023</v>
      </c>
      <c r="G1520" t="s">
        <v>11</v>
      </c>
      <c r="H1520" s="2">
        <v>45089.750138888892</v>
      </c>
      <c r="I1520" s="9">
        <f t="shared" si="211"/>
        <v>45092</v>
      </c>
      <c r="J1520" s="2" t="str">
        <f t="shared" si="212"/>
        <v/>
      </c>
      <c r="L1520" s="2" t="str">
        <f t="shared" si="213"/>
        <v/>
      </c>
      <c r="N1520" s="10" t="str">
        <f t="shared" si="214"/>
        <v/>
      </c>
      <c r="O1520" s="2">
        <f t="shared" si="215"/>
        <v>45092</v>
      </c>
      <c r="P1520" s="2">
        <v>45092.614270833335</v>
      </c>
      <c r="Q1520" s="2">
        <f t="shared" si="216"/>
        <v>45098</v>
      </c>
      <c r="R1520" s="2">
        <v>45092.624340277776</v>
      </c>
      <c r="S1520">
        <f t="shared" si="217"/>
        <v>0</v>
      </c>
      <c r="T1520" s="2">
        <f t="shared" si="218"/>
        <v>45098</v>
      </c>
      <c r="U1520" t="str">
        <f t="shared" si="219"/>
        <v>NO PRAZO</v>
      </c>
    </row>
    <row r="1521" spans="1:21" hidden="1">
      <c r="A1521" s="1">
        <v>13484</v>
      </c>
      <c r="B1521" t="s">
        <v>19</v>
      </c>
      <c r="C1521" t="s">
        <v>13</v>
      </c>
      <c r="D1521" t="s">
        <v>10</v>
      </c>
      <c r="E1521" s="1">
        <v>1463</v>
      </c>
      <c r="F1521" s="1">
        <v>2023</v>
      </c>
      <c r="G1521" t="s">
        <v>11</v>
      </c>
      <c r="H1521" s="2">
        <v>45089.500115740739</v>
      </c>
      <c r="I1521" s="9">
        <f t="shared" si="211"/>
        <v>45090</v>
      </c>
      <c r="J1521" s="2" t="str">
        <f t="shared" si="212"/>
        <v/>
      </c>
      <c r="L1521" s="2" t="str">
        <f t="shared" si="213"/>
        <v/>
      </c>
      <c r="N1521" s="10" t="str">
        <f t="shared" si="214"/>
        <v/>
      </c>
      <c r="O1521" s="2">
        <f t="shared" si="215"/>
        <v>45090</v>
      </c>
      <c r="P1521" s="2">
        <v>45091.481087962966</v>
      </c>
      <c r="Q1521" s="2">
        <f t="shared" si="216"/>
        <v>45091</v>
      </c>
      <c r="R1521" s="2">
        <v>45091.513182870367</v>
      </c>
      <c r="S1521">
        <f t="shared" si="217"/>
        <v>0</v>
      </c>
      <c r="T1521" s="2">
        <f t="shared" si="218"/>
        <v>45091</v>
      </c>
      <c r="U1521" t="str">
        <f t="shared" si="219"/>
        <v>NO PRAZO</v>
      </c>
    </row>
    <row r="1522" spans="1:21" hidden="1">
      <c r="A1522" s="1">
        <v>13465</v>
      </c>
      <c r="B1522" t="s">
        <v>12</v>
      </c>
      <c r="C1522" t="s">
        <v>13</v>
      </c>
      <c r="D1522" t="s">
        <v>10</v>
      </c>
      <c r="E1522" s="1">
        <v>1444</v>
      </c>
      <c r="F1522" s="1">
        <v>2023</v>
      </c>
      <c r="G1522" t="s">
        <v>11</v>
      </c>
      <c r="H1522" s="2">
        <v>45084.500127314815</v>
      </c>
      <c r="I1522" s="9">
        <f t="shared" si="211"/>
        <v>45086</v>
      </c>
      <c r="J1522" s="2" t="str">
        <f t="shared" si="212"/>
        <v/>
      </c>
      <c r="L1522" s="2" t="str">
        <f t="shared" si="213"/>
        <v/>
      </c>
      <c r="N1522" s="10" t="str">
        <f t="shared" si="214"/>
        <v/>
      </c>
      <c r="O1522" s="2">
        <f t="shared" si="215"/>
        <v>45086</v>
      </c>
      <c r="P1522" s="2">
        <v>45089.647199074076</v>
      </c>
      <c r="Q1522" s="2">
        <f t="shared" si="216"/>
        <v>45089</v>
      </c>
      <c r="R1522" s="2">
        <v>45089.695694444446</v>
      </c>
      <c r="S1522">
        <f t="shared" si="217"/>
        <v>0</v>
      </c>
      <c r="T1522" s="2">
        <f t="shared" si="218"/>
        <v>45089</v>
      </c>
      <c r="U1522" t="str">
        <f t="shared" si="219"/>
        <v>NO PRAZO</v>
      </c>
    </row>
    <row r="1523" spans="1:21" hidden="1">
      <c r="A1523" s="1">
        <v>13443</v>
      </c>
      <c r="B1523" t="s">
        <v>12</v>
      </c>
      <c r="C1523" t="s">
        <v>13</v>
      </c>
      <c r="D1523" t="s">
        <v>10</v>
      </c>
      <c r="E1523" s="1">
        <v>1422</v>
      </c>
      <c r="F1523" s="1">
        <v>2023</v>
      </c>
      <c r="G1523" t="s">
        <v>11</v>
      </c>
      <c r="H1523" s="2">
        <v>45082.708425925928</v>
      </c>
      <c r="I1523" s="9">
        <f t="shared" si="211"/>
        <v>45083</v>
      </c>
      <c r="J1523" s="2" t="str">
        <f t="shared" si="212"/>
        <v/>
      </c>
      <c r="L1523" s="2" t="str">
        <f t="shared" si="213"/>
        <v/>
      </c>
      <c r="N1523" s="10" t="str">
        <f t="shared" si="214"/>
        <v/>
      </c>
      <c r="O1523" s="2">
        <f t="shared" si="215"/>
        <v>45083</v>
      </c>
      <c r="P1523" s="2">
        <v>45083.54546296296</v>
      </c>
      <c r="Q1523" s="2">
        <f t="shared" si="216"/>
        <v>45084</v>
      </c>
      <c r="R1523" s="2">
        <v>45083.63925925926</v>
      </c>
      <c r="S1523">
        <f t="shared" si="217"/>
        <v>0</v>
      </c>
      <c r="T1523" s="2">
        <f t="shared" si="218"/>
        <v>45084</v>
      </c>
      <c r="U1523" t="str">
        <f t="shared" si="219"/>
        <v>NO PRAZO</v>
      </c>
    </row>
    <row r="1524" spans="1:21" hidden="1">
      <c r="A1524" s="1">
        <v>13436</v>
      </c>
      <c r="B1524" t="s">
        <v>17</v>
      </c>
      <c r="C1524" t="s">
        <v>9</v>
      </c>
      <c r="D1524" t="s">
        <v>10</v>
      </c>
      <c r="E1524" s="1">
        <v>1415</v>
      </c>
      <c r="F1524" s="1">
        <v>2023</v>
      </c>
      <c r="G1524" t="s">
        <v>11</v>
      </c>
      <c r="H1524" s="2">
        <v>45082.625057870369</v>
      </c>
      <c r="I1524" s="9">
        <f t="shared" si="211"/>
        <v>45083</v>
      </c>
      <c r="J1524" s="2" t="str">
        <f t="shared" si="212"/>
        <v/>
      </c>
      <c r="L1524" s="2" t="str">
        <f t="shared" si="213"/>
        <v/>
      </c>
      <c r="N1524" s="10" t="str">
        <f t="shared" si="214"/>
        <v/>
      </c>
      <c r="O1524" s="2">
        <f t="shared" si="215"/>
        <v>45083</v>
      </c>
      <c r="P1524" s="2">
        <v>45083.696562500001</v>
      </c>
      <c r="Q1524" s="2">
        <f t="shared" si="216"/>
        <v>45084</v>
      </c>
      <c r="R1524" s="2">
        <v>45083.698784722219</v>
      </c>
      <c r="S1524">
        <f t="shared" si="217"/>
        <v>0</v>
      </c>
      <c r="T1524" s="2">
        <f t="shared" si="218"/>
        <v>45084</v>
      </c>
      <c r="U1524" t="str">
        <f t="shared" si="219"/>
        <v>NO PRAZO</v>
      </c>
    </row>
    <row r="1525" spans="1:21" hidden="1">
      <c r="A1525" s="1">
        <v>13435</v>
      </c>
      <c r="B1525" t="s">
        <v>17</v>
      </c>
      <c r="C1525" t="s">
        <v>9</v>
      </c>
      <c r="D1525" t="s">
        <v>18</v>
      </c>
      <c r="E1525" s="1">
        <v>1414</v>
      </c>
      <c r="F1525" s="1">
        <v>2023</v>
      </c>
      <c r="G1525" t="s">
        <v>11</v>
      </c>
      <c r="H1525" s="2">
        <v>45082.625057870369</v>
      </c>
      <c r="I1525" s="9">
        <f t="shared" si="211"/>
        <v>45086</v>
      </c>
      <c r="J1525" s="2" t="str">
        <f t="shared" si="212"/>
        <v/>
      </c>
      <c r="L1525" s="2" t="str">
        <f t="shared" si="213"/>
        <v/>
      </c>
      <c r="N1525" s="10" t="str">
        <f t="shared" si="214"/>
        <v/>
      </c>
      <c r="O1525" s="2">
        <f t="shared" si="215"/>
        <v>45086</v>
      </c>
      <c r="P1525" s="2">
        <v>45084.482210648152</v>
      </c>
      <c r="Q1525" s="2">
        <f t="shared" si="216"/>
        <v>45092</v>
      </c>
      <c r="R1525" s="2">
        <v>45084.482511574075</v>
      </c>
      <c r="S1525">
        <f t="shared" si="217"/>
        <v>0</v>
      </c>
      <c r="T1525" s="2">
        <f t="shared" si="218"/>
        <v>45092</v>
      </c>
      <c r="U1525" t="str">
        <f t="shared" si="219"/>
        <v>NO PRAZO</v>
      </c>
    </row>
    <row r="1526" spans="1:21" hidden="1">
      <c r="A1526" s="1">
        <v>13430</v>
      </c>
      <c r="B1526" t="s">
        <v>17</v>
      </c>
      <c r="C1526" t="s">
        <v>9</v>
      </c>
      <c r="D1526" t="s">
        <v>18</v>
      </c>
      <c r="E1526" s="1">
        <v>1409</v>
      </c>
      <c r="F1526" s="1">
        <v>2023</v>
      </c>
      <c r="G1526" t="s">
        <v>11</v>
      </c>
      <c r="H1526" s="2">
        <v>45082.458449074074</v>
      </c>
      <c r="I1526" s="9">
        <f t="shared" si="211"/>
        <v>45086</v>
      </c>
      <c r="J1526" s="2" t="str">
        <f t="shared" si="212"/>
        <v/>
      </c>
      <c r="L1526" s="2" t="str">
        <f t="shared" si="213"/>
        <v/>
      </c>
      <c r="N1526" s="10" t="str">
        <f t="shared" si="214"/>
        <v/>
      </c>
      <c r="O1526" s="2">
        <f t="shared" si="215"/>
        <v>45086</v>
      </c>
      <c r="P1526" s="2">
        <v>45089.432523148149</v>
      </c>
      <c r="Q1526" s="2">
        <f t="shared" si="216"/>
        <v>45092</v>
      </c>
      <c r="R1526" s="2">
        <v>45089.433587962965</v>
      </c>
      <c r="S1526">
        <f t="shared" si="217"/>
        <v>0</v>
      </c>
      <c r="T1526" s="2">
        <f t="shared" si="218"/>
        <v>45092</v>
      </c>
      <c r="U1526" t="str">
        <f t="shared" si="219"/>
        <v>NO PRAZO</v>
      </c>
    </row>
    <row r="1527" spans="1:21">
      <c r="A1527" s="1">
        <v>13416</v>
      </c>
      <c r="B1527" t="s">
        <v>20</v>
      </c>
      <c r="C1527" t="s">
        <v>13</v>
      </c>
      <c r="D1527" t="s">
        <v>18</v>
      </c>
      <c r="E1527" s="1">
        <v>1395</v>
      </c>
      <c r="F1527" s="1">
        <v>2023</v>
      </c>
      <c r="G1527" t="s">
        <v>11</v>
      </c>
      <c r="H1527" s="2">
        <v>45078.708495370367</v>
      </c>
      <c r="I1527" s="9">
        <f t="shared" si="211"/>
        <v>45083</v>
      </c>
      <c r="J1527" s="2" t="str">
        <f t="shared" si="212"/>
        <v/>
      </c>
      <c r="L1527" s="2" t="str">
        <f t="shared" si="213"/>
        <v/>
      </c>
      <c r="N1527" s="10" t="str">
        <f t="shared" si="214"/>
        <v/>
      </c>
      <c r="O1527" s="2">
        <f t="shared" si="215"/>
        <v>45083</v>
      </c>
      <c r="P1527" s="2">
        <v>45082.410532407404</v>
      </c>
      <c r="Q1527" s="2">
        <f t="shared" si="216"/>
        <v>45090</v>
      </c>
      <c r="R1527" s="2">
        <v>45093.465312499997</v>
      </c>
      <c r="S1527">
        <f t="shared" si="217"/>
        <v>3</v>
      </c>
      <c r="T1527" s="2">
        <f t="shared" si="218"/>
        <v>45090</v>
      </c>
      <c r="U1527" t="str">
        <f t="shared" si="219"/>
        <v>ATRASO</v>
      </c>
    </row>
    <row r="1528" spans="1:21">
      <c r="A1528" s="1">
        <v>13414</v>
      </c>
      <c r="B1528" t="s">
        <v>12</v>
      </c>
      <c r="C1528" t="s">
        <v>13</v>
      </c>
      <c r="D1528" t="s">
        <v>10</v>
      </c>
      <c r="E1528" s="1">
        <v>1393</v>
      </c>
      <c r="F1528" s="1">
        <v>2023</v>
      </c>
      <c r="G1528" t="s">
        <v>11</v>
      </c>
      <c r="H1528" s="2">
        <v>45078.666817129626</v>
      </c>
      <c r="I1528" s="9">
        <f t="shared" si="211"/>
        <v>45079</v>
      </c>
      <c r="J1528" s="2" t="str">
        <f t="shared" si="212"/>
        <v/>
      </c>
      <c r="L1528" s="2" t="str">
        <f t="shared" si="213"/>
        <v/>
      </c>
      <c r="N1528" s="10" t="str">
        <f t="shared" si="214"/>
        <v/>
      </c>
      <c r="O1528" s="2">
        <f t="shared" si="215"/>
        <v>45079</v>
      </c>
      <c r="P1528" s="2">
        <v>45092.482986111114</v>
      </c>
      <c r="Q1528" s="2">
        <f t="shared" si="216"/>
        <v>45082</v>
      </c>
      <c r="R1528" s="2">
        <v>45092.486377314817</v>
      </c>
      <c r="S1528">
        <f t="shared" si="217"/>
        <v>10</v>
      </c>
      <c r="T1528" s="2">
        <f t="shared" si="218"/>
        <v>45082</v>
      </c>
      <c r="U1528" t="str">
        <f t="shared" si="219"/>
        <v>ATRASO</v>
      </c>
    </row>
    <row r="1529" spans="1:21" hidden="1">
      <c r="A1529" s="1">
        <v>13411</v>
      </c>
      <c r="B1529" t="s">
        <v>17</v>
      </c>
      <c r="C1529" t="s">
        <v>9</v>
      </c>
      <c r="D1529" t="s">
        <v>10</v>
      </c>
      <c r="E1529" s="1">
        <v>1390</v>
      </c>
      <c r="F1529" s="1">
        <v>2023</v>
      </c>
      <c r="G1529" t="s">
        <v>11</v>
      </c>
      <c r="H1529" s="2">
        <v>45078.583472222221</v>
      </c>
      <c r="I1529" s="9">
        <f t="shared" si="211"/>
        <v>45079</v>
      </c>
      <c r="J1529" s="2" t="str">
        <f t="shared" si="212"/>
        <v/>
      </c>
      <c r="L1529" s="2" t="str">
        <f t="shared" si="213"/>
        <v/>
      </c>
      <c r="N1529" s="10" t="str">
        <f t="shared" si="214"/>
        <v/>
      </c>
      <c r="O1529" s="2">
        <f t="shared" si="215"/>
        <v>45079</v>
      </c>
      <c r="P1529" s="2">
        <v>45078.836423611108</v>
      </c>
      <c r="Q1529" s="2">
        <f t="shared" si="216"/>
        <v>45082</v>
      </c>
      <c r="R1529" s="2">
        <v>45079.635000000002</v>
      </c>
      <c r="S1529">
        <f t="shared" si="217"/>
        <v>0</v>
      </c>
      <c r="T1529" s="2">
        <f t="shared" si="218"/>
        <v>45082</v>
      </c>
      <c r="U1529" t="str">
        <f t="shared" si="219"/>
        <v>NO PRAZO</v>
      </c>
    </row>
    <row r="1530" spans="1:21" hidden="1">
      <c r="A1530" s="1">
        <v>13402</v>
      </c>
      <c r="B1530" t="s">
        <v>19</v>
      </c>
      <c r="C1530" t="s">
        <v>13</v>
      </c>
      <c r="D1530" t="s">
        <v>10</v>
      </c>
      <c r="E1530" s="1">
        <v>1381</v>
      </c>
      <c r="F1530" s="1">
        <v>2023</v>
      </c>
      <c r="G1530" t="s">
        <v>11</v>
      </c>
      <c r="H1530" s="2">
        <v>45078.375162037039</v>
      </c>
      <c r="I1530" s="9">
        <f t="shared" si="211"/>
        <v>45079</v>
      </c>
      <c r="J1530" s="2" t="str">
        <f t="shared" si="212"/>
        <v/>
      </c>
      <c r="L1530" s="2" t="str">
        <f t="shared" si="213"/>
        <v/>
      </c>
      <c r="N1530" s="10" t="str">
        <f t="shared" si="214"/>
        <v/>
      </c>
      <c r="O1530" s="2">
        <f t="shared" si="215"/>
        <v>45079</v>
      </c>
      <c r="P1530" s="2">
        <v>45078.52134259259</v>
      </c>
      <c r="Q1530" s="2">
        <f t="shared" si="216"/>
        <v>45082</v>
      </c>
      <c r="R1530" s="2">
        <v>45078.827164351853</v>
      </c>
      <c r="S1530">
        <f t="shared" si="217"/>
        <v>0</v>
      </c>
      <c r="T1530" s="2">
        <f t="shared" si="218"/>
        <v>45082</v>
      </c>
      <c r="U1530" t="str">
        <f t="shared" si="219"/>
        <v>NO PRAZO</v>
      </c>
    </row>
    <row r="1531" spans="1:21" hidden="1">
      <c r="A1531" s="1">
        <v>13401</v>
      </c>
      <c r="B1531" t="s">
        <v>17</v>
      </c>
      <c r="C1531" t="s">
        <v>13</v>
      </c>
      <c r="D1531" t="s">
        <v>10</v>
      </c>
      <c r="E1531" s="1">
        <v>1380</v>
      </c>
      <c r="F1531" s="1">
        <v>2023</v>
      </c>
      <c r="G1531" t="s">
        <v>11</v>
      </c>
      <c r="H1531" s="2">
        <v>45078.375162037039</v>
      </c>
      <c r="I1531" s="9">
        <f t="shared" si="211"/>
        <v>45079</v>
      </c>
      <c r="J1531" s="2" t="str">
        <f t="shared" si="212"/>
        <v/>
      </c>
      <c r="L1531" s="2" t="str">
        <f t="shared" si="213"/>
        <v/>
      </c>
      <c r="N1531" s="10" t="str">
        <f t="shared" si="214"/>
        <v/>
      </c>
      <c r="O1531" s="2">
        <f t="shared" si="215"/>
        <v>45079</v>
      </c>
      <c r="P1531" s="2">
        <v>45078.824641203704</v>
      </c>
      <c r="Q1531" s="2">
        <f t="shared" si="216"/>
        <v>45082</v>
      </c>
      <c r="R1531" s="2">
        <v>45078.826932870368</v>
      </c>
      <c r="S1531">
        <f t="shared" si="217"/>
        <v>0</v>
      </c>
      <c r="T1531" s="2">
        <f t="shared" si="218"/>
        <v>45082</v>
      </c>
      <c r="U1531" t="str">
        <f t="shared" si="219"/>
        <v>NO PRAZO</v>
      </c>
    </row>
    <row r="1532" spans="1:21" hidden="1">
      <c r="A1532" s="1">
        <v>13400</v>
      </c>
      <c r="B1532" t="s">
        <v>17</v>
      </c>
      <c r="C1532" t="s">
        <v>13</v>
      </c>
      <c r="D1532" t="s">
        <v>10</v>
      </c>
      <c r="E1532" s="1">
        <v>1379</v>
      </c>
      <c r="F1532" s="1">
        <v>2023</v>
      </c>
      <c r="G1532" t="s">
        <v>11</v>
      </c>
      <c r="H1532" s="2">
        <v>45078.375162037039</v>
      </c>
      <c r="I1532" s="9">
        <f t="shared" si="211"/>
        <v>45079</v>
      </c>
      <c r="J1532" s="2" t="str">
        <f t="shared" si="212"/>
        <v/>
      </c>
      <c r="L1532" s="2" t="str">
        <f t="shared" si="213"/>
        <v/>
      </c>
      <c r="N1532" s="10" t="str">
        <f t="shared" si="214"/>
        <v/>
      </c>
      <c r="O1532" s="2">
        <f t="shared" si="215"/>
        <v>45079</v>
      </c>
      <c r="P1532" s="2">
        <v>45078.823784722219</v>
      </c>
      <c r="Q1532" s="2">
        <f t="shared" si="216"/>
        <v>45082</v>
      </c>
      <c r="R1532" s="2">
        <v>45078.826620370368</v>
      </c>
      <c r="S1532">
        <f t="shared" si="217"/>
        <v>0</v>
      </c>
      <c r="T1532" s="2">
        <f t="shared" si="218"/>
        <v>45082</v>
      </c>
      <c r="U1532" t="str">
        <f t="shared" si="219"/>
        <v>NO PRAZO</v>
      </c>
    </row>
    <row r="1533" spans="1:21" hidden="1">
      <c r="A1533" s="1">
        <v>13396</v>
      </c>
      <c r="B1533" t="s">
        <v>19</v>
      </c>
      <c r="C1533" t="s">
        <v>13</v>
      </c>
      <c r="D1533" t="s">
        <v>18</v>
      </c>
      <c r="E1533" s="1">
        <v>1375</v>
      </c>
      <c r="F1533" s="1">
        <v>2023</v>
      </c>
      <c r="G1533" t="s">
        <v>11</v>
      </c>
      <c r="H1533" s="2">
        <v>45077.666759259257</v>
      </c>
      <c r="I1533" s="9">
        <f t="shared" si="211"/>
        <v>45082</v>
      </c>
      <c r="J1533" s="2" t="str">
        <f t="shared" si="212"/>
        <v/>
      </c>
      <c r="L1533" s="2" t="str">
        <f t="shared" si="213"/>
        <v/>
      </c>
      <c r="N1533" s="10" t="str">
        <f t="shared" si="214"/>
        <v/>
      </c>
      <c r="O1533" s="2">
        <f t="shared" si="215"/>
        <v>45082</v>
      </c>
      <c r="P1533" s="2">
        <v>45078.487071759257</v>
      </c>
      <c r="Q1533" s="2">
        <f t="shared" si="216"/>
        <v>45089</v>
      </c>
      <c r="R1533" s="2">
        <v>45079.673703703702</v>
      </c>
      <c r="S1533">
        <f t="shared" si="217"/>
        <v>0</v>
      </c>
      <c r="T1533" s="2">
        <f t="shared" si="218"/>
        <v>45089</v>
      </c>
      <c r="U1533" t="str">
        <f t="shared" si="219"/>
        <v>NO PRAZO</v>
      </c>
    </row>
    <row r="1534" spans="1:21" hidden="1">
      <c r="A1534" s="1">
        <v>13390</v>
      </c>
      <c r="B1534" t="s">
        <v>17</v>
      </c>
      <c r="C1534" t="s">
        <v>9</v>
      </c>
      <c r="D1534" t="s">
        <v>10</v>
      </c>
      <c r="E1534" s="1">
        <v>1369</v>
      </c>
      <c r="F1534" s="1">
        <v>2023</v>
      </c>
      <c r="G1534" t="s">
        <v>11</v>
      </c>
      <c r="H1534" s="2">
        <v>45077.583472222221</v>
      </c>
      <c r="I1534" s="9">
        <f t="shared" si="211"/>
        <v>45078</v>
      </c>
      <c r="J1534" s="2" t="str">
        <f t="shared" si="212"/>
        <v/>
      </c>
      <c r="L1534" s="2" t="str">
        <f t="shared" si="213"/>
        <v/>
      </c>
      <c r="N1534" s="10" t="str">
        <f t="shared" si="214"/>
        <v/>
      </c>
      <c r="O1534" s="2">
        <f t="shared" si="215"/>
        <v>45078</v>
      </c>
      <c r="P1534" s="2">
        <v>45077.607395833336</v>
      </c>
      <c r="Q1534" s="2">
        <f t="shared" si="216"/>
        <v>45079</v>
      </c>
      <c r="R1534" s="2">
        <v>45077.660428240742</v>
      </c>
      <c r="S1534">
        <f t="shared" si="217"/>
        <v>0</v>
      </c>
      <c r="T1534" s="2">
        <f t="shared" si="218"/>
        <v>45079</v>
      </c>
      <c r="U1534" t="str">
        <f t="shared" si="219"/>
        <v>NO PRAZO</v>
      </c>
    </row>
    <row r="1535" spans="1:21" hidden="1">
      <c r="A1535" s="1">
        <v>13388</v>
      </c>
      <c r="B1535" t="s">
        <v>17</v>
      </c>
      <c r="C1535" t="s">
        <v>9</v>
      </c>
      <c r="D1535" t="s">
        <v>10</v>
      </c>
      <c r="E1535" s="1">
        <v>1367</v>
      </c>
      <c r="F1535" s="1">
        <v>2023</v>
      </c>
      <c r="G1535" t="s">
        <v>11</v>
      </c>
      <c r="H1535" s="2">
        <v>45077.500081018516</v>
      </c>
      <c r="I1535" s="9">
        <f t="shared" si="211"/>
        <v>45078</v>
      </c>
      <c r="J1535" s="2" t="str">
        <f t="shared" si="212"/>
        <v/>
      </c>
      <c r="L1535" s="2" t="str">
        <f t="shared" si="213"/>
        <v/>
      </c>
      <c r="N1535" s="10" t="str">
        <f t="shared" si="214"/>
        <v/>
      </c>
      <c r="O1535" s="2">
        <f t="shared" si="215"/>
        <v>45078</v>
      </c>
      <c r="P1535" s="2">
        <v>45077.55641203704</v>
      </c>
      <c r="Q1535" s="2">
        <f t="shared" si="216"/>
        <v>45079</v>
      </c>
      <c r="R1535" s="2">
        <v>45077.630046296297</v>
      </c>
      <c r="S1535">
        <f t="shared" si="217"/>
        <v>0</v>
      </c>
      <c r="T1535" s="2">
        <f t="shared" si="218"/>
        <v>45079</v>
      </c>
      <c r="U1535" t="str">
        <f t="shared" si="219"/>
        <v>NO PRAZO</v>
      </c>
    </row>
    <row r="1536" spans="1:21" hidden="1">
      <c r="A1536" s="1">
        <v>13372</v>
      </c>
      <c r="B1536" t="s">
        <v>20</v>
      </c>
      <c r="C1536" t="s">
        <v>13</v>
      </c>
      <c r="D1536" t="s">
        <v>18</v>
      </c>
      <c r="E1536" s="1">
        <v>1355</v>
      </c>
      <c r="F1536" s="1">
        <v>2023</v>
      </c>
      <c r="G1536" t="s">
        <v>11</v>
      </c>
      <c r="H1536" s="2">
        <v>45076.632395833331</v>
      </c>
      <c r="I1536" s="9">
        <f t="shared" ref="I1536:I1599" si="220">IF(OR(D1536="ORIENTAÇÃO",D1536="BUG IMPEDITIVO",D1536="BUG NÃO IMPEDITIVO"),WORKDAY(H1536,1,Z$2:Z$500),IF(OR(D1536="MELHORIA PEQUENA",D1536="MELHORIA MÉDIA"),WORKDAY(H1536,3,Z$2:Z$500),""))</f>
        <v>45079</v>
      </c>
      <c r="J1536" s="2" t="str">
        <f t="shared" si="212"/>
        <v/>
      </c>
      <c r="L1536" s="2" t="str">
        <f t="shared" si="213"/>
        <v/>
      </c>
      <c r="N1536" s="10" t="str">
        <f t="shared" si="214"/>
        <v/>
      </c>
      <c r="O1536" s="2">
        <f t="shared" si="215"/>
        <v>45079</v>
      </c>
      <c r="P1536" s="2">
        <v>45076.632604166669</v>
      </c>
      <c r="Q1536" s="2">
        <f t="shared" si="216"/>
        <v>45086</v>
      </c>
      <c r="R1536" s="2">
        <v>45076.633391203701</v>
      </c>
      <c r="S1536">
        <f t="shared" si="217"/>
        <v>0</v>
      </c>
      <c r="T1536" s="2">
        <f t="shared" si="218"/>
        <v>45086</v>
      </c>
      <c r="U1536" t="str">
        <f t="shared" si="219"/>
        <v>NO PRAZO</v>
      </c>
    </row>
    <row r="1537" spans="1:21" hidden="1">
      <c r="A1537" s="1">
        <v>13371</v>
      </c>
      <c r="B1537" t="s">
        <v>20</v>
      </c>
      <c r="C1537" t="s">
        <v>13</v>
      </c>
      <c r="D1537" t="s">
        <v>18</v>
      </c>
      <c r="E1537" s="1">
        <v>1354</v>
      </c>
      <c r="F1537" s="1">
        <v>2023</v>
      </c>
      <c r="G1537" t="s">
        <v>11</v>
      </c>
      <c r="H1537" s="2">
        <v>45076.583472222221</v>
      </c>
      <c r="I1537" s="9">
        <f t="shared" si="220"/>
        <v>45079</v>
      </c>
      <c r="J1537" s="2" t="str">
        <f t="shared" si="212"/>
        <v/>
      </c>
      <c r="L1537" s="2" t="str">
        <f t="shared" si="213"/>
        <v/>
      </c>
      <c r="N1537" s="10" t="str">
        <f t="shared" si="214"/>
        <v/>
      </c>
      <c r="O1537" s="2">
        <f t="shared" si="215"/>
        <v>45079</v>
      </c>
      <c r="P1537" s="2">
        <v>45082.671458333331</v>
      </c>
      <c r="Q1537" s="2">
        <f t="shared" si="216"/>
        <v>45086</v>
      </c>
      <c r="R1537" s="2">
        <v>45082.704583333332</v>
      </c>
      <c r="S1537">
        <f t="shared" si="217"/>
        <v>0</v>
      </c>
      <c r="T1537" s="2">
        <f t="shared" si="218"/>
        <v>45086</v>
      </c>
      <c r="U1537" t="str">
        <f t="shared" si="219"/>
        <v>NO PRAZO</v>
      </c>
    </row>
    <row r="1538" spans="1:21" hidden="1">
      <c r="A1538" s="1">
        <v>13370</v>
      </c>
      <c r="B1538" t="s">
        <v>17</v>
      </c>
      <c r="C1538" t="s">
        <v>9</v>
      </c>
      <c r="D1538" t="s">
        <v>18</v>
      </c>
      <c r="E1538" s="1">
        <v>1353</v>
      </c>
      <c r="F1538" s="1">
        <v>2023</v>
      </c>
      <c r="G1538" t="s">
        <v>11</v>
      </c>
      <c r="H1538" s="2">
        <v>45076.583472222221</v>
      </c>
      <c r="I1538" s="9">
        <f t="shared" si="220"/>
        <v>45079</v>
      </c>
      <c r="J1538" s="2" t="str">
        <f t="shared" si="212"/>
        <v/>
      </c>
      <c r="L1538" s="2" t="str">
        <f t="shared" si="213"/>
        <v/>
      </c>
      <c r="N1538" s="10" t="str">
        <f t="shared" si="214"/>
        <v/>
      </c>
      <c r="O1538" s="2">
        <f t="shared" si="215"/>
        <v>45079</v>
      </c>
      <c r="P1538" s="2">
        <v>45079.367523148147</v>
      </c>
      <c r="Q1538" s="2">
        <f t="shared" si="216"/>
        <v>45086</v>
      </c>
      <c r="R1538" s="2">
        <v>45079.368425925924</v>
      </c>
      <c r="S1538">
        <f t="shared" si="217"/>
        <v>0</v>
      </c>
      <c r="T1538" s="2">
        <f t="shared" si="218"/>
        <v>45086</v>
      </c>
      <c r="U1538" t="str">
        <f t="shared" si="219"/>
        <v>NO PRAZO</v>
      </c>
    </row>
    <row r="1539" spans="1:21" hidden="1">
      <c r="A1539" s="1">
        <v>13369</v>
      </c>
      <c r="B1539" t="s">
        <v>17</v>
      </c>
      <c r="C1539" t="s">
        <v>9</v>
      </c>
      <c r="D1539" t="s">
        <v>18</v>
      </c>
      <c r="E1539" s="1">
        <v>1352</v>
      </c>
      <c r="F1539" s="1">
        <v>2023</v>
      </c>
      <c r="G1539" t="s">
        <v>11</v>
      </c>
      <c r="H1539" s="2">
        <v>45076.583472222221</v>
      </c>
      <c r="I1539" s="9">
        <f t="shared" si="220"/>
        <v>45079</v>
      </c>
      <c r="J1539" s="2" t="str">
        <f t="shared" ref="J1539:J1602" si="221">IF(K1539&lt;&gt;"",I1539,"")</f>
        <v/>
      </c>
      <c r="L1539" s="2" t="str">
        <f t="shared" ref="L1539:L1602" si="222">IF(J1539="","",WORKDAY(J1539,14,Z$2:Z$500))</f>
        <v/>
      </c>
      <c r="N1539" s="10" t="str">
        <f t="shared" ref="N1539:N1602" si="223">IF(M1539="","",MAX(0,INT(M1539)-INT(L1539)))</f>
        <v/>
      </c>
      <c r="O1539" s="2">
        <f t="shared" ref="O1539:O1602" si="224">IF(L1539="",I1539,WORKDAY(L1539,1,Z$2:Z$500))</f>
        <v>45079</v>
      </c>
      <c r="P1539" s="2">
        <v>45079.381724537037</v>
      </c>
      <c r="Q1539" s="2">
        <f t="shared" ref="Q1539:Q1602" si="225">IF(OR(D1539="ORIENTAÇÃO",D1539="BUG IMPEDITIVO"),WORKDAY(O1539,1,Z$2:Z$500),IF(OR(D1539="MELHORIA PEQUENA",D1539="BUG NÃO IMPEDITIVO"),WORKDAY(O1539,4,Z$2:Z$500),IF(D1539="MELHORIA MÉDIA",WORKDAY(O1539,19,Z$2:Z$500),"")))</f>
        <v>45086</v>
      </c>
      <c r="R1539" s="2">
        <v>45079.382523148146</v>
      </c>
      <c r="S1539">
        <f t="shared" ref="S1539:S1602" si="226">MAX(0,INT(R1539)-INT(Q1539))</f>
        <v>0</v>
      </c>
      <c r="T1539" s="2">
        <f t="shared" ref="T1539:T1602" si="227">IF(D1539="MELHORIA MÉDIA",IF(K1539&lt;&gt;"",WORKDAY(I1539,34,$Z$2:$Z$1000),WORKDAY(I1539,19,$Z$2:$Z$1000)),IF(OR(D1539="MELHORIA PEQUENA",D1539="BUG NÃO IMPEDITIVO"),WORKDAY(I1539,4,$Z$2:$Z$1000),IF(OR(D1539="ORIENTAÇÃO",D1539="BUG IMPEDITIVO"),WORKDAY(I1539,1,$Z$2:$Z$1000),"")))</f>
        <v>45086</v>
      </c>
      <c r="U1539" t="str">
        <f t="shared" ref="U1539:U1602" si="228">IF(INT(R1539)&lt;=INT(T1539),"NO PRAZO","ATRASO")</f>
        <v>NO PRAZO</v>
      </c>
    </row>
    <row r="1540" spans="1:21" hidden="1">
      <c r="A1540" s="1">
        <v>13363</v>
      </c>
      <c r="B1540" t="s">
        <v>20</v>
      </c>
      <c r="C1540" t="s">
        <v>13</v>
      </c>
      <c r="D1540" t="s">
        <v>18</v>
      </c>
      <c r="E1540" s="1">
        <v>1346</v>
      </c>
      <c r="F1540" s="1">
        <v>2023</v>
      </c>
      <c r="G1540" t="s">
        <v>11</v>
      </c>
      <c r="H1540" s="2">
        <v>45076.458495370367</v>
      </c>
      <c r="I1540" s="9">
        <f t="shared" si="220"/>
        <v>45079</v>
      </c>
      <c r="J1540" s="2" t="str">
        <f t="shared" si="221"/>
        <v/>
      </c>
      <c r="L1540" s="2" t="str">
        <f t="shared" si="222"/>
        <v/>
      </c>
      <c r="N1540" s="10" t="str">
        <f t="shared" si="223"/>
        <v/>
      </c>
      <c r="O1540" s="2">
        <f t="shared" si="224"/>
        <v>45079</v>
      </c>
      <c r="P1540" s="2">
        <v>45082.368784722225</v>
      </c>
      <c r="Q1540" s="2">
        <f t="shared" si="225"/>
        <v>45086</v>
      </c>
      <c r="R1540" s="2">
        <v>45082.583437499998</v>
      </c>
      <c r="S1540">
        <f t="shared" si="226"/>
        <v>0</v>
      </c>
      <c r="T1540" s="2">
        <f t="shared" si="227"/>
        <v>45086</v>
      </c>
      <c r="U1540" t="str">
        <f t="shared" si="228"/>
        <v>NO PRAZO</v>
      </c>
    </row>
    <row r="1541" spans="1:21" hidden="1">
      <c r="A1541" s="1">
        <v>13354</v>
      </c>
      <c r="B1541" t="s">
        <v>17</v>
      </c>
      <c r="C1541" t="s">
        <v>13</v>
      </c>
      <c r="D1541" t="s">
        <v>18</v>
      </c>
      <c r="E1541" s="1">
        <v>1337</v>
      </c>
      <c r="F1541" s="1">
        <v>2023</v>
      </c>
      <c r="G1541" t="s">
        <v>11</v>
      </c>
      <c r="H1541" s="2">
        <v>45075.708449074074</v>
      </c>
      <c r="I1541" s="9">
        <f t="shared" si="220"/>
        <v>45078</v>
      </c>
      <c r="J1541" s="2" t="str">
        <f t="shared" si="221"/>
        <v/>
      </c>
      <c r="L1541" s="2" t="str">
        <f t="shared" si="222"/>
        <v/>
      </c>
      <c r="N1541" s="10" t="str">
        <f t="shared" si="223"/>
        <v/>
      </c>
      <c r="O1541" s="2">
        <f t="shared" si="224"/>
        <v>45078</v>
      </c>
      <c r="P1541" s="2">
        <v>45079.361886574072</v>
      </c>
      <c r="Q1541" s="2">
        <f t="shared" si="225"/>
        <v>45084</v>
      </c>
      <c r="R1541" s="2">
        <v>45079.36309027778</v>
      </c>
      <c r="S1541">
        <f t="shared" si="226"/>
        <v>0</v>
      </c>
      <c r="T1541" s="2">
        <f t="shared" si="227"/>
        <v>45084</v>
      </c>
      <c r="U1541" t="str">
        <f t="shared" si="228"/>
        <v>NO PRAZO</v>
      </c>
    </row>
    <row r="1542" spans="1:21" hidden="1">
      <c r="A1542" s="1">
        <v>13349</v>
      </c>
      <c r="B1542" t="s">
        <v>20</v>
      </c>
      <c r="C1542" t="s">
        <v>13</v>
      </c>
      <c r="D1542" t="s">
        <v>18</v>
      </c>
      <c r="E1542" s="1">
        <v>1332</v>
      </c>
      <c r="F1542" s="1">
        <v>2023</v>
      </c>
      <c r="G1542" t="s">
        <v>11</v>
      </c>
      <c r="H1542" s="2">
        <v>45075.625138888892</v>
      </c>
      <c r="I1542" s="9">
        <f t="shared" si="220"/>
        <v>45078</v>
      </c>
      <c r="J1542" s="2" t="str">
        <f t="shared" si="221"/>
        <v/>
      </c>
      <c r="L1542" s="2" t="str">
        <f t="shared" si="222"/>
        <v/>
      </c>
      <c r="N1542" s="10" t="str">
        <f t="shared" si="223"/>
        <v/>
      </c>
      <c r="O1542" s="2">
        <f t="shared" si="224"/>
        <v>45078</v>
      </c>
      <c r="P1542" s="2">
        <v>45076.676678240743</v>
      </c>
      <c r="Q1542" s="2">
        <f t="shared" si="225"/>
        <v>45084</v>
      </c>
      <c r="R1542" s="2">
        <v>45076.785439814812</v>
      </c>
      <c r="S1542">
        <f t="shared" si="226"/>
        <v>0</v>
      </c>
      <c r="T1542" s="2">
        <f t="shared" si="227"/>
        <v>45084</v>
      </c>
      <c r="U1542" t="str">
        <f t="shared" si="228"/>
        <v>NO PRAZO</v>
      </c>
    </row>
    <row r="1543" spans="1:21">
      <c r="A1543" s="1">
        <v>13348</v>
      </c>
      <c r="B1543" t="s">
        <v>20</v>
      </c>
      <c r="C1543" t="s">
        <v>13</v>
      </c>
      <c r="D1543" t="s">
        <v>14</v>
      </c>
      <c r="E1543" s="1">
        <v>1331</v>
      </c>
      <c r="F1543" s="1">
        <v>2023</v>
      </c>
      <c r="G1543" t="s">
        <v>11</v>
      </c>
      <c r="H1543" s="2">
        <v>45075.625138888892</v>
      </c>
      <c r="I1543" s="9">
        <f t="shared" si="220"/>
        <v>45076</v>
      </c>
      <c r="J1543" s="2" t="str">
        <f t="shared" si="221"/>
        <v/>
      </c>
      <c r="L1543" s="2" t="str">
        <f t="shared" si="222"/>
        <v/>
      </c>
      <c r="N1543" s="10" t="str">
        <f t="shared" si="223"/>
        <v/>
      </c>
      <c r="O1543" s="2">
        <f t="shared" si="224"/>
        <v>45076</v>
      </c>
      <c r="P1543" s="2">
        <v>45078.376469907409</v>
      </c>
      <c r="Q1543" s="2">
        <f t="shared" si="225"/>
        <v>45077</v>
      </c>
      <c r="R1543" s="2">
        <v>45078.745428240742</v>
      </c>
      <c r="S1543">
        <f t="shared" si="226"/>
        <v>1</v>
      </c>
      <c r="T1543" s="2">
        <f t="shared" si="227"/>
        <v>45077</v>
      </c>
      <c r="U1543" t="str">
        <f t="shared" si="228"/>
        <v>ATRASO</v>
      </c>
    </row>
    <row r="1544" spans="1:21" hidden="1">
      <c r="A1544" s="1">
        <v>13337</v>
      </c>
      <c r="B1544" t="s">
        <v>12</v>
      </c>
      <c r="C1544" t="s">
        <v>9</v>
      </c>
      <c r="D1544" t="s">
        <v>10</v>
      </c>
      <c r="E1544" s="1">
        <v>1320</v>
      </c>
      <c r="F1544" s="1">
        <v>2023</v>
      </c>
      <c r="G1544" t="s">
        <v>11</v>
      </c>
      <c r="H1544" s="2">
        <v>45075.500173611108</v>
      </c>
      <c r="I1544" s="9">
        <f t="shared" si="220"/>
        <v>45076</v>
      </c>
      <c r="J1544" s="2" t="str">
        <f t="shared" si="221"/>
        <v/>
      </c>
      <c r="L1544" s="2" t="str">
        <f t="shared" si="222"/>
        <v/>
      </c>
      <c r="N1544" s="10" t="str">
        <f t="shared" si="223"/>
        <v/>
      </c>
      <c r="O1544" s="2">
        <f t="shared" si="224"/>
        <v>45076</v>
      </c>
      <c r="P1544" s="2">
        <v>45076.81585648148</v>
      </c>
      <c r="Q1544" s="2">
        <f t="shared" si="225"/>
        <v>45077</v>
      </c>
      <c r="R1544" s="2">
        <v>45076.817175925928</v>
      </c>
      <c r="S1544">
        <f t="shared" si="226"/>
        <v>0</v>
      </c>
      <c r="T1544" s="2">
        <f t="shared" si="227"/>
        <v>45077</v>
      </c>
      <c r="U1544" t="str">
        <f t="shared" si="228"/>
        <v>NO PRAZO</v>
      </c>
    </row>
    <row r="1545" spans="1:21" hidden="1">
      <c r="A1545" s="1">
        <v>13319</v>
      </c>
      <c r="B1545" t="s">
        <v>19</v>
      </c>
      <c r="C1545" t="s">
        <v>13</v>
      </c>
      <c r="D1545" t="s">
        <v>14</v>
      </c>
      <c r="E1545" s="1">
        <v>1302</v>
      </c>
      <c r="F1545" s="1">
        <v>2023</v>
      </c>
      <c r="G1545" t="s">
        <v>11</v>
      </c>
      <c r="H1545" s="2">
        <v>45075.375162037039</v>
      </c>
      <c r="I1545" s="9">
        <f t="shared" si="220"/>
        <v>45076</v>
      </c>
      <c r="J1545" s="2" t="str">
        <f t="shared" si="221"/>
        <v/>
      </c>
      <c r="L1545" s="2" t="str">
        <f t="shared" si="222"/>
        <v/>
      </c>
      <c r="N1545" s="10" t="str">
        <f t="shared" si="223"/>
        <v/>
      </c>
      <c r="O1545" s="2">
        <f t="shared" si="224"/>
        <v>45076</v>
      </c>
      <c r="P1545" s="2">
        <v>45076.37158564815</v>
      </c>
      <c r="Q1545" s="2">
        <f t="shared" si="225"/>
        <v>45077</v>
      </c>
      <c r="R1545" s="2">
        <v>45076.371782407405</v>
      </c>
      <c r="S1545">
        <f t="shared" si="226"/>
        <v>0</v>
      </c>
      <c r="T1545" s="2">
        <f t="shared" si="227"/>
        <v>45077</v>
      </c>
      <c r="U1545" t="str">
        <f t="shared" si="228"/>
        <v>NO PRAZO</v>
      </c>
    </row>
    <row r="1546" spans="1:21" hidden="1">
      <c r="A1546" s="1">
        <v>13318</v>
      </c>
      <c r="B1546" t="s">
        <v>19</v>
      </c>
      <c r="C1546" t="s">
        <v>13</v>
      </c>
      <c r="D1546" t="s">
        <v>14</v>
      </c>
      <c r="E1546" s="1">
        <v>1301</v>
      </c>
      <c r="F1546" s="1">
        <v>2023</v>
      </c>
      <c r="G1546" t="s">
        <v>11</v>
      </c>
      <c r="H1546" s="2">
        <v>45075.375162037039</v>
      </c>
      <c r="I1546" s="9">
        <f t="shared" si="220"/>
        <v>45076</v>
      </c>
      <c r="J1546" s="2" t="str">
        <f t="shared" si="221"/>
        <v/>
      </c>
      <c r="L1546" s="2" t="str">
        <f t="shared" si="222"/>
        <v/>
      </c>
      <c r="N1546" s="10" t="str">
        <f t="shared" si="223"/>
        <v/>
      </c>
      <c r="O1546" s="2">
        <f t="shared" si="224"/>
        <v>45076</v>
      </c>
      <c r="P1546" s="2">
        <v>45076.372418981482</v>
      </c>
      <c r="Q1546" s="2">
        <f t="shared" si="225"/>
        <v>45077</v>
      </c>
      <c r="R1546" s="2">
        <v>45076.372604166667</v>
      </c>
      <c r="S1546">
        <f t="shared" si="226"/>
        <v>0</v>
      </c>
      <c r="T1546" s="2">
        <f t="shared" si="227"/>
        <v>45077</v>
      </c>
      <c r="U1546" t="str">
        <f t="shared" si="228"/>
        <v>NO PRAZO</v>
      </c>
    </row>
    <row r="1547" spans="1:21" hidden="1">
      <c r="A1547" s="1">
        <v>13312</v>
      </c>
      <c r="B1547" t="s">
        <v>20</v>
      </c>
      <c r="C1547" t="s">
        <v>13</v>
      </c>
      <c r="D1547" t="s">
        <v>18</v>
      </c>
      <c r="E1547" s="1">
        <v>1295</v>
      </c>
      <c r="F1547" s="1">
        <v>2023</v>
      </c>
      <c r="G1547" t="s">
        <v>11</v>
      </c>
      <c r="H1547" s="2">
        <v>45072.625034722223</v>
      </c>
      <c r="I1547" s="9">
        <f t="shared" si="220"/>
        <v>45077</v>
      </c>
      <c r="J1547" s="2" t="str">
        <f t="shared" si="221"/>
        <v/>
      </c>
      <c r="L1547" s="2" t="str">
        <f t="shared" si="222"/>
        <v/>
      </c>
      <c r="N1547" s="10" t="str">
        <f t="shared" si="223"/>
        <v/>
      </c>
      <c r="O1547" s="2">
        <f t="shared" si="224"/>
        <v>45077</v>
      </c>
      <c r="P1547" s="2">
        <v>45076.36614583333</v>
      </c>
      <c r="Q1547" s="2">
        <f t="shared" si="225"/>
        <v>45083</v>
      </c>
      <c r="R1547" s="2">
        <v>45077.402025462965</v>
      </c>
      <c r="S1547">
        <f t="shared" si="226"/>
        <v>0</v>
      </c>
      <c r="T1547" s="2">
        <f t="shared" si="227"/>
        <v>45083</v>
      </c>
      <c r="U1547" t="str">
        <f t="shared" si="228"/>
        <v>NO PRAZO</v>
      </c>
    </row>
    <row r="1548" spans="1:21" hidden="1">
      <c r="A1548" s="1">
        <v>13303</v>
      </c>
      <c r="B1548" t="s">
        <v>20</v>
      </c>
      <c r="C1548" t="s">
        <v>13</v>
      </c>
      <c r="D1548" t="s">
        <v>16</v>
      </c>
      <c r="E1548" s="1">
        <v>1286</v>
      </c>
      <c r="F1548" s="1">
        <v>2023</v>
      </c>
      <c r="G1548" t="s">
        <v>11</v>
      </c>
      <c r="H1548" s="2">
        <v>45071.749976851854</v>
      </c>
      <c r="I1548" s="9">
        <f t="shared" si="220"/>
        <v>45072</v>
      </c>
      <c r="J1548" s="2" t="str">
        <f t="shared" si="221"/>
        <v/>
      </c>
      <c r="L1548" s="2" t="str">
        <f t="shared" si="222"/>
        <v/>
      </c>
      <c r="N1548" s="10" t="str">
        <f t="shared" si="223"/>
        <v/>
      </c>
      <c r="O1548" s="2">
        <f t="shared" si="224"/>
        <v>45072</v>
      </c>
      <c r="P1548" s="2">
        <v>45076.719629629632</v>
      </c>
      <c r="Q1548" s="2">
        <f t="shared" si="225"/>
        <v>45078</v>
      </c>
      <c r="R1548" s="2">
        <v>45077.706643518519</v>
      </c>
      <c r="S1548">
        <f t="shared" si="226"/>
        <v>0</v>
      </c>
      <c r="T1548" s="2">
        <f t="shared" si="227"/>
        <v>45078</v>
      </c>
      <c r="U1548" t="str">
        <f t="shared" si="228"/>
        <v>NO PRAZO</v>
      </c>
    </row>
    <row r="1549" spans="1:21">
      <c r="A1549" s="1">
        <v>13298</v>
      </c>
      <c r="B1549" t="s">
        <v>20</v>
      </c>
      <c r="C1549" t="s">
        <v>13</v>
      </c>
      <c r="D1549" t="s">
        <v>16</v>
      </c>
      <c r="E1549" s="1">
        <v>1281</v>
      </c>
      <c r="F1549" s="1">
        <v>2023</v>
      </c>
      <c r="G1549" t="s">
        <v>11</v>
      </c>
      <c r="H1549" s="2">
        <v>45071.583298611113</v>
      </c>
      <c r="I1549" s="9">
        <f t="shared" si="220"/>
        <v>45072</v>
      </c>
      <c r="J1549" s="2" t="str">
        <f t="shared" si="221"/>
        <v/>
      </c>
      <c r="L1549" s="2" t="str">
        <f t="shared" si="222"/>
        <v/>
      </c>
      <c r="N1549" s="10" t="str">
        <f t="shared" si="223"/>
        <v/>
      </c>
      <c r="O1549" s="2">
        <f t="shared" si="224"/>
        <v>45072</v>
      </c>
      <c r="P1549" s="2">
        <v>45083.6327662037</v>
      </c>
      <c r="Q1549" s="2">
        <f t="shared" si="225"/>
        <v>45078</v>
      </c>
      <c r="R1549" s="2">
        <v>45092.667905092596</v>
      </c>
      <c r="S1549">
        <f t="shared" si="226"/>
        <v>14</v>
      </c>
      <c r="T1549" s="2">
        <f t="shared" si="227"/>
        <v>45078</v>
      </c>
      <c r="U1549" t="str">
        <f t="shared" si="228"/>
        <v>ATRASO</v>
      </c>
    </row>
    <row r="1550" spans="1:21" hidden="1">
      <c r="A1550" s="1">
        <v>13269</v>
      </c>
      <c r="B1550" t="s">
        <v>20</v>
      </c>
      <c r="C1550" t="s">
        <v>13</v>
      </c>
      <c r="D1550" t="s">
        <v>21</v>
      </c>
      <c r="E1550" s="1">
        <v>1252</v>
      </c>
      <c r="F1550" s="1">
        <v>2023</v>
      </c>
      <c r="G1550" t="s">
        <v>11</v>
      </c>
      <c r="H1550" s="2">
        <v>45070.6249537037</v>
      </c>
      <c r="I1550" s="9">
        <f t="shared" si="220"/>
        <v>45075</v>
      </c>
      <c r="J1550" s="2" t="str">
        <f t="shared" si="221"/>
        <v/>
      </c>
      <c r="L1550" s="2" t="str">
        <f t="shared" si="222"/>
        <v/>
      </c>
      <c r="N1550" s="10" t="str">
        <f t="shared" si="223"/>
        <v/>
      </c>
      <c r="O1550" s="2">
        <f t="shared" si="224"/>
        <v>45075</v>
      </c>
      <c r="P1550" s="2">
        <v>45079.635798611111</v>
      </c>
      <c r="Q1550" s="2">
        <f t="shared" si="225"/>
        <v>45103</v>
      </c>
      <c r="R1550" s="2">
        <v>45090.715057870373</v>
      </c>
      <c r="S1550">
        <f t="shared" si="226"/>
        <v>0</v>
      </c>
      <c r="T1550" s="2">
        <f t="shared" si="227"/>
        <v>45103</v>
      </c>
      <c r="U1550" t="str">
        <f t="shared" si="228"/>
        <v>NO PRAZO</v>
      </c>
    </row>
    <row r="1551" spans="1:21" hidden="1">
      <c r="A1551" s="1">
        <v>13267</v>
      </c>
      <c r="B1551" t="s">
        <v>20</v>
      </c>
      <c r="C1551" t="s">
        <v>13</v>
      </c>
      <c r="D1551" t="s">
        <v>18</v>
      </c>
      <c r="E1551" s="1">
        <v>1250</v>
      </c>
      <c r="F1551" s="1">
        <v>2023</v>
      </c>
      <c r="G1551" t="s">
        <v>11</v>
      </c>
      <c r="H1551" s="2">
        <v>45070.6249537037</v>
      </c>
      <c r="I1551" s="9">
        <f t="shared" si="220"/>
        <v>45075</v>
      </c>
      <c r="J1551" s="2" t="str">
        <f t="shared" si="221"/>
        <v/>
      </c>
      <c r="L1551" s="2" t="str">
        <f t="shared" si="222"/>
        <v/>
      </c>
      <c r="N1551" s="10" t="str">
        <f t="shared" si="223"/>
        <v/>
      </c>
      <c r="O1551" s="2">
        <f t="shared" si="224"/>
        <v>45075</v>
      </c>
      <c r="P1551" s="2">
        <v>45070.675543981481</v>
      </c>
      <c r="Q1551" s="2">
        <f t="shared" si="225"/>
        <v>45079</v>
      </c>
      <c r="R1551" s="2">
        <v>45075.550879629627</v>
      </c>
      <c r="S1551">
        <f t="shared" si="226"/>
        <v>0</v>
      </c>
      <c r="T1551" s="2">
        <f t="shared" si="227"/>
        <v>45079</v>
      </c>
      <c r="U1551" t="str">
        <f t="shared" si="228"/>
        <v>NO PRAZO</v>
      </c>
    </row>
    <row r="1552" spans="1:21" hidden="1">
      <c r="A1552" s="1">
        <v>13263</v>
      </c>
      <c r="B1552" t="s">
        <v>12</v>
      </c>
      <c r="C1552" t="s">
        <v>13</v>
      </c>
      <c r="D1552" t="s">
        <v>10</v>
      </c>
      <c r="E1552" s="1">
        <v>1246</v>
      </c>
      <c r="F1552" s="1">
        <v>2023</v>
      </c>
      <c r="G1552" t="s">
        <v>11</v>
      </c>
      <c r="H1552" s="2">
        <v>45070.4999537037</v>
      </c>
      <c r="I1552" s="9">
        <f t="shared" si="220"/>
        <v>45071</v>
      </c>
      <c r="J1552" s="2" t="str">
        <f t="shared" si="221"/>
        <v/>
      </c>
      <c r="L1552" s="2" t="str">
        <f t="shared" si="222"/>
        <v/>
      </c>
      <c r="N1552" s="10" t="str">
        <f t="shared" si="223"/>
        <v/>
      </c>
      <c r="O1552" s="2">
        <f t="shared" si="224"/>
        <v>45071</v>
      </c>
      <c r="P1552" s="2">
        <v>45071.68074074074</v>
      </c>
      <c r="Q1552" s="2">
        <f t="shared" si="225"/>
        <v>45072</v>
      </c>
      <c r="R1552" s="2">
        <v>45072.551574074074</v>
      </c>
      <c r="S1552">
        <f t="shared" si="226"/>
        <v>0</v>
      </c>
      <c r="T1552" s="2">
        <f t="shared" si="227"/>
        <v>45072</v>
      </c>
      <c r="U1552" t="str">
        <f t="shared" si="228"/>
        <v>NO PRAZO</v>
      </c>
    </row>
    <row r="1553" spans="1:21" hidden="1">
      <c r="A1553" s="1">
        <v>13261</v>
      </c>
      <c r="B1553" t="s">
        <v>20</v>
      </c>
      <c r="C1553" t="s">
        <v>13</v>
      </c>
      <c r="D1553" t="s">
        <v>21</v>
      </c>
      <c r="E1553" s="1">
        <v>1244</v>
      </c>
      <c r="F1553" s="1">
        <v>2023</v>
      </c>
      <c r="G1553" t="s">
        <v>11</v>
      </c>
      <c r="H1553" s="2">
        <v>45070.4999537037</v>
      </c>
      <c r="I1553" s="9">
        <f t="shared" si="220"/>
        <v>45075</v>
      </c>
      <c r="J1553" s="2" t="str">
        <f t="shared" si="221"/>
        <v/>
      </c>
      <c r="L1553" s="2" t="str">
        <f t="shared" si="222"/>
        <v/>
      </c>
      <c r="N1553" s="10" t="str">
        <f t="shared" si="223"/>
        <v/>
      </c>
      <c r="O1553" s="2">
        <f t="shared" si="224"/>
        <v>45075</v>
      </c>
      <c r="P1553" s="2">
        <v>45077.453090277777</v>
      </c>
      <c r="Q1553" s="2">
        <f t="shared" si="225"/>
        <v>45103</v>
      </c>
      <c r="R1553" s="2">
        <v>45078.666331018518</v>
      </c>
      <c r="S1553">
        <f t="shared" si="226"/>
        <v>0</v>
      </c>
      <c r="T1553" s="2">
        <f t="shared" si="227"/>
        <v>45103</v>
      </c>
      <c r="U1553" t="str">
        <f t="shared" si="228"/>
        <v>NO PRAZO</v>
      </c>
    </row>
    <row r="1554" spans="1:21" hidden="1">
      <c r="A1554" s="1">
        <v>13260</v>
      </c>
      <c r="B1554" t="s">
        <v>8</v>
      </c>
      <c r="C1554" t="s">
        <v>9</v>
      </c>
      <c r="D1554" t="s">
        <v>10</v>
      </c>
      <c r="E1554" s="1">
        <v>1243</v>
      </c>
      <c r="F1554" s="1">
        <v>2023</v>
      </c>
      <c r="G1554" t="s">
        <v>11</v>
      </c>
      <c r="H1554" s="2">
        <v>45070.4999537037</v>
      </c>
      <c r="I1554" s="9">
        <f t="shared" si="220"/>
        <v>45071</v>
      </c>
      <c r="J1554" s="2" t="str">
        <f t="shared" si="221"/>
        <v/>
      </c>
      <c r="L1554" s="2" t="str">
        <f t="shared" si="222"/>
        <v/>
      </c>
      <c r="N1554" s="10" t="str">
        <f t="shared" si="223"/>
        <v/>
      </c>
      <c r="O1554" s="2">
        <f t="shared" si="224"/>
        <v>45071</v>
      </c>
      <c r="P1554" s="2">
        <v>45071.657835648148</v>
      </c>
      <c r="Q1554" s="2">
        <f t="shared" si="225"/>
        <v>45072</v>
      </c>
      <c r="R1554" s="2">
        <v>45071.690983796296</v>
      </c>
      <c r="S1554">
        <f t="shared" si="226"/>
        <v>0</v>
      </c>
      <c r="T1554" s="2">
        <f t="shared" si="227"/>
        <v>45072</v>
      </c>
      <c r="U1554" t="str">
        <f t="shared" si="228"/>
        <v>NO PRAZO</v>
      </c>
    </row>
    <row r="1555" spans="1:21" hidden="1">
      <c r="A1555" s="1">
        <v>13257</v>
      </c>
      <c r="B1555" t="s">
        <v>17</v>
      </c>
      <c r="C1555" t="s">
        <v>9</v>
      </c>
      <c r="D1555" t="s">
        <v>21</v>
      </c>
      <c r="E1555" s="1">
        <v>1240</v>
      </c>
      <c r="F1555" s="1">
        <v>2023</v>
      </c>
      <c r="G1555" t="s">
        <v>11</v>
      </c>
      <c r="H1555" s="2">
        <v>45070.458287037036</v>
      </c>
      <c r="I1555" s="9">
        <f t="shared" si="220"/>
        <v>45075</v>
      </c>
      <c r="J1555" s="2" t="str">
        <f t="shared" si="221"/>
        <v/>
      </c>
      <c r="L1555" s="2" t="str">
        <f t="shared" si="222"/>
        <v/>
      </c>
      <c r="N1555" s="10" t="str">
        <f t="shared" si="223"/>
        <v/>
      </c>
      <c r="O1555" s="2">
        <f t="shared" si="224"/>
        <v>45075</v>
      </c>
      <c r="P1555" s="2">
        <v>45096.420381944445</v>
      </c>
      <c r="Q1555" s="2">
        <f t="shared" si="225"/>
        <v>45103</v>
      </c>
      <c r="R1555" s="2">
        <v>45096.508298611108</v>
      </c>
      <c r="S1555">
        <f t="shared" si="226"/>
        <v>0</v>
      </c>
      <c r="T1555" s="2">
        <f t="shared" si="227"/>
        <v>45103</v>
      </c>
      <c r="U1555" t="str">
        <f t="shared" si="228"/>
        <v>NO PRAZO</v>
      </c>
    </row>
    <row r="1556" spans="1:21" hidden="1">
      <c r="A1556" s="1">
        <v>13248</v>
      </c>
      <c r="B1556" t="s">
        <v>17</v>
      </c>
      <c r="C1556" t="s">
        <v>9</v>
      </c>
      <c r="D1556" t="s">
        <v>10</v>
      </c>
      <c r="E1556" s="1">
        <v>1231</v>
      </c>
      <c r="F1556" s="1">
        <v>2023</v>
      </c>
      <c r="G1556" t="s">
        <v>11</v>
      </c>
      <c r="H1556" s="2">
        <v>45069.624907407408</v>
      </c>
      <c r="I1556" s="9">
        <f t="shared" si="220"/>
        <v>45070</v>
      </c>
      <c r="J1556" s="2" t="str">
        <f t="shared" si="221"/>
        <v/>
      </c>
      <c r="L1556" s="2" t="str">
        <f t="shared" si="222"/>
        <v/>
      </c>
      <c r="N1556" s="10" t="str">
        <f t="shared" si="223"/>
        <v/>
      </c>
      <c r="O1556" s="2">
        <f t="shared" si="224"/>
        <v>45070</v>
      </c>
      <c r="P1556" s="2">
        <v>45071.444756944446</v>
      </c>
      <c r="Q1556" s="2">
        <f t="shared" si="225"/>
        <v>45071</v>
      </c>
      <c r="R1556" s="2">
        <v>45071.746192129627</v>
      </c>
      <c r="S1556">
        <f t="shared" si="226"/>
        <v>0</v>
      </c>
      <c r="T1556" s="2">
        <f t="shared" si="227"/>
        <v>45071</v>
      </c>
      <c r="U1556" t="str">
        <f t="shared" si="228"/>
        <v>NO PRAZO</v>
      </c>
    </row>
    <row r="1557" spans="1:21" hidden="1">
      <c r="A1557" s="1">
        <v>13240</v>
      </c>
      <c r="B1557" t="s">
        <v>17</v>
      </c>
      <c r="C1557" t="s">
        <v>9</v>
      </c>
      <c r="D1557" t="s">
        <v>18</v>
      </c>
      <c r="E1557" s="1">
        <v>1223</v>
      </c>
      <c r="F1557" s="1">
        <v>2023</v>
      </c>
      <c r="G1557" t="s">
        <v>11</v>
      </c>
      <c r="H1557" s="2">
        <v>45069.458356481482</v>
      </c>
      <c r="I1557" s="9">
        <f t="shared" si="220"/>
        <v>45072</v>
      </c>
      <c r="J1557" s="2" t="str">
        <f t="shared" si="221"/>
        <v/>
      </c>
      <c r="L1557" s="2" t="str">
        <f t="shared" si="222"/>
        <v/>
      </c>
      <c r="N1557" s="10" t="str">
        <f t="shared" si="223"/>
        <v/>
      </c>
      <c r="O1557" s="2">
        <f t="shared" si="224"/>
        <v>45072</v>
      </c>
      <c r="P1557" s="2">
        <v>45070.478842592594</v>
      </c>
      <c r="Q1557" s="2">
        <f t="shared" si="225"/>
        <v>45078</v>
      </c>
      <c r="R1557" s="2">
        <v>45070.603877314818</v>
      </c>
      <c r="S1557">
        <f t="shared" si="226"/>
        <v>0</v>
      </c>
      <c r="T1557" s="2">
        <f t="shared" si="227"/>
        <v>45078</v>
      </c>
      <c r="U1557" t="str">
        <f t="shared" si="228"/>
        <v>NO PRAZO</v>
      </c>
    </row>
    <row r="1558" spans="1:21" hidden="1">
      <c r="A1558" s="1">
        <v>13236</v>
      </c>
      <c r="B1558" t="s">
        <v>8</v>
      </c>
      <c r="C1558" t="s">
        <v>9</v>
      </c>
      <c r="D1558" t="s">
        <v>10</v>
      </c>
      <c r="E1558" s="1">
        <v>1219</v>
      </c>
      <c r="F1558" s="1">
        <v>2023</v>
      </c>
      <c r="G1558" t="s">
        <v>11</v>
      </c>
      <c r="H1558" s="2">
        <v>45069.374930555554</v>
      </c>
      <c r="I1558" s="9">
        <f t="shared" si="220"/>
        <v>45070</v>
      </c>
      <c r="J1558" s="2" t="str">
        <f t="shared" si="221"/>
        <v/>
      </c>
      <c r="L1558" s="2" t="str">
        <f t="shared" si="222"/>
        <v/>
      </c>
      <c r="N1558" s="10" t="str">
        <f t="shared" si="223"/>
        <v/>
      </c>
      <c r="O1558" s="2">
        <f t="shared" si="224"/>
        <v>45070</v>
      </c>
      <c r="P1558" s="2">
        <v>45069.467094907406</v>
      </c>
      <c r="Q1558" s="2">
        <f t="shared" si="225"/>
        <v>45071</v>
      </c>
      <c r="R1558" s="2">
        <v>45069.469884259262</v>
      </c>
      <c r="S1558">
        <f t="shared" si="226"/>
        <v>0</v>
      </c>
      <c r="T1558" s="2">
        <f t="shared" si="227"/>
        <v>45071</v>
      </c>
      <c r="U1558" t="str">
        <f t="shared" si="228"/>
        <v>NO PRAZO</v>
      </c>
    </row>
    <row r="1559" spans="1:21" hidden="1">
      <c r="A1559" s="1">
        <v>13224</v>
      </c>
      <c r="B1559" t="s">
        <v>24</v>
      </c>
      <c r="C1559" t="s">
        <v>13</v>
      </c>
      <c r="D1559" t="s">
        <v>14</v>
      </c>
      <c r="E1559" s="1">
        <v>1207</v>
      </c>
      <c r="F1559" s="1">
        <v>2023</v>
      </c>
      <c r="G1559" t="s">
        <v>11</v>
      </c>
      <c r="H1559" s="2">
        <v>45068.458287037036</v>
      </c>
      <c r="I1559" s="9">
        <f t="shared" si="220"/>
        <v>45069</v>
      </c>
      <c r="J1559" s="2" t="str">
        <f t="shared" si="221"/>
        <v/>
      </c>
      <c r="L1559" s="2" t="str">
        <f t="shared" si="222"/>
        <v/>
      </c>
      <c r="N1559" s="10" t="str">
        <f t="shared" si="223"/>
        <v/>
      </c>
      <c r="O1559" s="2">
        <f t="shared" si="224"/>
        <v>45069</v>
      </c>
      <c r="P1559" s="2">
        <v>45069.53193287037</v>
      </c>
      <c r="Q1559" s="2">
        <f t="shared" si="225"/>
        <v>45070</v>
      </c>
      <c r="R1559" s="2">
        <v>45069.62672453704</v>
      </c>
      <c r="S1559">
        <f t="shared" si="226"/>
        <v>0</v>
      </c>
      <c r="T1559" s="2">
        <f t="shared" si="227"/>
        <v>45070</v>
      </c>
      <c r="U1559" t="str">
        <f t="shared" si="228"/>
        <v>NO PRAZO</v>
      </c>
    </row>
    <row r="1560" spans="1:21" hidden="1">
      <c r="A1560" s="1">
        <v>13213</v>
      </c>
      <c r="B1560" t="s">
        <v>20</v>
      </c>
      <c r="C1560" t="s">
        <v>13</v>
      </c>
      <c r="D1560" t="s">
        <v>18</v>
      </c>
      <c r="E1560" s="1">
        <v>1196</v>
      </c>
      <c r="F1560" s="1">
        <v>2023</v>
      </c>
      <c r="G1560" t="s">
        <v>11</v>
      </c>
      <c r="H1560" s="2">
        <v>45065.624942129631</v>
      </c>
      <c r="I1560" s="9">
        <f t="shared" si="220"/>
        <v>45070</v>
      </c>
      <c r="J1560" s="2" t="str">
        <f t="shared" si="221"/>
        <v/>
      </c>
      <c r="L1560" s="2" t="str">
        <f t="shared" si="222"/>
        <v/>
      </c>
      <c r="N1560" s="10" t="str">
        <f t="shared" si="223"/>
        <v/>
      </c>
      <c r="O1560" s="2">
        <f t="shared" si="224"/>
        <v>45070</v>
      </c>
      <c r="P1560" s="2">
        <v>45071.752916666665</v>
      </c>
      <c r="Q1560" s="2">
        <f t="shared" si="225"/>
        <v>45076</v>
      </c>
      <c r="R1560" s="2">
        <v>45071.762800925928</v>
      </c>
      <c r="S1560">
        <f t="shared" si="226"/>
        <v>0</v>
      </c>
      <c r="T1560" s="2">
        <f t="shared" si="227"/>
        <v>45076</v>
      </c>
      <c r="U1560" t="str">
        <f t="shared" si="228"/>
        <v>NO PRAZO</v>
      </c>
    </row>
    <row r="1561" spans="1:21">
      <c r="A1561" s="1">
        <v>13210</v>
      </c>
      <c r="B1561" t="s">
        <v>20</v>
      </c>
      <c r="C1561" t="s">
        <v>13</v>
      </c>
      <c r="D1561" t="s">
        <v>14</v>
      </c>
      <c r="E1561" s="1">
        <v>1193</v>
      </c>
      <c r="F1561" s="1">
        <v>2023</v>
      </c>
      <c r="G1561" t="s">
        <v>11</v>
      </c>
      <c r="H1561" s="2">
        <v>45065.583287037036</v>
      </c>
      <c r="I1561" s="9">
        <f t="shared" si="220"/>
        <v>45068</v>
      </c>
      <c r="J1561" s="2" t="str">
        <f t="shared" si="221"/>
        <v/>
      </c>
      <c r="L1561" s="2" t="str">
        <f t="shared" si="222"/>
        <v/>
      </c>
      <c r="N1561" s="10" t="str">
        <f t="shared" si="223"/>
        <v/>
      </c>
      <c r="O1561" s="2">
        <f t="shared" si="224"/>
        <v>45068</v>
      </c>
      <c r="P1561" s="2">
        <v>45068.392951388887</v>
      </c>
      <c r="Q1561" s="2">
        <f t="shared" si="225"/>
        <v>45069</v>
      </c>
      <c r="R1561" s="2">
        <v>45070.433449074073</v>
      </c>
      <c r="S1561">
        <f t="shared" si="226"/>
        <v>1</v>
      </c>
      <c r="T1561" s="2">
        <f t="shared" si="227"/>
        <v>45069</v>
      </c>
      <c r="U1561" t="str">
        <f t="shared" si="228"/>
        <v>ATRASO</v>
      </c>
    </row>
    <row r="1562" spans="1:21">
      <c r="A1562" s="1">
        <v>13198</v>
      </c>
      <c r="B1562" t="s">
        <v>20</v>
      </c>
      <c r="C1562" t="s">
        <v>13</v>
      </c>
      <c r="D1562" t="s">
        <v>10</v>
      </c>
      <c r="E1562" s="1">
        <v>1181</v>
      </c>
      <c r="F1562" s="1">
        <v>2023</v>
      </c>
      <c r="G1562" t="s">
        <v>11</v>
      </c>
      <c r="H1562" s="2">
        <v>45064.666631944441</v>
      </c>
      <c r="I1562" s="9">
        <f t="shared" si="220"/>
        <v>45065</v>
      </c>
      <c r="J1562" s="2" t="str">
        <f t="shared" si="221"/>
        <v/>
      </c>
      <c r="L1562" s="2" t="str">
        <f t="shared" si="222"/>
        <v/>
      </c>
      <c r="N1562" s="10" t="str">
        <f t="shared" si="223"/>
        <v/>
      </c>
      <c r="O1562" s="2">
        <f t="shared" si="224"/>
        <v>45065</v>
      </c>
      <c r="P1562" s="2">
        <v>45069.528009259258</v>
      </c>
      <c r="Q1562" s="2">
        <f t="shared" si="225"/>
        <v>45068</v>
      </c>
      <c r="R1562" s="2">
        <v>45069.624444444446</v>
      </c>
      <c r="S1562">
        <f t="shared" si="226"/>
        <v>1</v>
      </c>
      <c r="T1562" s="2">
        <f t="shared" si="227"/>
        <v>45068</v>
      </c>
      <c r="U1562" t="str">
        <f t="shared" si="228"/>
        <v>ATRASO</v>
      </c>
    </row>
    <row r="1563" spans="1:21" hidden="1">
      <c r="A1563" s="1">
        <v>13195</v>
      </c>
      <c r="B1563" t="s">
        <v>12</v>
      </c>
      <c r="C1563" t="s">
        <v>13</v>
      </c>
      <c r="D1563" t="s">
        <v>10</v>
      </c>
      <c r="E1563" s="1">
        <v>1178</v>
      </c>
      <c r="F1563" s="1">
        <v>2023</v>
      </c>
      <c r="G1563" t="s">
        <v>11</v>
      </c>
      <c r="H1563" s="2">
        <v>45064.583298611113</v>
      </c>
      <c r="I1563" s="9">
        <f t="shared" si="220"/>
        <v>45065</v>
      </c>
      <c r="J1563" s="2" t="str">
        <f t="shared" si="221"/>
        <v/>
      </c>
      <c r="L1563" s="2" t="str">
        <f t="shared" si="222"/>
        <v/>
      </c>
      <c r="N1563" s="10" t="str">
        <f t="shared" si="223"/>
        <v/>
      </c>
      <c r="O1563" s="2">
        <f t="shared" si="224"/>
        <v>45065</v>
      </c>
      <c r="P1563" s="2">
        <v>45065.740243055552</v>
      </c>
      <c r="Q1563" s="2">
        <f t="shared" si="225"/>
        <v>45068</v>
      </c>
      <c r="R1563" s="2">
        <v>45065.743483796294</v>
      </c>
      <c r="S1563">
        <f t="shared" si="226"/>
        <v>0</v>
      </c>
      <c r="T1563" s="2">
        <f t="shared" si="227"/>
        <v>45068</v>
      </c>
      <c r="U1563" t="str">
        <f t="shared" si="228"/>
        <v>NO PRAZO</v>
      </c>
    </row>
    <row r="1564" spans="1:21" hidden="1">
      <c r="A1564" s="1">
        <v>13194</v>
      </c>
      <c r="B1564" t="s">
        <v>19</v>
      </c>
      <c r="C1564" t="s">
        <v>13</v>
      </c>
      <c r="D1564" t="s">
        <v>18</v>
      </c>
      <c r="E1564" s="1">
        <v>1177</v>
      </c>
      <c r="F1564" s="1">
        <v>2023</v>
      </c>
      <c r="G1564" t="s">
        <v>11</v>
      </c>
      <c r="H1564" s="2">
        <v>45064.499976851854</v>
      </c>
      <c r="I1564" s="9">
        <f t="shared" si="220"/>
        <v>45069</v>
      </c>
      <c r="J1564" s="2" t="str">
        <f t="shared" si="221"/>
        <v/>
      </c>
      <c r="L1564" s="2" t="str">
        <f t="shared" si="222"/>
        <v/>
      </c>
      <c r="N1564" s="10" t="str">
        <f t="shared" si="223"/>
        <v/>
      </c>
      <c r="O1564" s="2">
        <f t="shared" si="224"/>
        <v>45069</v>
      </c>
      <c r="P1564" s="2">
        <v>45068.388599537036</v>
      </c>
      <c r="Q1564" s="2">
        <f t="shared" si="225"/>
        <v>45075</v>
      </c>
      <c r="R1564" s="2">
        <v>45068.447372685187</v>
      </c>
      <c r="S1564">
        <f t="shared" si="226"/>
        <v>0</v>
      </c>
      <c r="T1564" s="2">
        <f t="shared" si="227"/>
        <v>45075</v>
      </c>
      <c r="U1564" t="str">
        <f t="shared" si="228"/>
        <v>NO PRAZO</v>
      </c>
    </row>
    <row r="1565" spans="1:21" hidden="1">
      <c r="A1565" s="1">
        <v>13187</v>
      </c>
      <c r="B1565" t="s">
        <v>17</v>
      </c>
      <c r="C1565" t="s">
        <v>9</v>
      </c>
      <c r="D1565" t="s">
        <v>18</v>
      </c>
      <c r="E1565" s="1">
        <v>1170</v>
      </c>
      <c r="F1565" s="1">
        <v>2023</v>
      </c>
      <c r="G1565" t="s">
        <v>11</v>
      </c>
      <c r="H1565" s="2">
        <v>45063.708298611113</v>
      </c>
      <c r="I1565" s="9">
        <f t="shared" si="220"/>
        <v>45068</v>
      </c>
      <c r="J1565" s="2" t="str">
        <f t="shared" si="221"/>
        <v/>
      </c>
      <c r="L1565" s="2" t="str">
        <f t="shared" si="222"/>
        <v/>
      </c>
      <c r="N1565" s="10" t="str">
        <f t="shared" si="223"/>
        <v/>
      </c>
      <c r="O1565" s="2">
        <f t="shared" si="224"/>
        <v>45068</v>
      </c>
      <c r="P1565" s="2">
        <v>45065.470081018517</v>
      </c>
      <c r="Q1565" s="2">
        <f t="shared" si="225"/>
        <v>45072</v>
      </c>
      <c r="R1565" s="2">
        <v>45065.470717592594</v>
      </c>
      <c r="S1565">
        <f t="shared" si="226"/>
        <v>0</v>
      </c>
      <c r="T1565" s="2">
        <f t="shared" si="227"/>
        <v>45072</v>
      </c>
      <c r="U1565" t="str">
        <f t="shared" si="228"/>
        <v>NO PRAZO</v>
      </c>
    </row>
    <row r="1566" spans="1:21" hidden="1">
      <c r="A1566" s="1">
        <v>13180</v>
      </c>
      <c r="B1566" t="s">
        <v>12</v>
      </c>
      <c r="C1566" t="s">
        <v>13</v>
      </c>
      <c r="D1566" t="s">
        <v>18</v>
      </c>
      <c r="E1566" s="1">
        <v>1163</v>
      </c>
      <c r="F1566" s="1">
        <v>2023</v>
      </c>
      <c r="G1566" t="s">
        <v>11</v>
      </c>
      <c r="H1566" s="2">
        <v>45063.583298611113</v>
      </c>
      <c r="I1566" s="9">
        <f t="shared" si="220"/>
        <v>45068</v>
      </c>
      <c r="J1566" s="2" t="str">
        <f t="shared" si="221"/>
        <v/>
      </c>
      <c r="L1566" s="2" t="str">
        <f t="shared" si="222"/>
        <v/>
      </c>
      <c r="N1566" s="10" t="str">
        <f t="shared" si="223"/>
        <v/>
      </c>
      <c r="O1566" s="2">
        <f t="shared" si="224"/>
        <v>45068</v>
      </c>
      <c r="P1566" s="2">
        <v>45065.468171296299</v>
      </c>
      <c r="Q1566" s="2">
        <f t="shared" si="225"/>
        <v>45072</v>
      </c>
      <c r="R1566" s="2">
        <v>45065.469664351855</v>
      </c>
      <c r="S1566">
        <f t="shared" si="226"/>
        <v>0</v>
      </c>
      <c r="T1566" s="2">
        <f t="shared" si="227"/>
        <v>45072</v>
      </c>
      <c r="U1566" t="str">
        <f t="shared" si="228"/>
        <v>NO PRAZO</v>
      </c>
    </row>
    <row r="1567" spans="1:21" hidden="1">
      <c r="A1567" s="1">
        <v>13178</v>
      </c>
      <c r="B1567" t="s">
        <v>19</v>
      </c>
      <c r="C1567" t="s">
        <v>9</v>
      </c>
      <c r="D1567" t="s">
        <v>18</v>
      </c>
      <c r="E1567" s="1">
        <v>1161</v>
      </c>
      <c r="F1567" s="1">
        <v>2023</v>
      </c>
      <c r="G1567" t="s">
        <v>11</v>
      </c>
      <c r="H1567" s="2">
        <v>45063.499976851854</v>
      </c>
      <c r="I1567" s="9">
        <f t="shared" si="220"/>
        <v>45068</v>
      </c>
      <c r="J1567" s="2" t="str">
        <f t="shared" si="221"/>
        <v/>
      </c>
      <c r="L1567" s="2" t="str">
        <f t="shared" si="222"/>
        <v/>
      </c>
      <c r="N1567" s="10" t="str">
        <f t="shared" si="223"/>
        <v/>
      </c>
      <c r="O1567" s="2">
        <f t="shared" si="224"/>
        <v>45068</v>
      </c>
      <c r="P1567" s="2">
        <v>45063.585613425923</v>
      </c>
      <c r="Q1567" s="2">
        <f t="shared" si="225"/>
        <v>45072</v>
      </c>
      <c r="R1567" s="2">
        <v>45063.602696759262</v>
      </c>
      <c r="S1567">
        <f t="shared" si="226"/>
        <v>0</v>
      </c>
      <c r="T1567" s="2">
        <f t="shared" si="227"/>
        <v>45072</v>
      </c>
      <c r="U1567" t="str">
        <f t="shared" si="228"/>
        <v>NO PRAZO</v>
      </c>
    </row>
    <row r="1568" spans="1:21" hidden="1">
      <c r="A1568" s="1">
        <v>13173</v>
      </c>
      <c r="B1568" t="s">
        <v>20</v>
      </c>
      <c r="C1568" t="s">
        <v>13</v>
      </c>
      <c r="D1568" t="s">
        <v>18</v>
      </c>
      <c r="E1568" s="1">
        <v>1156</v>
      </c>
      <c r="F1568" s="1">
        <v>2023</v>
      </c>
      <c r="G1568" t="s">
        <v>11</v>
      </c>
      <c r="H1568" s="2">
        <v>45063.458310185182</v>
      </c>
      <c r="I1568" s="9">
        <f t="shared" si="220"/>
        <v>45068</v>
      </c>
      <c r="J1568" s="2" t="str">
        <f t="shared" si="221"/>
        <v/>
      </c>
      <c r="L1568" s="2" t="str">
        <f t="shared" si="222"/>
        <v/>
      </c>
      <c r="N1568" s="10" t="str">
        <f t="shared" si="223"/>
        <v/>
      </c>
      <c r="O1568" s="2">
        <f t="shared" si="224"/>
        <v>45068</v>
      </c>
      <c r="P1568" s="2">
        <v>45068.590127314812</v>
      </c>
      <c r="Q1568" s="2">
        <f t="shared" si="225"/>
        <v>45072</v>
      </c>
      <c r="R1568" s="2">
        <v>45068.591053240743</v>
      </c>
      <c r="S1568">
        <f t="shared" si="226"/>
        <v>0</v>
      </c>
      <c r="T1568" s="2">
        <f t="shared" si="227"/>
        <v>45072</v>
      </c>
      <c r="U1568" t="str">
        <f t="shared" si="228"/>
        <v>NO PRAZO</v>
      </c>
    </row>
    <row r="1569" spans="1:21" hidden="1">
      <c r="A1569" s="1">
        <v>13167</v>
      </c>
      <c r="B1569" t="s">
        <v>12</v>
      </c>
      <c r="C1569" t="s">
        <v>9</v>
      </c>
      <c r="D1569" t="s">
        <v>10</v>
      </c>
      <c r="E1569" s="1">
        <v>1150</v>
      </c>
      <c r="F1569" s="1">
        <v>2023</v>
      </c>
      <c r="G1569" t="s">
        <v>11</v>
      </c>
      <c r="H1569" s="2">
        <v>45062.708310185182</v>
      </c>
      <c r="I1569" s="9">
        <f t="shared" si="220"/>
        <v>45063</v>
      </c>
      <c r="J1569" s="2" t="str">
        <f t="shared" si="221"/>
        <v/>
      </c>
      <c r="L1569" s="2" t="str">
        <f t="shared" si="222"/>
        <v/>
      </c>
      <c r="N1569" s="10" t="str">
        <f t="shared" si="223"/>
        <v/>
      </c>
      <c r="O1569" s="2">
        <f t="shared" si="224"/>
        <v>45063</v>
      </c>
      <c r="P1569" s="2">
        <v>45063.490057870367</v>
      </c>
      <c r="Q1569" s="2">
        <f t="shared" si="225"/>
        <v>45064</v>
      </c>
      <c r="R1569" s="2">
        <v>45063.648935185185</v>
      </c>
      <c r="S1569">
        <f t="shared" si="226"/>
        <v>0</v>
      </c>
      <c r="T1569" s="2">
        <f t="shared" si="227"/>
        <v>45064</v>
      </c>
      <c r="U1569" t="str">
        <f t="shared" si="228"/>
        <v>NO PRAZO</v>
      </c>
    </row>
    <row r="1570" spans="1:21" hidden="1">
      <c r="A1570" s="1">
        <v>13166</v>
      </c>
      <c r="B1570" t="s">
        <v>12</v>
      </c>
      <c r="C1570" t="s">
        <v>9</v>
      </c>
      <c r="D1570" t="s">
        <v>10</v>
      </c>
      <c r="E1570" s="1">
        <v>1149</v>
      </c>
      <c r="F1570" s="1">
        <v>2023</v>
      </c>
      <c r="G1570" t="s">
        <v>11</v>
      </c>
      <c r="H1570" s="2">
        <v>45062.666620370372</v>
      </c>
      <c r="I1570" s="9">
        <f t="shared" si="220"/>
        <v>45063</v>
      </c>
      <c r="J1570" s="2" t="str">
        <f t="shared" si="221"/>
        <v/>
      </c>
      <c r="L1570" s="2" t="str">
        <f t="shared" si="222"/>
        <v/>
      </c>
      <c r="N1570" s="10" t="str">
        <f t="shared" si="223"/>
        <v/>
      </c>
      <c r="O1570" s="2">
        <f t="shared" si="224"/>
        <v>45063</v>
      </c>
      <c r="P1570" s="2">
        <v>45063.488668981481</v>
      </c>
      <c r="Q1570" s="2">
        <f t="shared" si="225"/>
        <v>45064</v>
      </c>
      <c r="R1570" s="2">
        <v>45063.648217592592</v>
      </c>
      <c r="S1570">
        <f t="shared" si="226"/>
        <v>0</v>
      </c>
      <c r="T1570" s="2">
        <f t="shared" si="227"/>
        <v>45064</v>
      </c>
      <c r="U1570" t="str">
        <f t="shared" si="228"/>
        <v>NO PRAZO</v>
      </c>
    </row>
    <row r="1571" spans="1:21">
      <c r="A1571" s="1">
        <v>13165</v>
      </c>
      <c r="B1571" t="s">
        <v>17</v>
      </c>
      <c r="C1571" t="s">
        <v>9</v>
      </c>
      <c r="D1571" t="s">
        <v>14</v>
      </c>
      <c r="E1571" s="1">
        <v>1148</v>
      </c>
      <c r="F1571" s="1">
        <v>2023</v>
      </c>
      <c r="G1571" t="s">
        <v>11</v>
      </c>
      <c r="H1571" s="2">
        <v>45062.583287037036</v>
      </c>
      <c r="I1571" s="9">
        <f t="shared" si="220"/>
        <v>45063</v>
      </c>
      <c r="J1571" s="2" t="str">
        <f t="shared" si="221"/>
        <v/>
      </c>
      <c r="L1571" s="2" t="str">
        <f t="shared" si="222"/>
        <v/>
      </c>
      <c r="N1571" s="10" t="str">
        <f t="shared" si="223"/>
        <v/>
      </c>
      <c r="O1571" s="2">
        <f t="shared" si="224"/>
        <v>45063</v>
      </c>
      <c r="P1571" s="2">
        <v>45064.497719907406</v>
      </c>
      <c r="Q1571" s="2">
        <f t="shared" si="225"/>
        <v>45064</v>
      </c>
      <c r="R1571" s="2">
        <v>45068.69226851852</v>
      </c>
      <c r="S1571">
        <f t="shared" si="226"/>
        <v>4</v>
      </c>
      <c r="T1571" s="2">
        <f t="shared" si="227"/>
        <v>45064</v>
      </c>
      <c r="U1571" t="str">
        <f t="shared" si="228"/>
        <v>ATRASO</v>
      </c>
    </row>
    <row r="1572" spans="1:21" hidden="1">
      <c r="A1572" s="1">
        <v>13136</v>
      </c>
      <c r="B1572" t="s">
        <v>20</v>
      </c>
      <c r="C1572" t="s">
        <v>9</v>
      </c>
      <c r="D1572" t="s">
        <v>18</v>
      </c>
      <c r="E1572" s="1">
        <v>1119</v>
      </c>
      <c r="F1572" s="1">
        <v>2023</v>
      </c>
      <c r="G1572" t="s">
        <v>11</v>
      </c>
      <c r="H1572" s="2">
        <v>45058.708356481482</v>
      </c>
      <c r="I1572" s="9">
        <f t="shared" si="220"/>
        <v>45063</v>
      </c>
      <c r="J1572" s="2" t="str">
        <f t="shared" si="221"/>
        <v/>
      </c>
      <c r="L1572" s="2" t="str">
        <f t="shared" si="222"/>
        <v/>
      </c>
      <c r="N1572" s="10" t="str">
        <f t="shared" si="223"/>
        <v/>
      </c>
      <c r="O1572" s="2">
        <f t="shared" si="224"/>
        <v>45063</v>
      </c>
      <c r="P1572" s="2">
        <v>45061.421585648146</v>
      </c>
      <c r="Q1572" s="2">
        <f t="shared" si="225"/>
        <v>45069</v>
      </c>
      <c r="R1572" s="2">
        <v>45062.459583333337</v>
      </c>
      <c r="S1572">
        <f t="shared" si="226"/>
        <v>0</v>
      </c>
      <c r="T1572" s="2">
        <f t="shared" si="227"/>
        <v>45069</v>
      </c>
      <c r="U1572" t="str">
        <f t="shared" si="228"/>
        <v>NO PRAZO</v>
      </c>
    </row>
    <row r="1573" spans="1:21" hidden="1">
      <c r="A1573" s="1">
        <v>13135</v>
      </c>
      <c r="B1573" t="s">
        <v>20</v>
      </c>
      <c r="C1573" t="s">
        <v>13</v>
      </c>
      <c r="D1573" t="s">
        <v>18</v>
      </c>
      <c r="E1573" s="1">
        <v>1118</v>
      </c>
      <c r="F1573" s="1">
        <v>2023</v>
      </c>
      <c r="G1573" t="s">
        <v>11</v>
      </c>
      <c r="H1573" s="2">
        <v>45058.708356481482</v>
      </c>
      <c r="I1573" s="9">
        <f t="shared" si="220"/>
        <v>45063</v>
      </c>
      <c r="J1573" s="2" t="str">
        <f t="shared" si="221"/>
        <v/>
      </c>
      <c r="L1573" s="2" t="str">
        <f t="shared" si="222"/>
        <v/>
      </c>
      <c r="N1573" s="10" t="str">
        <f t="shared" si="223"/>
        <v/>
      </c>
      <c r="O1573" s="2">
        <f t="shared" si="224"/>
        <v>45063</v>
      </c>
      <c r="P1573" s="2">
        <v>45061.421157407407</v>
      </c>
      <c r="Q1573" s="2">
        <f t="shared" si="225"/>
        <v>45069</v>
      </c>
      <c r="R1573" s="2">
        <v>45062.459027777775</v>
      </c>
      <c r="S1573">
        <f t="shared" si="226"/>
        <v>0</v>
      </c>
      <c r="T1573" s="2">
        <f t="shared" si="227"/>
        <v>45069</v>
      </c>
      <c r="U1573" t="str">
        <f t="shared" si="228"/>
        <v>NO PRAZO</v>
      </c>
    </row>
    <row r="1574" spans="1:21" hidden="1">
      <c r="A1574" s="1">
        <v>13112</v>
      </c>
      <c r="B1574" t="s">
        <v>17</v>
      </c>
      <c r="C1574" t="s">
        <v>9</v>
      </c>
      <c r="D1574" t="s">
        <v>10</v>
      </c>
      <c r="E1574" s="1">
        <v>1095</v>
      </c>
      <c r="F1574" s="1">
        <v>2023</v>
      </c>
      <c r="G1574" t="s">
        <v>11</v>
      </c>
      <c r="H1574" s="2">
        <v>45057.499976851854</v>
      </c>
      <c r="I1574" s="9">
        <f t="shared" si="220"/>
        <v>45058</v>
      </c>
      <c r="J1574" s="2" t="str">
        <f t="shared" si="221"/>
        <v/>
      </c>
      <c r="L1574" s="2" t="str">
        <f t="shared" si="222"/>
        <v/>
      </c>
      <c r="N1574" s="10" t="str">
        <f t="shared" si="223"/>
        <v/>
      </c>
      <c r="O1574" s="2">
        <f t="shared" si="224"/>
        <v>45058</v>
      </c>
      <c r="P1574" s="2">
        <v>45061.415254629632</v>
      </c>
      <c r="Q1574" s="2">
        <f t="shared" si="225"/>
        <v>45061</v>
      </c>
      <c r="R1574" s="2">
        <v>45061.422372685185</v>
      </c>
      <c r="S1574">
        <f t="shared" si="226"/>
        <v>0</v>
      </c>
      <c r="T1574" s="2">
        <f t="shared" si="227"/>
        <v>45061</v>
      </c>
      <c r="U1574" t="str">
        <f t="shared" si="228"/>
        <v>NO PRAZO</v>
      </c>
    </row>
    <row r="1575" spans="1:21" hidden="1">
      <c r="A1575" s="1">
        <v>13097</v>
      </c>
      <c r="B1575" t="s">
        <v>12</v>
      </c>
      <c r="C1575" t="s">
        <v>13</v>
      </c>
      <c r="D1575" t="s">
        <v>18</v>
      </c>
      <c r="E1575" s="1">
        <v>1080</v>
      </c>
      <c r="F1575" s="1">
        <v>2023</v>
      </c>
      <c r="G1575" t="s">
        <v>11</v>
      </c>
      <c r="H1575" s="2">
        <v>45056.583391203705</v>
      </c>
      <c r="I1575" s="9">
        <f t="shared" si="220"/>
        <v>45061</v>
      </c>
      <c r="J1575" s="2" t="str">
        <f t="shared" si="221"/>
        <v/>
      </c>
      <c r="L1575" s="2" t="str">
        <f t="shared" si="222"/>
        <v/>
      </c>
      <c r="N1575" s="10" t="str">
        <f t="shared" si="223"/>
        <v/>
      </c>
      <c r="O1575" s="2">
        <f t="shared" si="224"/>
        <v>45061</v>
      </c>
      <c r="P1575" s="2">
        <v>45058.514340277776</v>
      </c>
      <c r="Q1575" s="2">
        <f t="shared" si="225"/>
        <v>45065</v>
      </c>
      <c r="R1575" s="2">
        <v>45058.514560185184</v>
      </c>
      <c r="S1575">
        <f t="shared" si="226"/>
        <v>0</v>
      </c>
      <c r="T1575" s="2">
        <f t="shared" si="227"/>
        <v>45065</v>
      </c>
      <c r="U1575" t="str">
        <f t="shared" si="228"/>
        <v>NO PRAZO</v>
      </c>
    </row>
    <row r="1576" spans="1:21" hidden="1">
      <c r="A1576" s="1">
        <v>13083</v>
      </c>
      <c r="B1576" t="s">
        <v>23</v>
      </c>
      <c r="C1576" t="s">
        <v>13</v>
      </c>
      <c r="D1576" t="s">
        <v>21</v>
      </c>
      <c r="E1576" s="1">
        <v>1066</v>
      </c>
      <c r="F1576" s="1">
        <v>2023</v>
      </c>
      <c r="G1576" t="s">
        <v>11</v>
      </c>
      <c r="H1576" s="2">
        <v>45055.666666666664</v>
      </c>
      <c r="I1576" s="9">
        <f t="shared" si="220"/>
        <v>45058</v>
      </c>
      <c r="J1576" s="2" t="str">
        <f t="shared" si="221"/>
        <v/>
      </c>
      <c r="L1576" s="2" t="str">
        <f t="shared" si="222"/>
        <v/>
      </c>
      <c r="N1576" s="10" t="str">
        <f t="shared" si="223"/>
        <v/>
      </c>
      <c r="O1576" s="2">
        <f t="shared" si="224"/>
        <v>45058</v>
      </c>
      <c r="P1576" s="2">
        <v>45061.397951388892</v>
      </c>
      <c r="Q1576" s="2">
        <f t="shared" si="225"/>
        <v>45086</v>
      </c>
      <c r="R1576" s="2">
        <v>45062.932662037034</v>
      </c>
      <c r="S1576">
        <f t="shared" si="226"/>
        <v>0</v>
      </c>
      <c r="T1576" s="2">
        <f t="shared" si="227"/>
        <v>45086</v>
      </c>
      <c r="U1576" t="str">
        <f t="shared" si="228"/>
        <v>NO PRAZO</v>
      </c>
    </row>
    <row r="1577" spans="1:21">
      <c r="A1577" s="1">
        <v>13079</v>
      </c>
      <c r="B1577" t="s">
        <v>24</v>
      </c>
      <c r="C1577" t="s">
        <v>9</v>
      </c>
      <c r="D1577" t="s">
        <v>14</v>
      </c>
      <c r="E1577" s="1">
        <v>1062</v>
      </c>
      <c r="F1577" s="1">
        <v>2023</v>
      </c>
      <c r="G1577" t="s">
        <v>11</v>
      </c>
      <c r="H1577" s="2">
        <v>45055.583298611113</v>
      </c>
      <c r="I1577" s="9">
        <f t="shared" si="220"/>
        <v>45056</v>
      </c>
      <c r="J1577" s="2" t="str">
        <f t="shared" si="221"/>
        <v/>
      </c>
      <c r="L1577" s="2" t="str">
        <f t="shared" si="222"/>
        <v/>
      </c>
      <c r="N1577" s="10" t="str">
        <f t="shared" si="223"/>
        <v/>
      </c>
      <c r="O1577" s="2">
        <f t="shared" si="224"/>
        <v>45056</v>
      </c>
      <c r="P1577" s="2">
        <v>45057.776678240742</v>
      </c>
      <c r="Q1577" s="2">
        <f t="shared" si="225"/>
        <v>45057</v>
      </c>
      <c r="R1577" s="2">
        <v>45058.414722222224</v>
      </c>
      <c r="S1577">
        <f t="shared" si="226"/>
        <v>1</v>
      </c>
      <c r="T1577" s="2">
        <f t="shared" si="227"/>
        <v>45057</v>
      </c>
      <c r="U1577" t="str">
        <f t="shared" si="228"/>
        <v>ATRASO</v>
      </c>
    </row>
    <row r="1578" spans="1:21" hidden="1">
      <c r="A1578" s="1">
        <v>13062</v>
      </c>
      <c r="B1578" t="s">
        <v>22</v>
      </c>
      <c r="C1578" t="s">
        <v>13</v>
      </c>
      <c r="D1578" t="s">
        <v>18</v>
      </c>
      <c r="E1578" s="1">
        <v>1045</v>
      </c>
      <c r="F1578" s="1">
        <v>2023</v>
      </c>
      <c r="G1578" t="s">
        <v>11</v>
      </c>
      <c r="H1578" s="2">
        <v>45054.708356481482</v>
      </c>
      <c r="I1578" s="9">
        <f t="shared" si="220"/>
        <v>45057</v>
      </c>
      <c r="J1578" s="2" t="str">
        <f t="shared" si="221"/>
        <v/>
      </c>
      <c r="L1578" s="2" t="str">
        <f t="shared" si="222"/>
        <v/>
      </c>
      <c r="N1578" s="10" t="str">
        <f t="shared" si="223"/>
        <v/>
      </c>
      <c r="O1578" s="2">
        <f t="shared" si="224"/>
        <v>45057</v>
      </c>
      <c r="P1578" s="2">
        <v>45057.713055555556</v>
      </c>
      <c r="Q1578" s="2">
        <f t="shared" si="225"/>
        <v>45063</v>
      </c>
      <c r="R1578" s="2">
        <v>45058.509016203701</v>
      </c>
      <c r="S1578">
        <f t="shared" si="226"/>
        <v>0</v>
      </c>
      <c r="T1578" s="2">
        <f t="shared" si="227"/>
        <v>45063</v>
      </c>
      <c r="U1578" t="str">
        <f t="shared" si="228"/>
        <v>NO PRAZO</v>
      </c>
    </row>
    <row r="1579" spans="1:21" hidden="1">
      <c r="A1579" s="1">
        <v>13049</v>
      </c>
      <c r="B1579" t="s">
        <v>23</v>
      </c>
      <c r="C1579" t="s">
        <v>9</v>
      </c>
      <c r="D1579" t="s">
        <v>10</v>
      </c>
      <c r="E1579" s="1">
        <v>1032</v>
      </c>
      <c r="F1579" s="1">
        <v>2023</v>
      </c>
      <c r="G1579" t="s">
        <v>11</v>
      </c>
      <c r="H1579" s="2">
        <v>45054.376886574071</v>
      </c>
      <c r="I1579" s="9">
        <f t="shared" si="220"/>
        <v>45055</v>
      </c>
      <c r="J1579" s="2" t="str">
        <f t="shared" si="221"/>
        <v/>
      </c>
      <c r="L1579" s="2" t="str">
        <f t="shared" si="222"/>
        <v/>
      </c>
      <c r="N1579" s="10" t="str">
        <f t="shared" si="223"/>
        <v/>
      </c>
      <c r="O1579" s="2">
        <f t="shared" si="224"/>
        <v>45055</v>
      </c>
      <c r="P1579" s="2">
        <v>45054.377870370372</v>
      </c>
      <c r="Q1579" s="2">
        <f t="shared" si="225"/>
        <v>45056</v>
      </c>
      <c r="R1579" s="2">
        <v>45054.447731481479</v>
      </c>
      <c r="S1579">
        <f t="shared" si="226"/>
        <v>0</v>
      </c>
      <c r="T1579" s="2">
        <f t="shared" si="227"/>
        <v>45056</v>
      </c>
      <c r="U1579" t="str">
        <f t="shared" si="228"/>
        <v>NO PRAZO</v>
      </c>
    </row>
    <row r="1580" spans="1:21" hidden="1">
      <c r="A1580" s="1">
        <v>13047</v>
      </c>
      <c r="B1580" t="s">
        <v>22</v>
      </c>
      <c r="C1580" t="s">
        <v>13</v>
      </c>
      <c r="D1580" t="s">
        <v>16</v>
      </c>
      <c r="E1580" s="1">
        <v>1030</v>
      </c>
      <c r="F1580" s="1">
        <v>2023</v>
      </c>
      <c r="G1580" t="s">
        <v>11</v>
      </c>
      <c r="H1580" s="2">
        <v>45054.374988425923</v>
      </c>
      <c r="I1580" s="9">
        <f t="shared" si="220"/>
        <v>45055</v>
      </c>
      <c r="J1580" s="2" t="str">
        <f t="shared" si="221"/>
        <v/>
      </c>
      <c r="L1580" s="2" t="str">
        <f t="shared" si="222"/>
        <v/>
      </c>
      <c r="N1580" s="10" t="str">
        <f t="shared" si="223"/>
        <v/>
      </c>
      <c r="O1580" s="2">
        <f t="shared" si="224"/>
        <v>45055</v>
      </c>
      <c r="P1580" s="2">
        <v>45058.648298611108</v>
      </c>
      <c r="Q1580" s="2">
        <f t="shared" si="225"/>
        <v>45061</v>
      </c>
      <c r="R1580" s="2">
        <v>45058.665185185186</v>
      </c>
      <c r="S1580">
        <f t="shared" si="226"/>
        <v>0</v>
      </c>
      <c r="T1580" s="2">
        <f t="shared" si="227"/>
        <v>45061</v>
      </c>
      <c r="U1580" t="str">
        <f t="shared" si="228"/>
        <v>NO PRAZO</v>
      </c>
    </row>
    <row r="1581" spans="1:21" hidden="1">
      <c r="A1581" s="1">
        <v>13030</v>
      </c>
      <c r="B1581" t="s">
        <v>17</v>
      </c>
      <c r="C1581" t="s">
        <v>9</v>
      </c>
      <c r="D1581" t="s">
        <v>21</v>
      </c>
      <c r="E1581" s="1">
        <v>1013</v>
      </c>
      <c r="F1581" s="1">
        <v>2023</v>
      </c>
      <c r="G1581" t="s">
        <v>11</v>
      </c>
      <c r="H1581" s="2">
        <v>45050.708356481482</v>
      </c>
      <c r="I1581" s="9">
        <f t="shared" si="220"/>
        <v>45055</v>
      </c>
      <c r="J1581" s="2" t="str">
        <f t="shared" si="221"/>
        <v/>
      </c>
      <c r="L1581" s="2" t="str">
        <f t="shared" si="222"/>
        <v/>
      </c>
      <c r="N1581" s="10" t="str">
        <f t="shared" si="223"/>
        <v/>
      </c>
      <c r="O1581" s="2">
        <f t="shared" si="224"/>
        <v>45055</v>
      </c>
      <c r="P1581" s="2">
        <v>45051.646377314813</v>
      </c>
      <c r="Q1581" s="2">
        <f t="shared" si="225"/>
        <v>45082</v>
      </c>
      <c r="R1581" s="2">
        <v>45051.646990740737</v>
      </c>
      <c r="S1581">
        <f t="shared" si="226"/>
        <v>0</v>
      </c>
      <c r="T1581" s="2">
        <f t="shared" si="227"/>
        <v>45082</v>
      </c>
      <c r="U1581" t="str">
        <f t="shared" si="228"/>
        <v>NO PRAZO</v>
      </c>
    </row>
    <row r="1582" spans="1:21" hidden="1">
      <c r="A1582" s="1">
        <v>13013</v>
      </c>
      <c r="B1582" t="s">
        <v>20</v>
      </c>
      <c r="C1582" t="s">
        <v>13</v>
      </c>
      <c r="D1582" t="s">
        <v>18</v>
      </c>
      <c r="E1582" s="1">
        <v>996</v>
      </c>
      <c r="F1582" s="1">
        <v>2023</v>
      </c>
      <c r="G1582" t="s">
        <v>11</v>
      </c>
      <c r="H1582" s="2">
        <v>45050.361203703702</v>
      </c>
      <c r="I1582" s="9">
        <f t="shared" si="220"/>
        <v>45055</v>
      </c>
      <c r="J1582" s="2" t="str">
        <f t="shared" si="221"/>
        <v/>
      </c>
      <c r="L1582" s="2" t="str">
        <f t="shared" si="222"/>
        <v/>
      </c>
      <c r="N1582" s="10" t="str">
        <f t="shared" si="223"/>
        <v/>
      </c>
      <c r="O1582" s="2">
        <f t="shared" si="224"/>
        <v>45055</v>
      </c>
      <c r="P1582" s="2">
        <v>45050.361562500002</v>
      </c>
      <c r="Q1582" s="2">
        <f t="shared" si="225"/>
        <v>45061</v>
      </c>
      <c r="R1582" s="2">
        <v>45050.363078703704</v>
      </c>
      <c r="S1582">
        <f t="shared" si="226"/>
        <v>0</v>
      </c>
      <c r="T1582" s="2">
        <f t="shared" si="227"/>
        <v>45061</v>
      </c>
      <c r="U1582" t="str">
        <f t="shared" si="228"/>
        <v>NO PRAZO</v>
      </c>
    </row>
    <row r="1583" spans="1:21" hidden="1">
      <c r="A1583" s="1">
        <v>13008</v>
      </c>
      <c r="B1583" t="s">
        <v>17</v>
      </c>
      <c r="C1583" t="s">
        <v>9</v>
      </c>
      <c r="D1583" t="s">
        <v>18</v>
      </c>
      <c r="E1583" s="1">
        <v>991</v>
      </c>
      <c r="F1583" s="1">
        <v>2023</v>
      </c>
      <c r="G1583" t="s">
        <v>11</v>
      </c>
      <c r="H1583" s="2">
        <v>45049.708321759259</v>
      </c>
      <c r="I1583" s="9">
        <f t="shared" si="220"/>
        <v>45054</v>
      </c>
      <c r="J1583" s="2" t="str">
        <f t="shared" si="221"/>
        <v/>
      </c>
      <c r="L1583" s="2" t="str">
        <f t="shared" si="222"/>
        <v/>
      </c>
      <c r="N1583" s="10" t="str">
        <f t="shared" si="223"/>
        <v/>
      </c>
      <c r="O1583" s="2">
        <f t="shared" si="224"/>
        <v>45054</v>
      </c>
      <c r="P1583" s="2">
        <v>45051.639432870368</v>
      </c>
      <c r="Q1583" s="2">
        <f t="shared" si="225"/>
        <v>45058</v>
      </c>
      <c r="R1583" s="2">
        <v>45051.643125000002</v>
      </c>
      <c r="S1583">
        <f t="shared" si="226"/>
        <v>0</v>
      </c>
      <c r="T1583" s="2">
        <f t="shared" si="227"/>
        <v>45058</v>
      </c>
      <c r="U1583" t="str">
        <f t="shared" si="228"/>
        <v>NO PRAZO</v>
      </c>
    </row>
    <row r="1584" spans="1:21" hidden="1">
      <c r="A1584" s="1">
        <v>13007</v>
      </c>
      <c r="B1584" t="s">
        <v>20</v>
      </c>
      <c r="C1584" t="s">
        <v>13</v>
      </c>
      <c r="D1584" t="s">
        <v>18</v>
      </c>
      <c r="E1584" s="1">
        <v>990</v>
      </c>
      <c r="F1584" s="1">
        <v>2023</v>
      </c>
      <c r="G1584" t="s">
        <v>11</v>
      </c>
      <c r="H1584" s="2">
        <v>45049.625011574077</v>
      </c>
      <c r="I1584" s="9">
        <f t="shared" si="220"/>
        <v>45054</v>
      </c>
      <c r="J1584" s="2" t="str">
        <f t="shared" si="221"/>
        <v/>
      </c>
      <c r="L1584" s="2" t="str">
        <f t="shared" si="222"/>
        <v/>
      </c>
      <c r="N1584" s="10" t="str">
        <f t="shared" si="223"/>
        <v/>
      </c>
      <c r="O1584" s="2">
        <f t="shared" si="224"/>
        <v>45054</v>
      </c>
      <c r="P1584" s="2">
        <v>45054.445729166669</v>
      </c>
      <c r="Q1584" s="2">
        <f t="shared" si="225"/>
        <v>45058</v>
      </c>
      <c r="R1584" s="2">
        <v>45055.699305555558</v>
      </c>
      <c r="S1584">
        <f t="shared" si="226"/>
        <v>0</v>
      </c>
      <c r="T1584" s="2">
        <f t="shared" si="227"/>
        <v>45058</v>
      </c>
      <c r="U1584" t="str">
        <f t="shared" si="228"/>
        <v>NO PRAZO</v>
      </c>
    </row>
    <row r="1585" spans="1:21" hidden="1">
      <c r="A1585" s="1">
        <v>12999</v>
      </c>
      <c r="B1585" t="s">
        <v>17</v>
      </c>
      <c r="C1585" t="s">
        <v>9</v>
      </c>
      <c r="D1585" t="s">
        <v>18</v>
      </c>
      <c r="E1585" s="1">
        <v>982</v>
      </c>
      <c r="F1585" s="1">
        <v>2023</v>
      </c>
      <c r="G1585" t="s">
        <v>11</v>
      </c>
      <c r="H1585" s="2">
        <v>45049.458344907405</v>
      </c>
      <c r="I1585" s="9">
        <f t="shared" si="220"/>
        <v>45054</v>
      </c>
      <c r="J1585" s="2" t="str">
        <f t="shared" si="221"/>
        <v/>
      </c>
      <c r="L1585" s="2" t="str">
        <f t="shared" si="222"/>
        <v/>
      </c>
      <c r="N1585" s="10" t="str">
        <f t="shared" si="223"/>
        <v/>
      </c>
      <c r="O1585" s="2">
        <f t="shared" si="224"/>
        <v>45054</v>
      </c>
      <c r="P1585" s="2">
        <v>45051.637523148151</v>
      </c>
      <c r="Q1585" s="2">
        <f t="shared" si="225"/>
        <v>45058</v>
      </c>
      <c r="R1585" s="2">
        <v>45051.638425925928</v>
      </c>
      <c r="S1585">
        <f t="shared" si="226"/>
        <v>0</v>
      </c>
      <c r="T1585" s="2">
        <f t="shared" si="227"/>
        <v>45058</v>
      </c>
      <c r="U1585" t="str">
        <f t="shared" si="228"/>
        <v>NO PRAZO</v>
      </c>
    </row>
    <row r="1586" spans="1:21" hidden="1">
      <c r="A1586" s="1">
        <v>12972</v>
      </c>
      <c r="B1586" t="s">
        <v>24</v>
      </c>
      <c r="C1586" t="s">
        <v>13</v>
      </c>
      <c r="D1586" t="s">
        <v>10</v>
      </c>
      <c r="E1586" s="1">
        <v>955</v>
      </c>
      <c r="F1586" s="1">
        <v>2023</v>
      </c>
      <c r="G1586" t="s">
        <v>11</v>
      </c>
      <c r="H1586" s="2">
        <v>45044.625</v>
      </c>
      <c r="I1586" s="9">
        <f t="shared" si="220"/>
        <v>45048</v>
      </c>
      <c r="J1586" s="2" t="str">
        <f t="shared" si="221"/>
        <v/>
      </c>
      <c r="L1586" s="2" t="str">
        <f t="shared" si="222"/>
        <v/>
      </c>
      <c r="N1586" s="10" t="str">
        <f t="shared" si="223"/>
        <v/>
      </c>
      <c r="O1586" s="2">
        <f t="shared" si="224"/>
        <v>45048</v>
      </c>
      <c r="P1586" s="2">
        <v>45044.626203703701</v>
      </c>
      <c r="Q1586" s="2">
        <f t="shared" si="225"/>
        <v>45049</v>
      </c>
      <c r="R1586" s="2">
        <v>45048.401331018518</v>
      </c>
      <c r="S1586">
        <f t="shared" si="226"/>
        <v>0</v>
      </c>
      <c r="T1586" s="2">
        <f t="shared" si="227"/>
        <v>45049</v>
      </c>
      <c r="U1586" t="str">
        <f t="shared" si="228"/>
        <v>NO PRAZO</v>
      </c>
    </row>
    <row r="1587" spans="1:21" hidden="1">
      <c r="A1587" s="1">
        <v>12971</v>
      </c>
      <c r="B1587" t="s">
        <v>12</v>
      </c>
      <c r="C1587" t="s">
        <v>13</v>
      </c>
      <c r="D1587" t="s">
        <v>18</v>
      </c>
      <c r="E1587" s="1">
        <v>954</v>
      </c>
      <c r="F1587" s="1">
        <v>2023</v>
      </c>
      <c r="G1587" t="s">
        <v>11</v>
      </c>
      <c r="H1587" s="2">
        <v>45044.583356481482</v>
      </c>
      <c r="I1587" s="9">
        <f t="shared" si="220"/>
        <v>45050</v>
      </c>
      <c r="J1587" s="2" t="str">
        <f t="shared" si="221"/>
        <v/>
      </c>
      <c r="L1587" s="2" t="str">
        <f t="shared" si="222"/>
        <v/>
      </c>
      <c r="N1587" s="10" t="str">
        <f t="shared" si="223"/>
        <v/>
      </c>
      <c r="O1587" s="2">
        <f t="shared" si="224"/>
        <v>45050</v>
      </c>
      <c r="P1587" s="2">
        <v>45048.453009259261</v>
      </c>
      <c r="Q1587" s="2">
        <f t="shared" si="225"/>
        <v>45056</v>
      </c>
      <c r="R1587" s="2">
        <v>45049.419583333336</v>
      </c>
      <c r="S1587">
        <f t="shared" si="226"/>
        <v>0</v>
      </c>
      <c r="T1587" s="2">
        <f t="shared" si="227"/>
        <v>45056</v>
      </c>
      <c r="U1587" t="str">
        <f t="shared" si="228"/>
        <v>NO PRAZO</v>
      </c>
    </row>
    <row r="1588" spans="1:21" hidden="1">
      <c r="A1588" s="1">
        <v>12963</v>
      </c>
      <c r="B1588" t="s">
        <v>23</v>
      </c>
      <c r="C1588" t="s">
        <v>9</v>
      </c>
      <c r="D1588" t="s">
        <v>18</v>
      </c>
      <c r="E1588" s="1">
        <v>946</v>
      </c>
      <c r="F1588" s="1">
        <v>2023</v>
      </c>
      <c r="G1588" t="s">
        <v>11</v>
      </c>
      <c r="H1588" s="2">
        <v>45044.387349537035</v>
      </c>
      <c r="I1588" s="9">
        <f t="shared" si="220"/>
        <v>45050</v>
      </c>
      <c r="J1588" s="2" t="str">
        <f t="shared" si="221"/>
        <v/>
      </c>
      <c r="L1588" s="2" t="str">
        <f t="shared" si="222"/>
        <v/>
      </c>
      <c r="N1588" s="10" t="str">
        <f t="shared" si="223"/>
        <v/>
      </c>
      <c r="O1588" s="2">
        <f t="shared" si="224"/>
        <v>45050</v>
      </c>
      <c r="P1588" s="2">
        <v>45044.387696759259</v>
      </c>
      <c r="Q1588" s="2">
        <f t="shared" si="225"/>
        <v>45056</v>
      </c>
      <c r="R1588" s="2">
        <v>45044.443842592591</v>
      </c>
      <c r="S1588">
        <f t="shared" si="226"/>
        <v>0</v>
      </c>
      <c r="T1588" s="2">
        <f t="shared" si="227"/>
        <v>45056</v>
      </c>
      <c r="U1588" t="str">
        <f t="shared" si="228"/>
        <v>NO PRAZO</v>
      </c>
    </row>
    <row r="1589" spans="1:21" hidden="1">
      <c r="A1589" s="1">
        <v>12960</v>
      </c>
      <c r="B1589" t="s">
        <v>17</v>
      </c>
      <c r="C1589" t="s">
        <v>9</v>
      </c>
      <c r="D1589" t="s">
        <v>18</v>
      </c>
      <c r="E1589" s="1">
        <v>943</v>
      </c>
      <c r="F1589" s="1">
        <v>2023</v>
      </c>
      <c r="G1589" t="s">
        <v>11</v>
      </c>
      <c r="H1589" s="2">
        <v>45044.375023148146</v>
      </c>
      <c r="I1589" s="9">
        <f t="shared" si="220"/>
        <v>45050</v>
      </c>
      <c r="J1589" s="2" t="str">
        <f t="shared" si="221"/>
        <v/>
      </c>
      <c r="L1589" s="2" t="str">
        <f t="shared" si="222"/>
        <v/>
      </c>
      <c r="N1589" s="10" t="str">
        <f t="shared" si="223"/>
        <v/>
      </c>
      <c r="O1589" s="2">
        <f t="shared" si="224"/>
        <v>45050</v>
      </c>
      <c r="P1589" s="2">
        <v>45050.459039351852</v>
      </c>
      <c r="Q1589" s="2">
        <f t="shared" si="225"/>
        <v>45056</v>
      </c>
      <c r="R1589" s="2">
        <v>45050.459976851853</v>
      </c>
      <c r="S1589">
        <f t="shared" si="226"/>
        <v>0</v>
      </c>
      <c r="T1589" s="2">
        <f t="shared" si="227"/>
        <v>45056</v>
      </c>
      <c r="U1589" t="str">
        <f t="shared" si="228"/>
        <v>NO PRAZO</v>
      </c>
    </row>
    <row r="1590" spans="1:21" hidden="1">
      <c r="A1590" s="1">
        <v>12958</v>
      </c>
      <c r="B1590" t="s">
        <v>12</v>
      </c>
      <c r="C1590" t="s">
        <v>13</v>
      </c>
      <c r="D1590" t="s">
        <v>18</v>
      </c>
      <c r="E1590" s="1">
        <v>941</v>
      </c>
      <c r="F1590" s="1">
        <v>2023</v>
      </c>
      <c r="G1590" t="s">
        <v>11</v>
      </c>
      <c r="H1590" s="2">
        <v>45043.708368055559</v>
      </c>
      <c r="I1590" s="9">
        <f t="shared" si="220"/>
        <v>45049</v>
      </c>
      <c r="J1590" s="2" t="str">
        <f t="shared" si="221"/>
        <v/>
      </c>
      <c r="L1590" s="2" t="str">
        <f t="shared" si="222"/>
        <v/>
      </c>
      <c r="N1590" s="10" t="str">
        <f t="shared" si="223"/>
        <v/>
      </c>
      <c r="O1590" s="2">
        <f t="shared" si="224"/>
        <v>45049</v>
      </c>
      <c r="P1590" s="2">
        <v>45050.500023148146</v>
      </c>
      <c r="Q1590" s="2">
        <f t="shared" si="225"/>
        <v>45055</v>
      </c>
      <c r="R1590" s="2">
        <v>45050.503750000003</v>
      </c>
      <c r="S1590">
        <f t="shared" si="226"/>
        <v>0</v>
      </c>
      <c r="T1590" s="2">
        <f t="shared" si="227"/>
        <v>45055</v>
      </c>
      <c r="U1590" t="str">
        <f t="shared" si="228"/>
        <v>NO PRAZO</v>
      </c>
    </row>
    <row r="1591" spans="1:21" hidden="1">
      <c r="A1591" s="1">
        <v>12955</v>
      </c>
      <c r="B1591" t="s">
        <v>20</v>
      </c>
      <c r="C1591" t="s">
        <v>13</v>
      </c>
      <c r="D1591" t="s">
        <v>18</v>
      </c>
      <c r="E1591" s="1">
        <v>938</v>
      </c>
      <c r="F1591" s="1">
        <v>2023</v>
      </c>
      <c r="G1591" t="s">
        <v>11</v>
      </c>
      <c r="H1591" s="2">
        <v>45043.708368055559</v>
      </c>
      <c r="I1591" s="9">
        <f t="shared" si="220"/>
        <v>45049</v>
      </c>
      <c r="J1591" s="2" t="str">
        <f t="shared" si="221"/>
        <v/>
      </c>
      <c r="L1591" s="2" t="str">
        <f t="shared" si="222"/>
        <v/>
      </c>
      <c r="N1591" s="10" t="str">
        <f t="shared" si="223"/>
        <v/>
      </c>
      <c r="O1591" s="2">
        <f t="shared" si="224"/>
        <v>45049</v>
      </c>
      <c r="P1591" s="2">
        <v>45051.519502314812</v>
      </c>
      <c r="Q1591" s="2">
        <f t="shared" si="225"/>
        <v>45055</v>
      </c>
      <c r="R1591" s="2">
        <v>45051.697569444441</v>
      </c>
      <c r="S1591">
        <f t="shared" si="226"/>
        <v>0</v>
      </c>
      <c r="T1591" s="2">
        <f t="shared" si="227"/>
        <v>45055</v>
      </c>
      <c r="U1591" t="str">
        <f t="shared" si="228"/>
        <v>NO PRAZO</v>
      </c>
    </row>
    <row r="1592" spans="1:21">
      <c r="A1592" s="1">
        <v>12954</v>
      </c>
      <c r="B1592" t="s">
        <v>20</v>
      </c>
      <c r="C1592" t="s">
        <v>13</v>
      </c>
      <c r="D1592" t="s">
        <v>21</v>
      </c>
      <c r="E1592" s="1">
        <v>937</v>
      </c>
      <c r="F1592" s="1">
        <v>2023</v>
      </c>
      <c r="G1592" t="s">
        <v>11</v>
      </c>
      <c r="H1592" s="2">
        <v>45043.708368055559</v>
      </c>
      <c r="I1592" s="9">
        <f t="shared" si="220"/>
        <v>45049</v>
      </c>
      <c r="J1592" s="2">
        <f t="shared" si="221"/>
        <v>45049</v>
      </c>
      <c r="K1592" s="2">
        <v>45050.741527777776</v>
      </c>
      <c r="L1592" s="2">
        <f t="shared" si="222"/>
        <v>45069</v>
      </c>
      <c r="M1592" s="2">
        <v>45058.515266203707</v>
      </c>
      <c r="N1592" s="10">
        <f t="shared" si="223"/>
        <v>0</v>
      </c>
      <c r="O1592" s="2">
        <f t="shared" si="224"/>
        <v>45070</v>
      </c>
      <c r="P1592" s="2">
        <v>45072.423379629632</v>
      </c>
      <c r="Q1592" s="2">
        <f t="shared" si="225"/>
        <v>45098</v>
      </c>
      <c r="R1592" s="2">
        <v>45188.398912037039</v>
      </c>
      <c r="S1592">
        <f t="shared" si="226"/>
        <v>90</v>
      </c>
      <c r="T1592" s="2">
        <f t="shared" si="227"/>
        <v>45098</v>
      </c>
      <c r="U1592" t="str">
        <f t="shared" si="228"/>
        <v>ATRASO</v>
      </c>
    </row>
    <row r="1593" spans="1:21">
      <c r="A1593" s="1">
        <v>12932</v>
      </c>
      <c r="B1593" t="s">
        <v>20</v>
      </c>
      <c r="C1593" t="s">
        <v>13</v>
      </c>
      <c r="D1593" t="s">
        <v>21</v>
      </c>
      <c r="E1593" s="1">
        <v>915</v>
      </c>
      <c r="F1593" s="1">
        <v>2023</v>
      </c>
      <c r="G1593" t="s">
        <v>11</v>
      </c>
      <c r="H1593" s="2">
        <v>45041.583368055559</v>
      </c>
      <c r="I1593" s="9">
        <f t="shared" si="220"/>
        <v>45044</v>
      </c>
      <c r="J1593" s="2">
        <f t="shared" si="221"/>
        <v>45044</v>
      </c>
      <c r="K1593" s="2">
        <v>45050.591238425928</v>
      </c>
      <c r="L1593" s="2">
        <f t="shared" si="222"/>
        <v>45065</v>
      </c>
      <c r="M1593" s="2">
        <v>45093.724999999999</v>
      </c>
      <c r="N1593" s="10">
        <f t="shared" si="223"/>
        <v>28</v>
      </c>
      <c r="O1593" s="2">
        <f t="shared" si="224"/>
        <v>45068</v>
      </c>
      <c r="P1593" s="2">
        <v>45090.720462962963</v>
      </c>
      <c r="Q1593" s="2">
        <f t="shared" si="225"/>
        <v>45096</v>
      </c>
      <c r="R1593" s="2">
        <v>45153.454039351855</v>
      </c>
      <c r="S1593">
        <f t="shared" si="226"/>
        <v>57</v>
      </c>
      <c r="T1593" s="2">
        <f t="shared" si="227"/>
        <v>45096</v>
      </c>
      <c r="U1593" t="str">
        <f t="shared" si="228"/>
        <v>ATRASO</v>
      </c>
    </row>
    <row r="1594" spans="1:21" hidden="1">
      <c r="A1594" s="1">
        <v>12930</v>
      </c>
      <c r="B1594" t="s">
        <v>22</v>
      </c>
      <c r="C1594" t="s">
        <v>9</v>
      </c>
      <c r="D1594" t="s">
        <v>10</v>
      </c>
      <c r="E1594" s="1">
        <v>913</v>
      </c>
      <c r="F1594" s="1">
        <v>2023</v>
      </c>
      <c r="G1594" t="s">
        <v>11</v>
      </c>
      <c r="H1594" s="2">
        <v>45041.500034722223</v>
      </c>
      <c r="I1594" s="9">
        <f t="shared" si="220"/>
        <v>45042</v>
      </c>
      <c r="J1594" s="2" t="str">
        <f t="shared" si="221"/>
        <v/>
      </c>
      <c r="L1594" s="2" t="str">
        <f t="shared" si="222"/>
        <v/>
      </c>
      <c r="N1594" s="10" t="str">
        <f t="shared" si="223"/>
        <v/>
      </c>
      <c r="O1594" s="2">
        <f t="shared" si="224"/>
        <v>45042</v>
      </c>
      <c r="P1594" s="2">
        <v>45042.698379629626</v>
      </c>
      <c r="Q1594" s="2">
        <f t="shared" si="225"/>
        <v>45043</v>
      </c>
      <c r="R1594" s="2">
        <v>45042.700682870367</v>
      </c>
      <c r="S1594">
        <f t="shared" si="226"/>
        <v>0</v>
      </c>
      <c r="T1594" s="2">
        <f t="shared" si="227"/>
        <v>45043</v>
      </c>
      <c r="U1594" t="str">
        <f t="shared" si="228"/>
        <v>NO PRAZO</v>
      </c>
    </row>
    <row r="1595" spans="1:21" hidden="1">
      <c r="A1595" s="1">
        <v>12928</v>
      </c>
      <c r="B1595" t="s">
        <v>8</v>
      </c>
      <c r="C1595" t="s">
        <v>9</v>
      </c>
      <c r="D1595" t="s">
        <v>18</v>
      </c>
      <c r="E1595" s="1">
        <v>911</v>
      </c>
      <c r="F1595" s="1">
        <v>2023</v>
      </c>
      <c r="G1595" t="s">
        <v>11</v>
      </c>
      <c r="H1595" s="2">
        <v>45041.500034722223</v>
      </c>
      <c r="I1595" s="9">
        <f t="shared" si="220"/>
        <v>45044</v>
      </c>
      <c r="J1595" s="2" t="str">
        <f t="shared" si="221"/>
        <v/>
      </c>
      <c r="L1595" s="2" t="str">
        <f t="shared" si="222"/>
        <v/>
      </c>
      <c r="N1595" s="10" t="str">
        <f t="shared" si="223"/>
        <v/>
      </c>
      <c r="O1595" s="2">
        <f t="shared" si="224"/>
        <v>45044</v>
      </c>
      <c r="P1595" s="2">
        <v>45042.454050925924</v>
      </c>
      <c r="Q1595" s="2">
        <f t="shared" si="225"/>
        <v>45051</v>
      </c>
      <c r="R1595" s="2">
        <v>45042.459837962961</v>
      </c>
      <c r="S1595">
        <f t="shared" si="226"/>
        <v>0</v>
      </c>
      <c r="T1595" s="2">
        <f t="shared" si="227"/>
        <v>45051</v>
      </c>
      <c r="U1595" t="str">
        <f t="shared" si="228"/>
        <v>NO PRAZO</v>
      </c>
    </row>
    <row r="1596" spans="1:21">
      <c r="A1596" s="1">
        <v>12920</v>
      </c>
      <c r="B1596" t="s">
        <v>24</v>
      </c>
      <c r="C1596" t="s">
        <v>13</v>
      </c>
      <c r="D1596" t="s">
        <v>10</v>
      </c>
      <c r="E1596" s="1">
        <v>903</v>
      </c>
      <c r="F1596" s="1">
        <v>2023</v>
      </c>
      <c r="G1596" t="s">
        <v>11</v>
      </c>
      <c r="H1596" s="2">
        <v>45040.583356481482</v>
      </c>
      <c r="I1596" s="9">
        <f t="shared" si="220"/>
        <v>45041</v>
      </c>
      <c r="J1596" s="2" t="str">
        <f t="shared" si="221"/>
        <v/>
      </c>
      <c r="L1596" s="2" t="str">
        <f t="shared" si="222"/>
        <v/>
      </c>
      <c r="N1596" s="10" t="str">
        <f t="shared" si="223"/>
        <v/>
      </c>
      <c r="O1596" s="2">
        <f t="shared" si="224"/>
        <v>45041</v>
      </c>
      <c r="P1596" s="2">
        <v>45043.47855324074</v>
      </c>
      <c r="Q1596" s="2">
        <f t="shared" si="225"/>
        <v>45042</v>
      </c>
      <c r="R1596" s="2">
        <v>45048.600266203706</v>
      </c>
      <c r="S1596">
        <f t="shared" si="226"/>
        <v>6</v>
      </c>
      <c r="T1596" s="2">
        <f t="shared" si="227"/>
        <v>45042</v>
      </c>
      <c r="U1596" t="str">
        <f t="shared" si="228"/>
        <v>ATRASO</v>
      </c>
    </row>
    <row r="1597" spans="1:21">
      <c r="A1597" s="1">
        <v>12908</v>
      </c>
      <c r="B1597" t="s">
        <v>17</v>
      </c>
      <c r="C1597" t="s">
        <v>9</v>
      </c>
      <c r="D1597" t="s">
        <v>21</v>
      </c>
      <c r="E1597" s="1">
        <v>891</v>
      </c>
      <c r="F1597" s="1">
        <v>2023</v>
      </c>
      <c r="G1597" t="s">
        <v>11</v>
      </c>
      <c r="H1597" s="2">
        <v>45036.458379629628</v>
      </c>
      <c r="I1597" s="9">
        <f t="shared" si="220"/>
        <v>45042</v>
      </c>
      <c r="J1597" s="2" t="str">
        <f t="shared" si="221"/>
        <v/>
      </c>
      <c r="L1597" s="2" t="str">
        <f t="shared" si="222"/>
        <v/>
      </c>
      <c r="N1597" s="10" t="str">
        <f t="shared" si="223"/>
        <v/>
      </c>
      <c r="O1597" s="2">
        <f t="shared" si="224"/>
        <v>45042</v>
      </c>
      <c r="P1597" s="2">
        <v>45183.430601851855</v>
      </c>
      <c r="Q1597" s="2">
        <f t="shared" si="225"/>
        <v>45070</v>
      </c>
      <c r="R1597" s="2">
        <v>45183.430752314816</v>
      </c>
      <c r="S1597">
        <f t="shared" si="226"/>
        <v>113</v>
      </c>
      <c r="T1597" s="2">
        <f t="shared" si="227"/>
        <v>45070</v>
      </c>
      <c r="U1597" t="str">
        <f t="shared" si="228"/>
        <v>ATRASO</v>
      </c>
    </row>
    <row r="1598" spans="1:21">
      <c r="A1598" s="1">
        <v>12906</v>
      </c>
      <c r="B1598" t="s">
        <v>19</v>
      </c>
      <c r="C1598" t="s">
        <v>13</v>
      </c>
      <c r="D1598" t="s">
        <v>16</v>
      </c>
      <c r="E1598" s="1">
        <v>889</v>
      </c>
      <c r="F1598" s="1">
        <v>2023</v>
      </c>
      <c r="G1598" t="s">
        <v>11</v>
      </c>
      <c r="H1598" s="2">
        <v>45035.666712962964</v>
      </c>
      <c r="I1598" s="9">
        <f t="shared" si="220"/>
        <v>45036</v>
      </c>
      <c r="J1598" s="2" t="str">
        <f t="shared" si="221"/>
        <v/>
      </c>
      <c r="L1598" s="2" t="str">
        <f t="shared" si="222"/>
        <v/>
      </c>
      <c r="N1598" s="10" t="str">
        <f t="shared" si="223"/>
        <v/>
      </c>
      <c r="O1598" s="2">
        <f t="shared" si="224"/>
        <v>45036</v>
      </c>
      <c r="P1598" s="2">
        <v>45105.419502314813</v>
      </c>
      <c r="Q1598" s="2">
        <f t="shared" si="225"/>
        <v>45043</v>
      </c>
      <c r="R1598" s="2">
        <v>45105.446712962963</v>
      </c>
      <c r="S1598">
        <f t="shared" si="226"/>
        <v>62</v>
      </c>
      <c r="T1598" s="2">
        <f t="shared" si="227"/>
        <v>45043</v>
      </c>
      <c r="U1598" t="str">
        <f t="shared" si="228"/>
        <v>ATRASO</v>
      </c>
    </row>
    <row r="1599" spans="1:21">
      <c r="A1599" s="1">
        <v>12901</v>
      </c>
      <c r="B1599" t="s">
        <v>20</v>
      </c>
      <c r="C1599" t="s">
        <v>13</v>
      </c>
      <c r="D1599" t="s">
        <v>16</v>
      </c>
      <c r="E1599" s="1">
        <v>884</v>
      </c>
      <c r="F1599" s="1">
        <v>2023</v>
      </c>
      <c r="G1599" t="s">
        <v>11</v>
      </c>
      <c r="H1599" s="2">
        <v>45035.583368055559</v>
      </c>
      <c r="I1599" s="9">
        <f t="shared" si="220"/>
        <v>45036</v>
      </c>
      <c r="J1599" s="2" t="str">
        <f t="shared" si="221"/>
        <v/>
      </c>
      <c r="L1599" s="2" t="str">
        <f t="shared" si="222"/>
        <v/>
      </c>
      <c r="N1599" s="10" t="str">
        <f t="shared" si="223"/>
        <v/>
      </c>
      <c r="O1599" s="2">
        <f t="shared" si="224"/>
        <v>45036</v>
      </c>
      <c r="P1599" s="2">
        <v>45036.405335648145</v>
      </c>
      <c r="Q1599" s="2">
        <f t="shared" si="225"/>
        <v>45043</v>
      </c>
      <c r="R1599" s="2">
        <v>45048.455613425926</v>
      </c>
      <c r="S1599">
        <f t="shared" si="226"/>
        <v>5</v>
      </c>
      <c r="T1599" s="2">
        <f t="shared" si="227"/>
        <v>45043</v>
      </c>
      <c r="U1599" t="str">
        <f t="shared" si="228"/>
        <v>ATRASO</v>
      </c>
    </row>
    <row r="1600" spans="1:21" hidden="1">
      <c r="A1600" s="1">
        <v>12893</v>
      </c>
      <c r="B1600" t="s">
        <v>20</v>
      </c>
      <c r="C1600" t="s">
        <v>13</v>
      </c>
      <c r="D1600" t="s">
        <v>21</v>
      </c>
      <c r="E1600" s="1">
        <v>876</v>
      </c>
      <c r="F1600" s="1">
        <v>2023</v>
      </c>
      <c r="G1600" t="s">
        <v>11</v>
      </c>
      <c r="H1600" s="2">
        <v>45034.708368055559</v>
      </c>
      <c r="I1600" s="9">
        <f t="shared" ref="I1600:I1633" si="229">IF(OR(D1600="ORIENTAÇÃO",D1600="BUG IMPEDITIVO",D1600="BUG NÃO IMPEDITIVO"),WORKDAY(H1600,1,Z$2:Z$500),IF(OR(D1600="MELHORIA PEQUENA",D1600="MELHORIA MÉDIA"),WORKDAY(H1600,3,Z$2:Z$500),""))</f>
        <v>45040</v>
      </c>
      <c r="J1600" s="2">
        <f t="shared" si="221"/>
        <v>45040</v>
      </c>
      <c r="K1600" s="2">
        <v>45048.687326388892</v>
      </c>
      <c r="L1600" s="2">
        <f t="shared" si="222"/>
        <v>45061</v>
      </c>
      <c r="M1600" s="2">
        <v>45048.715451388889</v>
      </c>
      <c r="N1600" s="10">
        <f t="shared" si="223"/>
        <v>0</v>
      </c>
      <c r="O1600" s="2">
        <f t="shared" si="224"/>
        <v>45062</v>
      </c>
      <c r="P1600" s="2">
        <v>45035.365868055553</v>
      </c>
      <c r="Q1600" s="2">
        <f t="shared" si="225"/>
        <v>45090</v>
      </c>
      <c r="R1600" s="2">
        <v>45051.621701388889</v>
      </c>
      <c r="S1600">
        <f t="shared" si="226"/>
        <v>0</v>
      </c>
      <c r="T1600" s="2">
        <f t="shared" si="227"/>
        <v>45090</v>
      </c>
      <c r="U1600" t="str">
        <f t="shared" si="228"/>
        <v>NO PRAZO</v>
      </c>
    </row>
    <row r="1601" spans="1:21" hidden="1">
      <c r="A1601" s="1">
        <v>12885</v>
      </c>
      <c r="B1601" t="s">
        <v>20</v>
      </c>
      <c r="C1601" t="s">
        <v>13</v>
      </c>
      <c r="D1601" t="s">
        <v>16</v>
      </c>
      <c r="E1601" s="1">
        <v>868</v>
      </c>
      <c r="F1601" s="1">
        <v>2023</v>
      </c>
      <c r="G1601" t="s">
        <v>11</v>
      </c>
      <c r="H1601" s="2">
        <v>45034.375069444446</v>
      </c>
      <c r="I1601" s="9">
        <f t="shared" si="229"/>
        <v>45035</v>
      </c>
      <c r="J1601" s="2" t="str">
        <f t="shared" si="221"/>
        <v/>
      </c>
      <c r="L1601" s="2" t="str">
        <f t="shared" si="222"/>
        <v/>
      </c>
      <c r="N1601" s="10" t="str">
        <f t="shared" si="223"/>
        <v/>
      </c>
      <c r="O1601" s="2">
        <f t="shared" si="224"/>
        <v>45035</v>
      </c>
      <c r="P1601" s="2">
        <v>45034.451412037037</v>
      </c>
      <c r="Q1601" s="2">
        <f t="shared" si="225"/>
        <v>45042</v>
      </c>
      <c r="R1601" s="2">
        <v>45034.517500000002</v>
      </c>
      <c r="S1601">
        <f t="shared" si="226"/>
        <v>0</v>
      </c>
      <c r="T1601" s="2">
        <f t="shared" si="227"/>
        <v>45042</v>
      </c>
      <c r="U1601" t="str">
        <f t="shared" si="228"/>
        <v>NO PRAZO</v>
      </c>
    </row>
    <row r="1602" spans="1:21" hidden="1">
      <c r="A1602" s="1">
        <v>12883</v>
      </c>
      <c r="B1602" t="s">
        <v>8</v>
      </c>
      <c r="C1602" t="s">
        <v>9</v>
      </c>
      <c r="D1602" t="s">
        <v>10</v>
      </c>
      <c r="E1602" s="1">
        <v>866</v>
      </c>
      <c r="F1602" s="1">
        <v>2023</v>
      </c>
      <c r="G1602" t="s">
        <v>11</v>
      </c>
      <c r="H1602" s="2">
        <v>45033.75</v>
      </c>
      <c r="I1602" s="9">
        <f t="shared" si="229"/>
        <v>45034</v>
      </c>
      <c r="J1602" s="2" t="str">
        <f t="shared" si="221"/>
        <v/>
      </c>
      <c r="L1602" s="2" t="str">
        <f t="shared" si="222"/>
        <v/>
      </c>
      <c r="N1602" s="10" t="str">
        <f t="shared" si="223"/>
        <v/>
      </c>
      <c r="O1602" s="2">
        <f t="shared" si="224"/>
        <v>45034</v>
      </c>
      <c r="P1602" s="2">
        <v>45034.415497685186</v>
      </c>
      <c r="Q1602" s="2">
        <f t="shared" si="225"/>
        <v>45035</v>
      </c>
      <c r="R1602" s="2">
        <v>45034.415694444448</v>
      </c>
      <c r="S1602">
        <f t="shared" si="226"/>
        <v>0</v>
      </c>
      <c r="T1602" s="2">
        <f t="shared" si="227"/>
        <v>45035</v>
      </c>
      <c r="U1602" t="str">
        <f t="shared" si="228"/>
        <v>NO PRAZO</v>
      </c>
    </row>
    <row r="1603" spans="1:21" hidden="1">
      <c r="A1603" s="1">
        <v>12882</v>
      </c>
      <c r="B1603" t="s">
        <v>12</v>
      </c>
      <c r="C1603" t="s">
        <v>13</v>
      </c>
      <c r="D1603" t="s">
        <v>18</v>
      </c>
      <c r="E1603" s="1">
        <v>865</v>
      </c>
      <c r="F1603" s="1">
        <v>2023</v>
      </c>
      <c r="G1603" t="s">
        <v>11</v>
      </c>
      <c r="H1603" s="2">
        <v>45033.666712962964</v>
      </c>
      <c r="I1603" s="9">
        <f t="shared" si="229"/>
        <v>45036</v>
      </c>
      <c r="J1603" s="2" t="str">
        <f t="shared" ref="J1603:J1633" si="230">IF(K1603&lt;&gt;"",I1603,"")</f>
        <v/>
      </c>
      <c r="L1603" s="2" t="str">
        <f t="shared" ref="L1603:L1633" si="231">IF(J1603="","",WORKDAY(J1603,14,Z$2:Z$500))</f>
        <v/>
      </c>
      <c r="N1603" s="10" t="str">
        <f t="shared" ref="N1603:N1633" si="232">IF(M1603="","",MAX(0,INT(M1603)-INT(L1603)))</f>
        <v/>
      </c>
      <c r="O1603" s="2">
        <f t="shared" ref="O1603:O1633" si="233">IF(L1603="",I1603,WORKDAY(L1603,1,Z$2:Z$500))</f>
        <v>45036</v>
      </c>
      <c r="P1603" s="2">
        <v>45034.497812499998</v>
      </c>
      <c r="Q1603" s="2">
        <f t="shared" ref="Q1603:Q1633" si="234">IF(OR(D1603="ORIENTAÇÃO",D1603="BUG IMPEDITIVO"),WORKDAY(O1603,1,Z$2:Z$500),IF(OR(D1603="MELHORIA PEQUENA",D1603="BUG NÃO IMPEDITIVO"),WORKDAY(O1603,4,Z$2:Z$500),IF(D1603="MELHORIA MÉDIA",WORKDAY(O1603,19,Z$2:Z$500),"")))</f>
        <v>45043</v>
      </c>
      <c r="R1603" s="2">
        <v>45035.4374537037</v>
      </c>
      <c r="S1603">
        <f t="shared" ref="S1603:S1633" si="235">MAX(0,INT(R1603)-INT(Q1603))</f>
        <v>0</v>
      </c>
      <c r="T1603" s="2">
        <f t="shared" ref="T1603:T1633" si="236">IF(D1603="MELHORIA MÉDIA",IF(K1603&lt;&gt;"",WORKDAY(I1603,34,$Z$2:$Z$1000),WORKDAY(I1603,19,$Z$2:$Z$1000)),IF(OR(D1603="MELHORIA PEQUENA",D1603="BUG NÃO IMPEDITIVO"),WORKDAY(I1603,4,$Z$2:$Z$1000),IF(OR(D1603="ORIENTAÇÃO",D1603="BUG IMPEDITIVO"),WORKDAY(I1603,1,$Z$2:$Z$1000),"")))</f>
        <v>45043</v>
      </c>
      <c r="U1603" t="str">
        <f t="shared" ref="U1603:U1633" si="237">IF(INT(R1603)&lt;=INT(T1603),"NO PRAZO","ATRASO")</f>
        <v>NO PRAZO</v>
      </c>
    </row>
    <row r="1604" spans="1:21" hidden="1">
      <c r="A1604" s="1">
        <v>12881</v>
      </c>
      <c r="B1604" t="s">
        <v>20</v>
      </c>
      <c r="C1604" t="s">
        <v>13</v>
      </c>
      <c r="D1604" t="s">
        <v>16</v>
      </c>
      <c r="E1604" s="1">
        <v>864</v>
      </c>
      <c r="F1604" s="1">
        <v>2023</v>
      </c>
      <c r="G1604" t="s">
        <v>11</v>
      </c>
      <c r="H1604" s="2">
        <v>45033.666712962964</v>
      </c>
      <c r="I1604" s="9">
        <f t="shared" si="229"/>
        <v>45034</v>
      </c>
      <c r="J1604" s="2" t="str">
        <f t="shared" si="230"/>
        <v/>
      </c>
      <c r="L1604" s="2" t="str">
        <f t="shared" si="231"/>
        <v/>
      </c>
      <c r="N1604" s="10" t="str">
        <f t="shared" si="232"/>
        <v/>
      </c>
      <c r="O1604" s="2">
        <f t="shared" si="233"/>
        <v>45034</v>
      </c>
      <c r="P1604" s="2">
        <v>45034.722129629627</v>
      </c>
      <c r="Q1604" s="2">
        <f t="shared" si="234"/>
        <v>45041</v>
      </c>
      <c r="R1604" s="2">
        <v>45035.392141203702</v>
      </c>
      <c r="S1604">
        <f t="shared" si="235"/>
        <v>0</v>
      </c>
      <c r="T1604" s="2">
        <f t="shared" si="236"/>
        <v>45041</v>
      </c>
      <c r="U1604" t="str">
        <f t="shared" si="237"/>
        <v>NO PRAZO</v>
      </c>
    </row>
    <row r="1605" spans="1:21">
      <c r="A1605" s="1">
        <v>12880</v>
      </c>
      <c r="B1605" t="s">
        <v>20</v>
      </c>
      <c r="C1605" t="s">
        <v>13</v>
      </c>
      <c r="D1605" t="s">
        <v>16</v>
      </c>
      <c r="E1605" s="1">
        <v>863</v>
      </c>
      <c r="F1605" s="1">
        <v>2023</v>
      </c>
      <c r="G1605" t="s">
        <v>11</v>
      </c>
      <c r="H1605" s="2">
        <v>45033.625057870369</v>
      </c>
      <c r="I1605" s="9">
        <f t="shared" si="229"/>
        <v>45034</v>
      </c>
      <c r="J1605" s="2" t="str">
        <f t="shared" si="230"/>
        <v/>
      </c>
      <c r="L1605" s="2" t="str">
        <f t="shared" si="231"/>
        <v/>
      </c>
      <c r="N1605" s="10" t="str">
        <f t="shared" si="232"/>
        <v/>
      </c>
      <c r="O1605" s="2">
        <f t="shared" si="233"/>
        <v>45034</v>
      </c>
      <c r="P1605" s="2">
        <v>45042.388854166667</v>
      </c>
      <c r="Q1605" s="2">
        <f t="shared" si="234"/>
        <v>45041</v>
      </c>
      <c r="R1605" s="2">
        <v>45044.369328703702</v>
      </c>
      <c r="S1605">
        <f t="shared" si="235"/>
        <v>3</v>
      </c>
      <c r="T1605" s="2">
        <f t="shared" si="236"/>
        <v>45041</v>
      </c>
      <c r="U1605" t="str">
        <f t="shared" si="237"/>
        <v>ATRASO</v>
      </c>
    </row>
    <row r="1606" spans="1:21" hidden="1">
      <c r="A1606" s="1">
        <v>12879</v>
      </c>
      <c r="B1606" t="s">
        <v>12</v>
      </c>
      <c r="C1606" t="s">
        <v>9</v>
      </c>
      <c r="D1606" t="s">
        <v>10</v>
      </c>
      <c r="E1606" s="1">
        <v>862</v>
      </c>
      <c r="F1606" s="1">
        <v>2023</v>
      </c>
      <c r="G1606" t="s">
        <v>11</v>
      </c>
      <c r="H1606" s="2">
        <v>45033.583379629628</v>
      </c>
      <c r="I1606" s="9">
        <f t="shared" si="229"/>
        <v>45034</v>
      </c>
      <c r="J1606" s="2" t="str">
        <f t="shared" si="230"/>
        <v/>
      </c>
      <c r="L1606" s="2" t="str">
        <f t="shared" si="231"/>
        <v/>
      </c>
      <c r="N1606" s="10" t="str">
        <f t="shared" si="232"/>
        <v/>
      </c>
      <c r="O1606" s="2">
        <f t="shared" si="233"/>
        <v>45034</v>
      </c>
      <c r="P1606" s="2">
        <v>45035.504224537035</v>
      </c>
      <c r="Q1606" s="2">
        <f t="shared" si="234"/>
        <v>45035</v>
      </c>
      <c r="R1606" s="2">
        <v>45035.505798611113</v>
      </c>
      <c r="S1606">
        <f t="shared" si="235"/>
        <v>0</v>
      </c>
      <c r="T1606" s="2">
        <f t="shared" si="236"/>
        <v>45035</v>
      </c>
      <c r="U1606" t="str">
        <f t="shared" si="237"/>
        <v>NO PRAZO</v>
      </c>
    </row>
    <row r="1607" spans="1:21">
      <c r="A1607" s="1">
        <v>12874</v>
      </c>
      <c r="B1607" t="s">
        <v>20</v>
      </c>
      <c r="C1607" t="s">
        <v>13</v>
      </c>
      <c r="D1607" t="s">
        <v>16</v>
      </c>
      <c r="E1607" s="1">
        <v>857</v>
      </c>
      <c r="F1607" s="1">
        <v>2023</v>
      </c>
      <c r="G1607" t="s">
        <v>11</v>
      </c>
      <c r="H1607" s="2">
        <v>45033.583379629628</v>
      </c>
      <c r="I1607" s="9">
        <f t="shared" si="229"/>
        <v>45034</v>
      </c>
      <c r="J1607" s="2" t="str">
        <f t="shared" si="230"/>
        <v/>
      </c>
      <c r="L1607" s="2" t="str">
        <f t="shared" si="231"/>
        <v/>
      </c>
      <c r="N1607" s="10" t="str">
        <f t="shared" si="232"/>
        <v/>
      </c>
      <c r="O1607" s="2">
        <f t="shared" si="233"/>
        <v>45034</v>
      </c>
      <c r="P1607" s="2">
        <v>45044.360393518517</v>
      </c>
      <c r="Q1607" s="2">
        <f t="shared" si="234"/>
        <v>45041</v>
      </c>
      <c r="R1607" s="2">
        <v>45044.721990740742</v>
      </c>
      <c r="S1607">
        <f t="shared" si="235"/>
        <v>3</v>
      </c>
      <c r="T1607" s="2">
        <f t="shared" si="236"/>
        <v>45041</v>
      </c>
      <c r="U1607" t="str">
        <f t="shared" si="237"/>
        <v>ATRASO</v>
      </c>
    </row>
    <row r="1608" spans="1:21" hidden="1">
      <c r="A1608" s="1">
        <v>12867</v>
      </c>
      <c r="B1608" t="s">
        <v>17</v>
      </c>
      <c r="C1608" t="s">
        <v>9</v>
      </c>
      <c r="D1608" t="s">
        <v>10</v>
      </c>
      <c r="E1608" s="1">
        <v>850</v>
      </c>
      <c r="F1608" s="1">
        <v>2023</v>
      </c>
      <c r="G1608" t="s">
        <v>11</v>
      </c>
      <c r="H1608" s="2">
        <v>45033.416689814818</v>
      </c>
      <c r="I1608" s="9">
        <f t="shared" si="229"/>
        <v>45034</v>
      </c>
      <c r="J1608" s="2" t="str">
        <f t="shared" si="230"/>
        <v/>
      </c>
      <c r="L1608" s="2" t="str">
        <f t="shared" si="231"/>
        <v/>
      </c>
      <c r="N1608" s="10" t="str">
        <f t="shared" si="232"/>
        <v/>
      </c>
      <c r="O1608" s="2">
        <f t="shared" si="233"/>
        <v>45034</v>
      </c>
      <c r="P1608" s="2">
        <v>45034.692071759258</v>
      </c>
      <c r="Q1608" s="2">
        <f t="shared" si="234"/>
        <v>45035</v>
      </c>
      <c r="R1608" s="2">
        <v>45034.701597222222</v>
      </c>
      <c r="S1608">
        <f t="shared" si="235"/>
        <v>0</v>
      </c>
      <c r="T1608" s="2">
        <f t="shared" si="236"/>
        <v>45035</v>
      </c>
      <c r="U1608" t="str">
        <f t="shared" si="237"/>
        <v>NO PRAZO</v>
      </c>
    </row>
    <row r="1609" spans="1:21">
      <c r="A1609" s="1">
        <v>12863</v>
      </c>
      <c r="B1609" t="s">
        <v>12</v>
      </c>
      <c r="C1609" t="s">
        <v>13</v>
      </c>
      <c r="D1609" t="s">
        <v>18</v>
      </c>
      <c r="E1609" s="1">
        <v>846</v>
      </c>
      <c r="F1609" s="1">
        <v>2023</v>
      </c>
      <c r="G1609" t="s">
        <v>11</v>
      </c>
      <c r="H1609" s="2">
        <v>45030.708391203705</v>
      </c>
      <c r="I1609" s="9">
        <f t="shared" si="229"/>
        <v>45035</v>
      </c>
      <c r="J1609" s="2" t="str">
        <f t="shared" si="230"/>
        <v/>
      </c>
      <c r="L1609" s="2" t="str">
        <f t="shared" si="231"/>
        <v/>
      </c>
      <c r="N1609" s="10" t="str">
        <f t="shared" si="232"/>
        <v/>
      </c>
      <c r="O1609" s="2">
        <f t="shared" si="233"/>
        <v>45035</v>
      </c>
      <c r="P1609" s="2">
        <v>45055.382025462961</v>
      </c>
      <c r="Q1609" s="2">
        <f t="shared" si="234"/>
        <v>45042</v>
      </c>
      <c r="R1609" s="2">
        <v>45055.382743055554</v>
      </c>
      <c r="S1609">
        <f t="shared" si="235"/>
        <v>13</v>
      </c>
      <c r="T1609" s="2">
        <f t="shared" si="236"/>
        <v>45042</v>
      </c>
      <c r="U1609" t="str">
        <f t="shared" si="237"/>
        <v>ATRASO</v>
      </c>
    </row>
    <row r="1610" spans="1:21" hidden="1">
      <c r="A1610" s="1">
        <v>12862</v>
      </c>
      <c r="B1610" t="s">
        <v>24</v>
      </c>
      <c r="C1610" t="s">
        <v>13</v>
      </c>
      <c r="D1610" t="s">
        <v>10</v>
      </c>
      <c r="E1610" s="1">
        <v>845</v>
      </c>
      <c r="F1610" s="1">
        <v>2023</v>
      </c>
      <c r="G1610" t="s">
        <v>11</v>
      </c>
      <c r="H1610" s="2">
        <v>45030.66673611111</v>
      </c>
      <c r="I1610" s="9">
        <f t="shared" si="229"/>
        <v>45033</v>
      </c>
      <c r="J1610" s="2" t="str">
        <f t="shared" si="230"/>
        <v/>
      </c>
      <c r="L1610" s="2" t="str">
        <f t="shared" si="231"/>
        <v/>
      </c>
      <c r="N1610" s="10" t="str">
        <f t="shared" si="232"/>
        <v/>
      </c>
      <c r="O1610" s="2">
        <f t="shared" si="233"/>
        <v>45033</v>
      </c>
      <c r="P1610" s="2">
        <v>45033.455833333333</v>
      </c>
      <c r="Q1610" s="2">
        <f t="shared" si="234"/>
        <v>45034</v>
      </c>
      <c r="R1610" s="2">
        <v>45033.463356481479</v>
      </c>
      <c r="S1610">
        <f t="shared" si="235"/>
        <v>0</v>
      </c>
      <c r="T1610" s="2">
        <f t="shared" si="236"/>
        <v>45034</v>
      </c>
      <c r="U1610" t="str">
        <f t="shared" si="237"/>
        <v>NO PRAZO</v>
      </c>
    </row>
    <row r="1611" spans="1:21" hidden="1">
      <c r="A1611" s="1">
        <v>12854</v>
      </c>
      <c r="B1611" t="s">
        <v>24</v>
      </c>
      <c r="C1611" t="s">
        <v>13</v>
      </c>
      <c r="D1611" t="s">
        <v>10</v>
      </c>
      <c r="E1611" s="1">
        <v>837</v>
      </c>
      <c r="F1611" s="1">
        <v>2023</v>
      </c>
      <c r="G1611" t="s">
        <v>11</v>
      </c>
      <c r="H1611" s="2">
        <v>45030.375081018516</v>
      </c>
      <c r="I1611" s="9">
        <f t="shared" si="229"/>
        <v>45033</v>
      </c>
      <c r="J1611" s="2" t="str">
        <f t="shared" si="230"/>
        <v/>
      </c>
      <c r="L1611" s="2" t="str">
        <f t="shared" si="231"/>
        <v/>
      </c>
      <c r="N1611" s="10" t="str">
        <f t="shared" si="232"/>
        <v/>
      </c>
      <c r="O1611" s="2">
        <f t="shared" si="233"/>
        <v>45033</v>
      </c>
      <c r="P1611" s="2">
        <v>45030.485891203702</v>
      </c>
      <c r="Q1611" s="2">
        <f t="shared" si="234"/>
        <v>45034</v>
      </c>
      <c r="R1611" s="2">
        <v>45030.502592592595</v>
      </c>
      <c r="S1611">
        <f t="shared" si="235"/>
        <v>0</v>
      </c>
      <c r="T1611" s="2">
        <f t="shared" si="236"/>
        <v>45034</v>
      </c>
      <c r="U1611" t="str">
        <f t="shared" si="237"/>
        <v>NO PRAZO</v>
      </c>
    </row>
    <row r="1612" spans="1:21">
      <c r="A1612" s="1">
        <v>12851</v>
      </c>
      <c r="B1612" t="s">
        <v>20</v>
      </c>
      <c r="C1612" t="s">
        <v>13</v>
      </c>
      <c r="D1612" t="s">
        <v>18</v>
      </c>
      <c r="E1612" s="1">
        <v>834</v>
      </c>
      <c r="F1612" s="1">
        <v>2023</v>
      </c>
      <c r="G1612" t="s">
        <v>11</v>
      </c>
      <c r="H1612" s="2">
        <v>45029.708368055559</v>
      </c>
      <c r="I1612" s="9">
        <f t="shared" si="229"/>
        <v>45034</v>
      </c>
      <c r="J1612" s="2" t="str">
        <f t="shared" si="230"/>
        <v/>
      </c>
      <c r="L1612" s="2" t="str">
        <f t="shared" si="231"/>
        <v/>
      </c>
      <c r="N1612" s="10" t="str">
        <f t="shared" si="232"/>
        <v/>
      </c>
      <c r="O1612" s="2">
        <f t="shared" si="233"/>
        <v>45034</v>
      </c>
      <c r="P1612" s="2">
        <v>45042.646018518521</v>
      </c>
      <c r="Q1612" s="2">
        <f t="shared" si="234"/>
        <v>45041</v>
      </c>
      <c r="R1612" s="2">
        <v>45048.673449074071</v>
      </c>
      <c r="S1612">
        <f t="shared" si="235"/>
        <v>7</v>
      </c>
      <c r="T1612" s="2">
        <f t="shared" si="236"/>
        <v>45041</v>
      </c>
      <c r="U1612" t="str">
        <f t="shared" si="237"/>
        <v>ATRASO</v>
      </c>
    </row>
    <row r="1613" spans="1:21" hidden="1">
      <c r="A1613" s="1">
        <v>12850</v>
      </c>
      <c r="B1613" t="s">
        <v>20</v>
      </c>
      <c r="C1613" t="s">
        <v>13</v>
      </c>
      <c r="D1613" t="s">
        <v>14</v>
      </c>
      <c r="E1613" s="1">
        <v>833</v>
      </c>
      <c r="F1613" s="1">
        <v>2023</v>
      </c>
      <c r="G1613" t="s">
        <v>11</v>
      </c>
      <c r="H1613" s="2">
        <v>45029.666712962964</v>
      </c>
      <c r="I1613" s="9">
        <f t="shared" si="229"/>
        <v>45030</v>
      </c>
      <c r="J1613" s="2" t="str">
        <f t="shared" si="230"/>
        <v/>
      </c>
      <c r="L1613" s="2" t="str">
        <f t="shared" si="231"/>
        <v/>
      </c>
      <c r="N1613" s="10" t="str">
        <f t="shared" si="232"/>
        <v/>
      </c>
      <c r="O1613" s="2">
        <f t="shared" si="233"/>
        <v>45030</v>
      </c>
      <c r="P1613" s="2">
        <v>45033.610810185186</v>
      </c>
      <c r="Q1613" s="2">
        <f t="shared" si="234"/>
        <v>45033</v>
      </c>
      <c r="R1613" s="2">
        <v>45033.688888888886</v>
      </c>
      <c r="S1613">
        <f t="shared" si="235"/>
        <v>0</v>
      </c>
      <c r="T1613" s="2">
        <f t="shared" si="236"/>
        <v>45033</v>
      </c>
      <c r="U1613" t="str">
        <f t="shared" si="237"/>
        <v>NO PRAZO</v>
      </c>
    </row>
    <row r="1614" spans="1:21">
      <c r="A1614" s="1">
        <v>12849</v>
      </c>
      <c r="B1614" t="s">
        <v>20</v>
      </c>
      <c r="C1614" t="s">
        <v>13</v>
      </c>
      <c r="D1614" t="s">
        <v>18</v>
      </c>
      <c r="E1614" s="1">
        <v>832</v>
      </c>
      <c r="F1614" s="1">
        <v>2023</v>
      </c>
      <c r="G1614" t="s">
        <v>11</v>
      </c>
      <c r="H1614" s="2">
        <v>45029.666712962964</v>
      </c>
      <c r="I1614" s="9">
        <f t="shared" si="229"/>
        <v>45034</v>
      </c>
      <c r="J1614" s="2" t="str">
        <f t="shared" si="230"/>
        <v/>
      </c>
      <c r="L1614" s="2" t="str">
        <f t="shared" si="231"/>
        <v/>
      </c>
      <c r="N1614" s="10" t="str">
        <f t="shared" si="232"/>
        <v/>
      </c>
      <c r="O1614" s="2">
        <f t="shared" si="233"/>
        <v>45034</v>
      </c>
      <c r="P1614" s="2">
        <v>45040.372858796298</v>
      </c>
      <c r="Q1614" s="2">
        <f t="shared" si="234"/>
        <v>45041</v>
      </c>
      <c r="R1614" s="2">
        <v>45048.365995370368</v>
      </c>
      <c r="S1614">
        <f t="shared" si="235"/>
        <v>7</v>
      </c>
      <c r="T1614" s="2">
        <f t="shared" si="236"/>
        <v>45041</v>
      </c>
      <c r="U1614" t="str">
        <f t="shared" si="237"/>
        <v>ATRASO</v>
      </c>
    </row>
    <row r="1615" spans="1:21">
      <c r="A1615" s="1">
        <v>12841</v>
      </c>
      <c r="B1615" t="s">
        <v>24</v>
      </c>
      <c r="C1615" t="s">
        <v>13</v>
      </c>
      <c r="D1615" t="s">
        <v>18</v>
      </c>
      <c r="E1615" s="1">
        <v>824</v>
      </c>
      <c r="F1615" s="1">
        <v>2023</v>
      </c>
      <c r="G1615" t="s">
        <v>11</v>
      </c>
      <c r="H1615" s="2">
        <v>45029.561307870368</v>
      </c>
      <c r="I1615" s="9">
        <f t="shared" si="229"/>
        <v>45034</v>
      </c>
      <c r="J1615" s="2" t="str">
        <f t="shared" si="230"/>
        <v/>
      </c>
      <c r="L1615" s="2" t="str">
        <f t="shared" si="231"/>
        <v/>
      </c>
      <c r="N1615" s="10" t="str">
        <f t="shared" si="232"/>
        <v/>
      </c>
      <c r="O1615" s="2">
        <f t="shared" si="233"/>
        <v>45034</v>
      </c>
      <c r="P1615" s="2">
        <v>45042.361087962963</v>
      </c>
      <c r="Q1615" s="2">
        <f t="shared" si="234"/>
        <v>45041</v>
      </c>
      <c r="R1615" s="2">
        <v>45042.413761574076</v>
      </c>
      <c r="S1615">
        <f t="shared" si="235"/>
        <v>1</v>
      </c>
      <c r="T1615" s="2">
        <f t="shared" si="236"/>
        <v>45041</v>
      </c>
      <c r="U1615" t="str">
        <f t="shared" si="237"/>
        <v>ATRASO</v>
      </c>
    </row>
    <row r="1616" spans="1:21" hidden="1">
      <c r="A1616" s="1">
        <v>12838</v>
      </c>
      <c r="B1616" t="s">
        <v>12</v>
      </c>
      <c r="C1616" t="s">
        <v>9</v>
      </c>
      <c r="D1616" t="s">
        <v>16</v>
      </c>
      <c r="E1616" s="1">
        <v>821</v>
      </c>
      <c r="F1616" s="1">
        <v>2023</v>
      </c>
      <c r="G1616" t="s">
        <v>11</v>
      </c>
      <c r="H1616" s="2">
        <v>45029.561307870368</v>
      </c>
      <c r="I1616" s="9">
        <f t="shared" si="229"/>
        <v>45030</v>
      </c>
      <c r="J1616" s="2" t="str">
        <f t="shared" si="230"/>
        <v/>
      </c>
      <c r="L1616" s="2" t="str">
        <f t="shared" si="231"/>
        <v/>
      </c>
      <c r="N1616" s="10" t="str">
        <f t="shared" si="232"/>
        <v/>
      </c>
      <c r="O1616" s="2">
        <f t="shared" si="233"/>
        <v>45030</v>
      </c>
      <c r="P1616" s="2">
        <v>45036.506932870368</v>
      </c>
      <c r="Q1616" s="2">
        <f t="shared" si="234"/>
        <v>45036</v>
      </c>
      <c r="R1616" s="2">
        <v>45036.720034722224</v>
      </c>
      <c r="S1616">
        <f t="shared" si="235"/>
        <v>0</v>
      </c>
      <c r="T1616" s="2">
        <f t="shared" si="236"/>
        <v>45036</v>
      </c>
      <c r="U1616" t="str">
        <f t="shared" si="237"/>
        <v>NO PRAZO</v>
      </c>
    </row>
    <row r="1617" spans="1:21" hidden="1">
      <c r="A1617" s="1">
        <v>12836</v>
      </c>
      <c r="B1617" t="s">
        <v>12</v>
      </c>
      <c r="C1617" t="s">
        <v>13</v>
      </c>
      <c r="D1617" t="s">
        <v>10</v>
      </c>
      <c r="E1617" s="1">
        <v>819</v>
      </c>
      <c r="F1617" s="1">
        <v>2023</v>
      </c>
      <c r="G1617" t="s">
        <v>11</v>
      </c>
      <c r="H1617" s="2">
        <v>45029.561307870368</v>
      </c>
      <c r="I1617" s="9">
        <f t="shared" si="229"/>
        <v>45030</v>
      </c>
      <c r="J1617" s="2" t="str">
        <f t="shared" si="230"/>
        <v/>
      </c>
      <c r="L1617" s="2" t="str">
        <f t="shared" si="231"/>
        <v/>
      </c>
      <c r="N1617" s="10" t="str">
        <f t="shared" si="232"/>
        <v/>
      </c>
      <c r="O1617" s="2">
        <f t="shared" si="233"/>
        <v>45030</v>
      </c>
      <c r="P1617" s="2">
        <v>45030.436064814814</v>
      </c>
      <c r="Q1617" s="2">
        <f t="shared" si="234"/>
        <v>45033</v>
      </c>
      <c r="R1617" s="2">
        <v>45030.464583333334</v>
      </c>
      <c r="S1617">
        <f t="shared" si="235"/>
        <v>0</v>
      </c>
      <c r="T1617" s="2">
        <f t="shared" si="236"/>
        <v>45033</v>
      </c>
      <c r="U1617" t="str">
        <f t="shared" si="237"/>
        <v>NO PRAZO</v>
      </c>
    </row>
    <row r="1618" spans="1:21" hidden="1">
      <c r="A1618" s="1">
        <v>12835</v>
      </c>
      <c r="B1618" t="s">
        <v>12</v>
      </c>
      <c r="C1618" t="s">
        <v>13</v>
      </c>
      <c r="D1618" t="s">
        <v>18</v>
      </c>
      <c r="E1618" s="1">
        <v>818</v>
      </c>
      <c r="F1618" s="1">
        <v>2023</v>
      </c>
      <c r="G1618" t="s">
        <v>11</v>
      </c>
      <c r="H1618" s="2">
        <v>45029.561307870368</v>
      </c>
      <c r="I1618" s="9">
        <f t="shared" si="229"/>
        <v>45034</v>
      </c>
      <c r="J1618" s="2" t="str">
        <f t="shared" si="230"/>
        <v/>
      </c>
      <c r="L1618" s="2" t="str">
        <f t="shared" si="231"/>
        <v/>
      </c>
      <c r="N1618" s="10" t="str">
        <f t="shared" si="232"/>
        <v/>
      </c>
      <c r="O1618" s="2">
        <f t="shared" si="233"/>
        <v>45034</v>
      </c>
      <c r="P1618" s="2">
        <v>45033.563807870371</v>
      </c>
      <c r="Q1618" s="2">
        <f t="shared" si="234"/>
        <v>45041</v>
      </c>
      <c r="R1618" s="2">
        <v>45033.56490740741</v>
      </c>
      <c r="S1618">
        <f t="shared" si="235"/>
        <v>0</v>
      </c>
      <c r="T1618" s="2">
        <f t="shared" si="236"/>
        <v>45041</v>
      </c>
      <c r="U1618" t="str">
        <f t="shared" si="237"/>
        <v>NO PRAZO</v>
      </c>
    </row>
    <row r="1619" spans="1:21" hidden="1">
      <c r="A1619" s="1">
        <v>12834</v>
      </c>
      <c r="B1619" t="s">
        <v>12</v>
      </c>
      <c r="C1619" t="s">
        <v>9</v>
      </c>
      <c r="D1619" t="s">
        <v>10</v>
      </c>
      <c r="E1619" s="1">
        <v>817</v>
      </c>
      <c r="F1619" s="1">
        <v>2023</v>
      </c>
      <c r="G1619" t="s">
        <v>11</v>
      </c>
      <c r="H1619" s="2">
        <v>45029.561307870368</v>
      </c>
      <c r="I1619" s="9">
        <f t="shared" si="229"/>
        <v>45030</v>
      </c>
      <c r="J1619" s="2" t="str">
        <f t="shared" si="230"/>
        <v/>
      </c>
      <c r="L1619" s="2" t="str">
        <f t="shared" si="231"/>
        <v/>
      </c>
      <c r="N1619" s="10" t="str">
        <f t="shared" si="232"/>
        <v/>
      </c>
      <c r="O1619" s="2">
        <f t="shared" si="233"/>
        <v>45030</v>
      </c>
      <c r="P1619" s="2">
        <v>45030.472488425927</v>
      </c>
      <c r="Q1619" s="2">
        <f t="shared" si="234"/>
        <v>45033</v>
      </c>
      <c r="R1619" s="2">
        <v>45030.481863425928</v>
      </c>
      <c r="S1619">
        <f t="shared" si="235"/>
        <v>0</v>
      </c>
      <c r="T1619" s="2">
        <f t="shared" si="236"/>
        <v>45033</v>
      </c>
      <c r="U1619" t="str">
        <f t="shared" si="237"/>
        <v>NO PRAZO</v>
      </c>
    </row>
    <row r="1620" spans="1:21">
      <c r="A1620" s="1">
        <v>12832</v>
      </c>
      <c r="B1620" t="s">
        <v>20</v>
      </c>
      <c r="C1620" t="s">
        <v>13</v>
      </c>
      <c r="D1620" t="s">
        <v>14</v>
      </c>
      <c r="E1620" s="1">
        <v>815</v>
      </c>
      <c r="F1620" s="1">
        <v>2023</v>
      </c>
      <c r="G1620" t="s">
        <v>11</v>
      </c>
      <c r="H1620" s="2">
        <v>45029.561307870368</v>
      </c>
      <c r="I1620" s="9">
        <f t="shared" si="229"/>
        <v>45030</v>
      </c>
      <c r="J1620" s="2" t="str">
        <f t="shared" si="230"/>
        <v/>
      </c>
      <c r="L1620" s="2" t="str">
        <f t="shared" si="231"/>
        <v/>
      </c>
      <c r="N1620" s="10" t="str">
        <f t="shared" si="232"/>
        <v/>
      </c>
      <c r="O1620" s="2">
        <f t="shared" si="233"/>
        <v>45030</v>
      </c>
      <c r="P1620" s="2">
        <v>45033.365682870368</v>
      </c>
      <c r="Q1620" s="2">
        <f t="shared" si="234"/>
        <v>45033</v>
      </c>
      <c r="R1620" s="2">
        <v>45042.681944444441</v>
      </c>
      <c r="S1620">
        <f t="shared" si="235"/>
        <v>9</v>
      </c>
      <c r="T1620" s="2">
        <f t="shared" si="236"/>
        <v>45033</v>
      </c>
      <c r="U1620" t="str">
        <f t="shared" si="237"/>
        <v>ATRASO</v>
      </c>
    </row>
    <row r="1621" spans="1:21" hidden="1">
      <c r="A1621" s="1">
        <v>12831</v>
      </c>
      <c r="B1621" t="s">
        <v>20</v>
      </c>
      <c r="C1621" t="s">
        <v>13</v>
      </c>
      <c r="D1621" t="s">
        <v>18</v>
      </c>
      <c r="E1621" s="1">
        <v>814</v>
      </c>
      <c r="F1621" s="1">
        <v>2023</v>
      </c>
      <c r="G1621" t="s">
        <v>11</v>
      </c>
      <c r="H1621" s="2">
        <v>45029.561307870368</v>
      </c>
      <c r="I1621" s="9">
        <f t="shared" si="229"/>
        <v>45034</v>
      </c>
      <c r="J1621" s="2" t="str">
        <f t="shared" si="230"/>
        <v/>
      </c>
      <c r="L1621" s="2" t="str">
        <f t="shared" si="231"/>
        <v/>
      </c>
      <c r="N1621" s="10" t="str">
        <f t="shared" si="232"/>
        <v/>
      </c>
      <c r="O1621" s="2">
        <f t="shared" si="233"/>
        <v>45034</v>
      </c>
      <c r="P1621" s="2">
        <v>45036.709733796299</v>
      </c>
      <c r="Q1621" s="2">
        <f t="shared" si="234"/>
        <v>45041</v>
      </c>
      <c r="R1621" s="2">
        <v>45036.710011574076</v>
      </c>
      <c r="S1621">
        <f t="shared" si="235"/>
        <v>0</v>
      </c>
      <c r="T1621" s="2">
        <f t="shared" si="236"/>
        <v>45041</v>
      </c>
      <c r="U1621" t="str">
        <f t="shared" si="237"/>
        <v>NO PRAZO</v>
      </c>
    </row>
    <row r="1622" spans="1:21" hidden="1">
      <c r="A1622" s="1">
        <v>12830</v>
      </c>
      <c r="B1622" t="s">
        <v>19</v>
      </c>
      <c r="C1622" t="s">
        <v>13</v>
      </c>
      <c r="D1622" t="s">
        <v>18</v>
      </c>
      <c r="E1622" s="1">
        <v>813</v>
      </c>
      <c r="F1622" s="1">
        <v>2023</v>
      </c>
      <c r="G1622" t="s">
        <v>11</v>
      </c>
      <c r="H1622" s="2">
        <v>45029.561307870368</v>
      </c>
      <c r="I1622" s="9">
        <f t="shared" si="229"/>
        <v>45034</v>
      </c>
      <c r="J1622" s="2" t="str">
        <f t="shared" si="230"/>
        <v/>
      </c>
      <c r="L1622" s="2" t="str">
        <f t="shared" si="231"/>
        <v/>
      </c>
      <c r="N1622" s="10" t="str">
        <f t="shared" si="232"/>
        <v/>
      </c>
      <c r="O1622" s="2">
        <f t="shared" si="233"/>
        <v>45034</v>
      </c>
      <c r="P1622" s="2">
        <v>45030.559872685182</v>
      </c>
      <c r="Q1622" s="2">
        <f t="shared" si="234"/>
        <v>45041</v>
      </c>
      <c r="R1622" s="2">
        <v>45033.720185185186</v>
      </c>
      <c r="S1622">
        <f t="shared" si="235"/>
        <v>0</v>
      </c>
      <c r="T1622" s="2">
        <f t="shared" si="236"/>
        <v>45041</v>
      </c>
      <c r="U1622" t="str">
        <f t="shared" si="237"/>
        <v>NO PRAZO</v>
      </c>
    </row>
    <row r="1623" spans="1:21" hidden="1">
      <c r="A1623" s="1">
        <v>12829</v>
      </c>
      <c r="B1623" t="s">
        <v>19</v>
      </c>
      <c r="C1623" t="s">
        <v>13</v>
      </c>
      <c r="D1623" t="s">
        <v>18</v>
      </c>
      <c r="E1623" s="1">
        <v>812</v>
      </c>
      <c r="F1623" s="1">
        <v>2023</v>
      </c>
      <c r="G1623" t="s">
        <v>11</v>
      </c>
      <c r="H1623" s="2">
        <v>45029.561307870368</v>
      </c>
      <c r="I1623" s="9">
        <f t="shared" si="229"/>
        <v>45034</v>
      </c>
      <c r="J1623" s="2" t="str">
        <f t="shared" si="230"/>
        <v/>
      </c>
      <c r="L1623" s="2" t="str">
        <f t="shared" si="231"/>
        <v/>
      </c>
      <c r="N1623" s="10" t="str">
        <f t="shared" si="232"/>
        <v/>
      </c>
      <c r="O1623" s="2">
        <f t="shared" si="233"/>
        <v>45034</v>
      </c>
      <c r="P1623" s="2">
        <v>45030.568553240744</v>
      </c>
      <c r="Q1623" s="2">
        <f t="shared" si="234"/>
        <v>45041</v>
      </c>
      <c r="R1623" s="2">
        <v>45030.610590277778</v>
      </c>
      <c r="S1623">
        <f t="shared" si="235"/>
        <v>0</v>
      </c>
      <c r="T1623" s="2">
        <f t="shared" si="236"/>
        <v>45041</v>
      </c>
      <c r="U1623" t="str">
        <f t="shared" si="237"/>
        <v>NO PRAZO</v>
      </c>
    </row>
    <row r="1624" spans="1:21" hidden="1">
      <c r="A1624" s="1">
        <v>12828</v>
      </c>
      <c r="B1624" t="s">
        <v>17</v>
      </c>
      <c r="C1624" t="s">
        <v>9</v>
      </c>
      <c r="D1624" t="s">
        <v>18</v>
      </c>
      <c r="E1624" s="1">
        <v>811</v>
      </c>
      <c r="F1624" s="1">
        <v>2023</v>
      </c>
      <c r="G1624" t="s">
        <v>11</v>
      </c>
      <c r="H1624" s="2">
        <v>45029.561307870368</v>
      </c>
      <c r="I1624" s="9">
        <f t="shared" si="229"/>
        <v>45034</v>
      </c>
      <c r="J1624" s="2" t="str">
        <f t="shared" si="230"/>
        <v/>
      </c>
      <c r="L1624" s="2" t="str">
        <f t="shared" si="231"/>
        <v/>
      </c>
      <c r="N1624" s="10" t="str">
        <f t="shared" si="232"/>
        <v/>
      </c>
      <c r="O1624" s="2">
        <f t="shared" si="233"/>
        <v>45034</v>
      </c>
      <c r="P1624" s="2">
        <v>45033.554722222223</v>
      </c>
      <c r="Q1624" s="2">
        <f t="shared" si="234"/>
        <v>45041</v>
      </c>
      <c r="R1624" s="2">
        <v>45033.555567129632</v>
      </c>
      <c r="S1624">
        <f t="shared" si="235"/>
        <v>0</v>
      </c>
      <c r="T1624" s="2">
        <f t="shared" si="236"/>
        <v>45041</v>
      </c>
      <c r="U1624" t="str">
        <f t="shared" si="237"/>
        <v>NO PRAZO</v>
      </c>
    </row>
    <row r="1625" spans="1:21">
      <c r="A1625" s="1">
        <v>12818</v>
      </c>
      <c r="B1625" t="s">
        <v>20</v>
      </c>
      <c r="C1625" t="s">
        <v>13</v>
      </c>
      <c r="D1625" t="s">
        <v>10</v>
      </c>
      <c r="E1625" s="1">
        <v>801</v>
      </c>
      <c r="F1625" s="1">
        <v>2023</v>
      </c>
      <c r="G1625" t="s">
        <v>11</v>
      </c>
      <c r="H1625" s="2">
        <v>45027.416759259257</v>
      </c>
      <c r="I1625" s="9">
        <f t="shared" si="229"/>
        <v>45028</v>
      </c>
      <c r="J1625" s="2" t="str">
        <f t="shared" si="230"/>
        <v/>
      </c>
      <c r="L1625" s="2" t="str">
        <f t="shared" si="231"/>
        <v/>
      </c>
      <c r="N1625" s="10" t="str">
        <f t="shared" si="232"/>
        <v/>
      </c>
      <c r="O1625" s="2">
        <f t="shared" si="233"/>
        <v>45028</v>
      </c>
      <c r="P1625" s="2">
        <v>45030.536979166667</v>
      </c>
      <c r="Q1625" s="2">
        <f t="shared" si="234"/>
        <v>45029</v>
      </c>
      <c r="R1625" s="2">
        <v>45033.488344907404</v>
      </c>
      <c r="S1625">
        <f t="shared" si="235"/>
        <v>4</v>
      </c>
      <c r="T1625" s="2">
        <f t="shared" si="236"/>
        <v>45029</v>
      </c>
      <c r="U1625" t="str">
        <f t="shared" si="237"/>
        <v>ATRASO</v>
      </c>
    </row>
    <row r="1626" spans="1:21">
      <c r="A1626" s="1">
        <v>12817</v>
      </c>
      <c r="B1626" t="s">
        <v>20</v>
      </c>
      <c r="C1626" t="s">
        <v>13</v>
      </c>
      <c r="D1626" t="s">
        <v>10</v>
      </c>
      <c r="E1626" s="1">
        <v>800</v>
      </c>
      <c r="F1626" s="1">
        <v>2023</v>
      </c>
      <c r="G1626" t="s">
        <v>11</v>
      </c>
      <c r="H1626" s="2">
        <v>45026.791805555556</v>
      </c>
      <c r="I1626" s="9">
        <f t="shared" si="229"/>
        <v>45027</v>
      </c>
      <c r="J1626" s="2" t="str">
        <f t="shared" si="230"/>
        <v/>
      </c>
      <c r="L1626" s="2" t="str">
        <f t="shared" si="231"/>
        <v/>
      </c>
      <c r="N1626" s="10" t="str">
        <f t="shared" si="232"/>
        <v/>
      </c>
      <c r="O1626" s="2">
        <f t="shared" si="233"/>
        <v>45027</v>
      </c>
      <c r="P1626" s="2">
        <v>45030.500601851854</v>
      </c>
      <c r="Q1626" s="2">
        <f t="shared" si="234"/>
        <v>45028</v>
      </c>
      <c r="R1626" s="2">
        <v>45030.556759259256</v>
      </c>
      <c r="S1626">
        <f t="shared" si="235"/>
        <v>2</v>
      </c>
      <c r="T1626" s="2">
        <f t="shared" si="236"/>
        <v>45028</v>
      </c>
      <c r="U1626" t="str">
        <f t="shared" si="237"/>
        <v>ATRASO</v>
      </c>
    </row>
    <row r="1627" spans="1:21" hidden="1">
      <c r="A1627" s="1">
        <v>12816</v>
      </c>
      <c r="B1627" t="s">
        <v>17</v>
      </c>
      <c r="C1627" t="s">
        <v>9</v>
      </c>
      <c r="D1627" t="s">
        <v>18</v>
      </c>
      <c r="E1627" s="1">
        <v>799</v>
      </c>
      <c r="F1627" s="1">
        <v>2023</v>
      </c>
      <c r="G1627" t="s">
        <v>11</v>
      </c>
      <c r="H1627" s="2">
        <v>45026.708449074074</v>
      </c>
      <c r="I1627" s="9">
        <f t="shared" si="229"/>
        <v>45029</v>
      </c>
      <c r="J1627" s="2" t="str">
        <f t="shared" si="230"/>
        <v/>
      </c>
      <c r="L1627" s="2" t="str">
        <f t="shared" si="231"/>
        <v/>
      </c>
      <c r="N1627" s="10" t="str">
        <f t="shared" si="232"/>
        <v/>
      </c>
      <c r="O1627" s="2">
        <f t="shared" si="233"/>
        <v>45029</v>
      </c>
      <c r="P1627" s="2">
        <v>45033.63181712963</v>
      </c>
      <c r="Q1627" s="2">
        <f t="shared" si="234"/>
        <v>45035</v>
      </c>
      <c r="R1627" s="2">
        <v>45033.632685185185</v>
      </c>
      <c r="S1627">
        <f t="shared" si="235"/>
        <v>0</v>
      </c>
      <c r="T1627" s="2">
        <f t="shared" si="236"/>
        <v>45035</v>
      </c>
      <c r="U1627" t="str">
        <f t="shared" si="237"/>
        <v>NO PRAZO</v>
      </c>
    </row>
    <row r="1628" spans="1:21">
      <c r="A1628" s="1">
        <v>12814</v>
      </c>
      <c r="B1628" t="s">
        <v>20</v>
      </c>
      <c r="C1628" t="s">
        <v>13</v>
      </c>
      <c r="D1628" t="s">
        <v>18</v>
      </c>
      <c r="E1628" s="1">
        <v>797</v>
      </c>
      <c r="F1628" s="1">
        <v>2023</v>
      </c>
      <c r="G1628" t="s">
        <v>11</v>
      </c>
      <c r="H1628" s="2">
        <v>45026.708449074074</v>
      </c>
      <c r="I1628" s="9">
        <f t="shared" si="229"/>
        <v>45029</v>
      </c>
      <c r="J1628" s="2" t="str">
        <f t="shared" si="230"/>
        <v/>
      </c>
      <c r="L1628" s="2" t="str">
        <f t="shared" si="231"/>
        <v/>
      </c>
      <c r="N1628" s="10" t="str">
        <f t="shared" si="232"/>
        <v/>
      </c>
      <c r="O1628" s="2">
        <f t="shared" si="233"/>
        <v>45029</v>
      </c>
      <c r="P1628" s="2">
        <v>45041.643483796295</v>
      </c>
      <c r="Q1628" s="2">
        <f t="shared" si="234"/>
        <v>45035</v>
      </c>
      <c r="R1628" s="2">
        <v>45041.645046296297</v>
      </c>
      <c r="S1628">
        <f t="shared" si="235"/>
        <v>6</v>
      </c>
      <c r="T1628" s="2">
        <f t="shared" si="236"/>
        <v>45035</v>
      </c>
      <c r="U1628" t="str">
        <f t="shared" si="237"/>
        <v>ATRASO</v>
      </c>
    </row>
    <row r="1629" spans="1:21">
      <c r="A1629" s="1">
        <v>12810</v>
      </c>
      <c r="B1629" t="s">
        <v>20</v>
      </c>
      <c r="C1629" t="s">
        <v>13</v>
      </c>
      <c r="D1629" t="s">
        <v>18</v>
      </c>
      <c r="E1629" s="1">
        <v>793</v>
      </c>
      <c r="F1629" s="1">
        <v>2023</v>
      </c>
      <c r="G1629" t="s">
        <v>11</v>
      </c>
      <c r="H1629" s="2">
        <v>45026.3750462963</v>
      </c>
      <c r="I1629" s="9">
        <f t="shared" si="229"/>
        <v>45029</v>
      </c>
      <c r="J1629" s="2" t="str">
        <f t="shared" si="230"/>
        <v/>
      </c>
      <c r="L1629" s="2" t="str">
        <f t="shared" si="231"/>
        <v/>
      </c>
      <c r="N1629" s="10" t="str">
        <f t="shared" si="232"/>
        <v/>
      </c>
      <c r="O1629" s="2">
        <f t="shared" si="233"/>
        <v>45029</v>
      </c>
      <c r="P1629" s="2">
        <v>45036.782164351855</v>
      </c>
      <c r="Q1629" s="2">
        <f t="shared" si="234"/>
        <v>45035</v>
      </c>
      <c r="R1629" s="2">
        <v>45036.782986111109</v>
      </c>
      <c r="S1629">
        <f t="shared" si="235"/>
        <v>1</v>
      </c>
      <c r="T1629" s="2">
        <f t="shared" si="236"/>
        <v>45035</v>
      </c>
      <c r="U1629" t="str">
        <f t="shared" si="237"/>
        <v>ATRASO</v>
      </c>
    </row>
    <row r="1630" spans="1:21" hidden="1">
      <c r="A1630" s="1">
        <v>12809</v>
      </c>
      <c r="B1630" t="s">
        <v>22</v>
      </c>
      <c r="C1630" t="s">
        <v>13</v>
      </c>
      <c r="D1630" t="s">
        <v>14</v>
      </c>
      <c r="E1630" s="1">
        <v>792</v>
      </c>
      <c r="F1630" s="1">
        <v>2023</v>
      </c>
      <c r="G1630" t="s">
        <v>11</v>
      </c>
      <c r="H1630" s="2">
        <v>45026.3750462963</v>
      </c>
      <c r="I1630" s="9">
        <f t="shared" si="229"/>
        <v>45027</v>
      </c>
      <c r="J1630" s="2" t="str">
        <f t="shared" si="230"/>
        <v/>
      </c>
      <c r="L1630" s="2" t="str">
        <f t="shared" si="231"/>
        <v/>
      </c>
      <c r="N1630" s="10" t="str">
        <f t="shared" si="232"/>
        <v/>
      </c>
      <c r="O1630" s="2">
        <f t="shared" si="233"/>
        <v>45027</v>
      </c>
      <c r="P1630" s="2">
        <v>45026.422673611109</v>
      </c>
      <c r="Q1630" s="2">
        <f t="shared" si="234"/>
        <v>45028</v>
      </c>
      <c r="R1630" s="2">
        <v>45028.636886574073</v>
      </c>
      <c r="S1630">
        <f t="shared" si="235"/>
        <v>0</v>
      </c>
      <c r="T1630" s="2">
        <f t="shared" si="236"/>
        <v>45028</v>
      </c>
      <c r="U1630" t="str">
        <f t="shared" si="237"/>
        <v>NO PRAZO</v>
      </c>
    </row>
    <row r="1631" spans="1:21" hidden="1">
      <c r="A1631" s="1">
        <v>12808</v>
      </c>
      <c r="B1631" t="s">
        <v>22</v>
      </c>
      <c r="C1631" t="s">
        <v>13</v>
      </c>
      <c r="D1631" t="s">
        <v>10</v>
      </c>
      <c r="E1631" s="1">
        <v>791</v>
      </c>
      <c r="F1631" s="1">
        <v>2023</v>
      </c>
      <c r="G1631" t="s">
        <v>11</v>
      </c>
      <c r="H1631" s="2">
        <v>45022.583437499998</v>
      </c>
      <c r="I1631" s="9">
        <f t="shared" si="229"/>
        <v>45026</v>
      </c>
      <c r="J1631" s="2" t="str">
        <f t="shared" si="230"/>
        <v/>
      </c>
      <c r="L1631" s="2" t="str">
        <f t="shared" si="231"/>
        <v/>
      </c>
      <c r="N1631" s="10" t="str">
        <f t="shared" si="232"/>
        <v/>
      </c>
      <c r="O1631" s="2">
        <f t="shared" si="233"/>
        <v>45026</v>
      </c>
      <c r="P1631" s="2">
        <v>45022.617824074077</v>
      </c>
      <c r="Q1631" s="2">
        <f t="shared" si="234"/>
        <v>45027</v>
      </c>
      <c r="R1631" s="2">
        <v>45022.620682870373</v>
      </c>
      <c r="S1631">
        <f t="shared" si="235"/>
        <v>0</v>
      </c>
      <c r="T1631" s="2">
        <f t="shared" si="236"/>
        <v>45027</v>
      </c>
      <c r="U1631" t="str">
        <f t="shared" si="237"/>
        <v>NO PRAZO</v>
      </c>
    </row>
    <row r="1632" spans="1:21" hidden="1">
      <c r="A1632" s="1">
        <v>12803</v>
      </c>
      <c r="B1632" t="s">
        <v>17</v>
      </c>
      <c r="C1632" t="s">
        <v>9</v>
      </c>
      <c r="D1632" t="s">
        <v>18</v>
      </c>
      <c r="E1632" s="1">
        <v>786</v>
      </c>
      <c r="F1632" s="1">
        <v>2023</v>
      </c>
      <c r="G1632" t="s">
        <v>11</v>
      </c>
      <c r="H1632" s="2">
        <v>45022.416759259257</v>
      </c>
      <c r="I1632" s="9">
        <f t="shared" si="229"/>
        <v>45028</v>
      </c>
      <c r="J1632" s="2" t="str">
        <f t="shared" si="230"/>
        <v/>
      </c>
      <c r="L1632" s="2" t="str">
        <f t="shared" si="231"/>
        <v/>
      </c>
      <c r="N1632" s="10" t="str">
        <f t="shared" si="232"/>
        <v/>
      </c>
      <c r="O1632" s="2">
        <f t="shared" si="233"/>
        <v>45028</v>
      </c>
      <c r="P1632" s="2">
        <v>45033.523229166669</v>
      </c>
      <c r="Q1632" s="2">
        <f t="shared" si="234"/>
        <v>45034</v>
      </c>
      <c r="R1632" s="2">
        <v>45033.524155092593</v>
      </c>
      <c r="S1632">
        <f t="shared" si="235"/>
        <v>0</v>
      </c>
      <c r="T1632" s="2">
        <f t="shared" si="236"/>
        <v>45034</v>
      </c>
      <c r="U1632" t="str">
        <f t="shared" si="237"/>
        <v>NO PRAZO</v>
      </c>
    </row>
    <row r="1633" spans="1:21" hidden="1">
      <c r="A1633" s="1">
        <v>12777</v>
      </c>
      <c r="B1633" t="s">
        <v>19</v>
      </c>
      <c r="C1633" t="s">
        <v>9</v>
      </c>
      <c r="D1633" t="s">
        <v>18</v>
      </c>
      <c r="E1633" s="1">
        <v>760</v>
      </c>
      <c r="F1633" s="1">
        <v>2023</v>
      </c>
      <c r="G1633" t="s">
        <v>11</v>
      </c>
      <c r="H1633" s="2">
        <v>45020.458449074074</v>
      </c>
      <c r="I1633" s="9">
        <f t="shared" si="229"/>
        <v>45026</v>
      </c>
      <c r="J1633" s="2" t="str">
        <f t="shared" si="230"/>
        <v/>
      </c>
      <c r="L1633" s="2" t="str">
        <f t="shared" si="231"/>
        <v/>
      </c>
      <c r="N1633" s="10" t="str">
        <f t="shared" si="232"/>
        <v/>
      </c>
      <c r="O1633" s="2">
        <f t="shared" si="233"/>
        <v>45026</v>
      </c>
      <c r="P1633" s="2">
        <v>45021.596493055556</v>
      </c>
      <c r="Q1633" s="2">
        <f t="shared" si="234"/>
        <v>45030</v>
      </c>
      <c r="R1633" s="2">
        <v>45026.496527777781</v>
      </c>
      <c r="S1633">
        <f t="shared" si="235"/>
        <v>0</v>
      </c>
      <c r="T1633" s="2">
        <f t="shared" si="236"/>
        <v>45030</v>
      </c>
      <c r="U1633" t="str">
        <f t="shared" si="237"/>
        <v>NO PRAZO</v>
      </c>
    </row>
  </sheetData>
  <autoFilter ref="A1:Z1633" xr:uid="{00000000-0001-0000-0000-000000000000}">
    <filterColumn colId="20">
      <filters>
        <filter val="ATRAS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Exportar 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Gilberto da Silva Cunha</cp:lastModifiedBy>
  <dcterms:created xsi:type="dcterms:W3CDTF">2026-05-16T00:27:04Z</dcterms:created>
  <dcterms:modified xsi:type="dcterms:W3CDTF">2026-05-17T13:05:29Z</dcterms:modified>
</cp:coreProperties>
</file>