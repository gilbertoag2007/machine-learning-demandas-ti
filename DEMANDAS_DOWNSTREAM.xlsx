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c\Desktop\ML_DEMANDAS_TI\machine-learning-demandas-ti\"/>
    </mc:Choice>
  </mc:AlternateContent>
  <xr:revisionPtr revIDLastSave="0" documentId="13_ncr:1_{C17BF808-071E-4639-B441-4A8DC5D52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 Planilha" sheetId="1" r:id="rId1"/>
  </sheets>
  <definedNames>
    <definedName name="ListaFeriados">'Exportar Planilha'!$X$1:$X$57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J40" i="1" s="1"/>
  <c r="K40" i="1" s="1"/>
  <c r="I41" i="1"/>
  <c r="J41" i="1" s="1"/>
  <c r="K41" i="1" s="1"/>
  <c r="I42" i="1"/>
  <c r="J42" i="1" s="1"/>
  <c r="K42" i="1" s="1"/>
  <c r="I43" i="1"/>
  <c r="J43" i="1" s="1"/>
  <c r="K43" i="1" s="1"/>
  <c r="I44" i="1"/>
  <c r="J44" i="1" s="1"/>
  <c r="K44" i="1" s="1"/>
  <c r="I45" i="1"/>
  <c r="J45" i="1" s="1"/>
  <c r="K45" i="1" s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K60" i="1" s="1"/>
  <c r="I61" i="1"/>
  <c r="J61" i="1" s="1"/>
  <c r="K61" i="1" s="1"/>
  <c r="I62" i="1"/>
  <c r="J62" i="1" s="1"/>
  <c r="K62" i="1" s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K70" i="1" s="1"/>
  <c r="I71" i="1"/>
  <c r="J71" i="1" s="1"/>
  <c r="K71" i="1" s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I76" i="1"/>
  <c r="J76" i="1" s="1"/>
  <c r="K76" i="1" s="1"/>
  <c r="I77" i="1"/>
  <c r="J77" i="1" s="1"/>
  <c r="K77" i="1" s="1"/>
  <c r="I78" i="1"/>
  <c r="J78" i="1" s="1"/>
  <c r="K78" i="1" s="1"/>
  <c r="I79" i="1"/>
  <c r="J79" i="1" s="1"/>
  <c r="K79" i="1" s="1"/>
  <c r="I80" i="1"/>
  <c r="J80" i="1" s="1"/>
  <c r="K80" i="1" s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J85" i="1" s="1"/>
  <c r="K85" i="1" s="1"/>
  <c r="I86" i="1"/>
  <c r="J86" i="1" s="1"/>
  <c r="K86" i="1" s="1"/>
  <c r="I87" i="1"/>
  <c r="J87" i="1" s="1"/>
  <c r="K87" i="1" s="1"/>
  <c r="I88" i="1"/>
  <c r="J88" i="1" s="1"/>
  <c r="K88" i="1" s="1"/>
  <c r="I89" i="1"/>
  <c r="J89" i="1" s="1"/>
  <c r="K89" i="1" s="1"/>
  <c r="I90" i="1"/>
  <c r="J90" i="1" s="1"/>
  <c r="K90" i="1" s="1"/>
  <c r="I91" i="1"/>
  <c r="J91" i="1" s="1"/>
  <c r="K91" i="1" s="1"/>
  <c r="I92" i="1"/>
  <c r="J92" i="1" s="1"/>
  <c r="K92" i="1" s="1"/>
  <c r="I93" i="1"/>
  <c r="J93" i="1" s="1"/>
  <c r="K93" i="1" s="1"/>
  <c r="I94" i="1"/>
  <c r="J94" i="1" s="1"/>
  <c r="K94" i="1" s="1"/>
  <c r="I95" i="1"/>
  <c r="J95" i="1" s="1"/>
  <c r="K95" i="1" s="1"/>
  <c r="I96" i="1"/>
  <c r="J96" i="1" s="1"/>
  <c r="K96" i="1" s="1"/>
  <c r="I97" i="1"/>
  <c r="J97" i="1" s="1"/>
  <c r="K97" i="1" s="1"/>
  <c r="I98" i="1"/>
  <c r="J98" i="1" s="1"/>
  <c r="K98" i="1" s="1"/>
  <c r="I99" i="1"/>
  <c r="J99" i="1" s="1"/>
  <c r="K99" i="1" s="1"/>
  <c r="I100" i="1"/>
  <c r="J100" i="1" s="1"/>
  <c r="K100" i="1" s="1"/>
  <c r="I101" i="1"/>
  <c r="J101" i="1" s="1"/>
  <c r="K101" i="1" s="1"/>
  <c r="I102" i="1"/>
  <c r="J102" i="1" s="1"/>
  <c r="K102" i="1" s="1"/>
  <c r="I103" i="1"/>
  <c r="J103" i="1" s="1"/>
  <c r="K103" i="1" s="1"/>
  <c r="I104" i="1"/>
  <c r="J104" i="1" s="1"/>
  <c r="K104" i="1" s="1"/>
  <c r="I105" i="1"/>
  <c r="J105" i="1" s="1"/>
  <c r="K105" i="1" s="1"/>
  <c r="I106" i="1"/>
  <c r="J106" i="1" s="1"/>
  <c r="K106" i="1" s="1"/>
  <c r="I107" i="1"/>
  <c r="J107" i="1" s="1"/>
  <c r="K107" i="1" s="1"/>
  <c r="I108" i="1"/>
  <c r="J108" i="1" s="1"/>
  <c r="K108" i="1" s="1"/>
  <c r="I109" i="1"/>
  <c r="J109" i="1" s="1"/>
  <c r="K109" i="1" s="1"/>
  <c r="I110" i="1"/>
  <c r="J110" i="1" s="1"/>
  <c r="K110" i="1" s="1"/>
  <c r="I111" i="1"/>
  <c r="J111" i="1" s="1"/>
  <c r="K111" i="1" s="1"/>
  <c r="I112" i="1"/>
  <c r="J112" i="1" s="1"/>
  <c r="K112" i="1" s="1"/>
  <c r="I113" i="1"/>
  <c r="J113" i="1" s="1"/>
  <c r="K113" i="1" s="1"/>
  <c r="I114" i="1"/>
  <c r="J114" i="1" s="1"/>
  <c r="K114" i="1" s="1"/>
  <c r="I115" i="1"/>
  <c r="J115" i="1" s="1"/>
  <c r="K115" i="1" s="1"/>
  <c r="I116" i="1"/>
  <c r="J116" i="1" s="1"/>
  <c r="K116" i="1" s="1"/>
  <c r="I117" i="1"/>
  <c r="J117" i="1" s="1"/>
  <c r="K117" i="1" s="1"/>
  <c r="I118" i="1"/>
  <c r="J118" i="1" s="1"/>
  <c r="K118" i="1" s="1"/>
  <c r="I119" i="1"/>
  <c r="J119" i="1" s="1"/>
  <c r="K119" i="1" s="1"/>
  <c r="I120" i="1"/>
  <c r="J120" i="1" s="1"/>
  <c r="K120" i="1" s="1"/>
  <c r="I121" i="1"/>
  <c r="J121" i="1" s="1"/>
  <c r="K121" i="1" s="1"/>
  <c r="I122" i="1"/>
  <c r="J122" i="1" s="1"/>
  <c r="K122" i="1" s="1"/>
  <c r="I123" i="1"/>
  <c r="J123" i="1" s="1"/>
  <c r="K123" i="1" s="1"/>
  <c r="I124" i="1"/>
  <c r="J124" i="1" s="1"/>
  <c r="K124" i="1" s="1"/>
  <c r="I125" i="1"/>
  <c r="J125" i="1" s="1"/>
  <c r="K125" i="1" s="1"/>
  <c r="I126" i="1"/>
  <c r="J126" i="1" s="1"/>
  <c r="K126" i="1" s="1"/>
  <c r="I127" i="1"/>
  <c r="J127" i="1" s="1"/>
  <c r="K127" i="1" s="1"/>
  <c r="I128" i="1"/>
  <c r="J128" i="1" s="1"/>
  <c r="K128" i="1" s="1"/>
  <c r="I129" i="1"/>
  <c r="J129" i="1" s="1"/>
  <c r="K129" i="1" s="1"/>
  <c r="I130" i="1"/>
  <c r="J130" i="1" s="1"/>
  <c r="K130" i="1" s="1"/>
  <c r="I131" i="1"/>
  <c r="J131" i="1" s="1"/>
  <c r="K131" i="1" s="1"/>
  <c r="I132" i="1"/>
  <c r="J132" i="1" s="1"/>
  <c r="K132" i="1" s="1"/>
  <c r="I133" i="1"/>
  <c r="J133" i="1" s="1"/>
  <c r="K133" i="1" s="1"/>
  <c r="I134" i="1"/>
  <c r="J134" i="1" s="1"/>
  <c r="K134" i="1" s="1"/>
  <c r="I135" i="1"/>
  <c r="J135" i="1" s="1"/>
  <c r="K135" i="1" s="1"/>
  <c r="I136" i="1"/>
  <c r="J136" i="1" s="1"/>
  <c r="K136" i="1" s="1"/>
  <c r="I137" i="1"/>
  <c r="J137" i="1" s="1"/>
  <c r="K137" i="1" s="1"/>
  <c r="I138" i="1"/>
  <c r="J138" i="1" s="1"/>
  <c r="K138" i="1" s="1"/>
  <c r="I139" i="1"/>
  <c r="J139" i="1" s="1"/>
  <c r="K139" i="1" s="1"/>
  <c r="I140" i="1"/>
  <c r="J140" i="1" s="1"/>
  <c r="K140" i="1" s="1"/>
  <c r="I141" i="1"/>
  <c r="J141" i="1" s="1"/>
  <c r="K141" i="1" s="1"/>
  <c r="I142" i="1"/>
  <c r="J142" i="1" s="1"/>
  <c r="K142" i="1" s="1"/>
  <c r="I143" i="1"/>
  <c r="J143" i="1" s="1"/>
  <c r="K143" i="1" s="1"/>
  <c r="I144" i="1"/>
  <c r="J144" i="1" s="1"/>
  <c r="K144" i="1" s="1"/>
  <c r="I145" i="1"/>
  <c r="J145" i="1" s="1"/>
  <c r="K145" i="1" s="1"/>
  <c r="I146" i="1"/>
  <c r="J146" i="1" s="1"/>
  <c r="K146" i="1" s="1"/>
  <c r="I147" i="1"/>
  <c r="J147" i="1" s="1"/>
  <c r="K147" i="1" s="1"/>
  <c r="I148" i="1"/>
  <c r="J148" i="1" s="1"/>
  <c r="K148" i="1" s="1"/>
  <c r="I149" i="1"/>
  <c r="J149" i="1" s="1"/>
  <c r="K149" i="1" s="1"/>
  <c r="I150" i="1"/>
  <c r="J150" i="1" s="1"/>
  <c r="K150" i="1" s="1"/>
  <c r="I151" i="1"/>
  <c r="J151" i="1" s="1"/>
  <c r="K151" i="1" s="1"/>
  <c r="I152" i="1"/>
  <c r="J152" i="1" s="1"/>
  <c r="K152" i="1" s="1"/>
  <c r="I153" i="1"/>
  <c r="J153" i="1" s="1"/>
  <c r="K153" i="1" s="1"/>
  <c r="I154" i="1"/>
  <c r="J154" i="1" s="1"/>
  <c r="K154" i="1" s="1"/>
  <c r="I155" i="1"/>
  <c r="J155" i="1" s="1"/>
  <c r="K155" i="1" s="1"/>
  <c r="I156" i="1"/>
  <c r="J156" i="1" s="1"/>
  <c r="K156" i="1" s="1"/>
  <c r="I157" i="1"/>
  <c r="J157" i="1" s="1"/>
  <c r="K157" i="1" s="1"/>
  <c r="I158" i="1"/>
  <c r="J158" i="1" s="1"/>
  <c r="K158" i="1" s="1"/>
  <c r="I159" i="1"/>
  <c r="J159" i="1" s="1"/>
  <c r="K159" i="1" s="1"/>
  <c r="I160" i="1"/>
  <c r="J160" i="1" s="1"/>
  <c r="K160" i="1" s="1"/>
  <c r="I161" i="1"/>
  <c r="J161" i="1" s="1"/>
  <c r="K161" i="1" s="1"/>
  <c r="I162" i="1"/>
  <c r="J162" i="1" s="1"/>
  <c r="K162" i="1" s="1"/>
  <c r="I163" i="1"/>
  <c r="J163" i="1" s="1"/>
  <c r="K163" i="1" s="1"/>
  <c r="I164" i="1"/>
  <c r="J164" i="1" s="1"/>
  <c r="K164" i="1" s="1"/>
  <c r="I165" i="1"/>
  <c r="J165" i="1" s="1"/>
  <c r="K165" i="1" s="1"/>
  <c r="I166" i="1"/>
  <c r="J166" i="1" s="1"/>
  <c r="K166" i="1" s="1"/>
  <c r="I167" i="1"/>
  <c r="J167" i="1" s="1"/>
  <c r="K167" i="1" s="1"/>
  <c r="I168" i="1"/>
  <c r="J168" i="1" s="1"/>
  <c r="K168" i="1" s="1"/>
  <c r="I169" i="1"/>
  <c r="J169" i="1" s="1"/>
  <c r="K169" i="1" s="1"/>
  <c r="I170" i="1"/>
  <c r="J170" i="1" s="1"/>
  <c r="K170" i="1" s="1"/>
  <c r="I171" i="1"/>
  <c r="J171" i="1" s="1"/>
  <c r="K171" i="1" s="1"/>
  <c r="I172" i="1"/>
  <c r="J172" i="1" s="1"/>
  <c r="K172" i="1" s="1"/>
  <c r="I173" i="1"/>
  <c r="J173" i="1" s="1"/>
  <c r="K173" i="1" s="1"/>
  <c r="I174" i="1"/>
  <c r="J174" i="1" s="1"/>
  <c r="K174" i="1" s="1"/>
  <c r="I175" i="1"/>
  <c r="J175" i="1" s="1"/>
  <c r="K175" i="1" s="1"/>
  <c r="I176" i="1"/>
  <c r="J176" i="1" s="1"/>
  <c r="K176" i="1" s="1"/>
  <c r="I177" i="1"/>
  <c r="J177" i="1" s="1"/>
  <c r="K177" i="1" s="1"/>
  <c r="I178" i="1"/>
  <c r="J178" i="1" s="1"/>
  <c r="K178" i="1" s="1"/>
  <c r="I179" i="1"/>
  <c r="J179" i="1" s="1"/>
  <c r="K179" i="1" s="1"/>
  <c r="I180" i="1"/>
  <c r="J180" i="1" s="1"/>
  <c r="K180" i="1" s="1"/>
  <c r="I181" i="1"/>
  <c r="J181" i="1" s="1"/>
  <c r="K181" i="1" s="1"/>
  <c r="I182" i="1"/>
  <c r="J182" i="1" s="1"/>
  <c r="K182" i="1" s="1"/>
  <c r="I183" i="1"/>
  <c r="J183" i="1" s="1"/>
  <c r="K183" i="1" s="1"/>
  <c r="I184" i="1"/>
  <c r="J184" i="1" s="1"/>
  <c r="K184" i="1" s="1"/>
  <c r="I185" i="1"/>
  <c r="J185" i="1" s="1"/>
  <c r="K185" i="1" s="1"/>
  <c r="I186" i="1"/>
  <c r="J186" i="1" s="1"/>
  <c r="K186" i="1" s="1"/>
  <c r="I187" i="1"/>
  <c r="J187" i="1" s="1"/>
  <c r="K187" i="1" s="1"/>
  <c r="I188" i="1"/>
  <c r="J188" i="1" s="1"/>
  <c r="K188" i="1" s="1"/>
  <c r="I189" i="1"/>
  <c r="J189" i="1" s="1"/>
  <c r="K189" i="1" s="1"/>
  <c r="I190" i="1"/>
  <c r="J190" i="1" s="1"/>
  <c r="K190" i="1" s="1"/>
  <c r="I191" i="1"/>
  <c r="J191" i="1" s="1"/>
  <c r="K191" i="1" s="1"/>
  <c r="I192" i="1"/>
  <c r="J192" i="1" s="1"/>
  <c r="K192" i="1" s="1"/>
  <c r="I193" i="1"/>
  <c r="J193" i="1" s="1"/>
  <c r="K193" i="1" s="1"/>
  <c r="I194" i="1"/>
  <c r="J194" i="1" s="1"/>
  <c r="K194" i="1" s="1"/>
  <c r="I195" i="1"/>
  <c r="J195" i="1" s="1"/>
  <c r="K195" i="1" s="1"/>
  <c r="I196" i="1"/>
  <c r="J196" i="1" s="1"/>
  <c r="K196" i="1" s="1"/>
  <c r="I197" i="1"/>
  <c r="J197" i="1" s="1"/>
  <c r="K197" i="1" s="1"/>
  <c r="I198" i="1"/>
  <c r="J198" i="1" s="1"/>
  <c r="K198" i="1" s="1"/>
  <c r="I199" i="1"/>
  <c r="J199" i="1" s="1"/>
  <c r="K199" i="1" s="1"/>
  <c r="I200" i="1"/>
  <c r="J200" i="1" s="1"/>
  <c r="K200" i="1" s="1"/>
  <c r="I201" i="1"/>
  <c r="J201" i="1" s="1"/>
  <c r="K201" i="1" s="1"/>
  <c r="I202" i="1"/>
  <c r="J202" i="1" s="1"/>
  <c r="K202" i="1" s="1"/>
  <c r="I203" i="1"/>
  <c r="J203" i="1" s="1"/>
  <c r="K203" i="1" s="1"/>
  <c r="I204" i="1"/>
  <c r="J204" i="1" s="1"/>
  <c r="K204" i="1" s="1"/>
  <c r="I205" i="1"/>
  <c r="J205" i="1" s="1"/>
  <c r="K205" i="1" s="1"/>
  <c r="I206" i="1"/>
  <c r="J206" i="1" s="1"/>
  <c r="K206" i="1" s="1"/>
  <c r="I207" i="1"/>
  <c r="J207" i="1" s="1"/>
  <c r="K207" i="1" s="1"/>
  <c r="I208" i="1"/>
  <c r="J208" i="1" s="1"/>
  <c r="K208" i="1" s="1"/>
  <c r="I209" i="1"/>
  <c r="J209" i="1" s="1"/>
  <c r="K209" i="1" s="1"/>
  <c r="I210" i="1"/>
  <c r="J210" i="1" s="1"/>
  <c r="K210" i="1" s="1"/>
  <c r="I211" i="1"/>
  <c r="J211" i="1" s="1"/>
  <c r="K211" i="1" s="1"/>
  <c r="I212" i="1"/>
  <c r="J212" i="1" s="1"/>
  <c r="K212" i="1" s="1"/>
  <c r="I213" i="1"/>
  <c r="J213" i="1" s="1"/>
  <c r="K213" i="1" s="1"/>
  <c r="I214" i="1"/>
  <c r="J214" i="1" s="1"/>
  <c r="K214" i="1" s="1"/>
  <c r="I215" i="1"/>
  <c r="J215" i="1" s="1"/>
  <c r="K215" i="1" s="1"/>
  <c r="I216" i="1"/>
  <c r="J216" i="1" s="1"/>
  <c r="K216" i="1" s="1"/>
  <c r="I217" i="1"/>
  <c r="J217" i="1" s="1"/>
  <c r="K217" i="1" s="1"/>
  <c r="I218" i="1"/>
  <c r="J218" i="1" s="1"/>
  <c r="K218" i="1" s="1"/>
  <c r="I219" i="1"/>
  <c r="J219" i="1" s="1"/>
  <c r="K219" i="1" s="1"/>
  <c r="I220" i="1"/>
  <c r="J220" i="1" s="1"/>
  <c r="K220" i="1" s="1"/>
  <c r="I221" i="1"/>
  <c r="J221" i="1" s="1"/>
  <c r="K221" i="1" s="1"/>
  <c r="I222" i="1"/>
  <c r="J222" i="1" s="1"/>
  <c r="K222" i="1" s="1"/>
  <c r="I223" i="1"/>
  <c r="J223" i="1" s="1"/>
  <c r="K223" i="1" s="1"/>
  <c r="I224" i="1"/>
  <c r="J224" i="1" s="1"/>
  <c r="K224" i="1" s="1"/>
  <c r="I225" i="1"/>
  <c r="J225" i="1" s="1"/>
  <c r="K225" i="1" s="1"/>
  <c r="I226" i="1"/>
  <c r="J226" i="1" s="1"/>
  <c r="K226" i="1" s="1"/>
  <c r="I227" i="1"/>
  <c r="J227" i="1" s="1"/>
  <c r="K227" i="1" s="1"/>
  <c r="I228" i="1"/>
  <c r="J228" i="1" s="1"/>
  <c r="K228" i="1" s="1"/>
  <c r="I229" i="1"/>
  <c r="J229" i="1" s="1"/>
  <c r="K229" i="1" s="1"/>
  <c r="I230" i="1"/>
  <c r="J230" i="1" s="1"/>
  <c r="K230" i="1" s="1"/>
  <c r="I231" i="1"/>
  <c r="J231" i="1" s="1"/>
  <c r="K231" i="1" s="1"/>
  <c r="I232" i="1"/>
  <c r="J232" i="1" s="1"/>
  <c r="K232" i="1" s="1"/>
  <c r="I233" i="1"/>
  <c r="J233" i="1" s="1"/>
  <c r="K233" i="1" s="1"/>
  <c r="I234" i="1"/>
  <c r="J234" i="1" s="1"/>
  <c r="K234" i="1" s="1"/>
  <c r="I235" i="1"/>
  <c r="J235" i="1" s="1"/>
  <c r="K235" i="1" s="1"/>
  <c r="I236" i="1"/>
  <c r="J236" i="1" s="1"/>
  <c r="K236" i="1" s="1"/>
  <c r="I237" i="1"/>
  <c r="J237" i="1" s="1"/>
  <c r="K237" i="1" s="1"/>
  <c r="I238" i="1"/>
  <c r="J238" i="1" s="1"/>
  <c r="K238" i="1" s="1"/>
  <c r="I239" i="1"/>
  <c r="J239" i="1" s="1"/>
  <c r="K239" i="1" s="1"/>
  <c r="I240" i="1"/>
  <c r="J240" i="1" s="1"/>
  <c r="K240" i="1" s="1"/>
  <c r="I241" i="1"/>
  <c r="J241" i="1" s="1"/>
  <c r="K241" i="1" s="1"/>
  <c r="I242" i="1"/>
  <c r="J242" i="1" s="1"/>
  <c r="K242" i="1" s="1"/>
  <c r="I243" i="1"/>
  <c r="J243" i="1" s="1"/>
  <c r="K243" i="1" s="1"/>
  <c r="I244" i="1"/>
  <c r="J244" i="1" s="1"/>
  <c r="K244" i="1" s="1"/>
  <c r="I245" i="1"/>
  <c r="J245" i="1" s="1"/>
  <c r="K245" i="1" s="1"/>
  <c r="I246" i="1"/>
  <c r="J246" i="1" s="1"/>
  <c r="K246" i="1" s="1"/>
  <c r="I247" i="1"/>
  <c r="J247" i="1" s="1"/>
  <c r="K247" i="1" s="1"/>
  <c r="I248" i="1"/>
  <c r="J248" i="1" s="1"/>
  <c r="K248" i="1" s="1"/>
  <c r="I249" i="1"/>
  <c r="J249" i="1" s="1"/>
  <c r="K249" i="1" s="1"/>
  <c r="I250" i="1"/>
  <c r="J250" i="1" s="1"/>
  <c r="K250" i="1" s="1"/>
  <c r="I251" i="1"/>
  <c r="J251" i="1" s="1"/>
  <c r="K251" i="1" s="1"/>
  <c r="I252" i="1"/>
  <c r="J252" i="1" s="1"/>
  <c r="K252" i="1" s="1"/>
  <c r="I253" i="1"/>
  <c r="J253" i="1" s="1"/>
  <c r="K253" i="1" s="1"/>
  <c r="I254" i="1"/>
  <c r="J254" i="1" s="1"/>
  <c r="K254" i="1" s="1"/>
  <c r="I255" i="1"/>
  <c r="J255" i="1" s="1"/>
  <c r="K255" i="1" s="1"/>
  <c r="I256" i="1"/>
  <c r="J256" i="1" s="1"/>
  <c r="K256" i="1" s="1"/>
  <c r="I257" i="1"/>
  <c r="J257" i="1" s="1"/>
  <c r="K257" i="1" s="1"/>
  <c r="I258" i="1"/>
  <c r="J258" i="1" s="1"/>
  <c r="K258" i="1" s="1"/>
  <c r="I259" i="1"/>
  <c r="J259" i="1" s="1"/>
  <c r="K259" i="1" s="1"/>
  <c r="I260" i="1"/>
  <c r="J260" i="1" s="1"/>
  <c r="K260" i="1" s="1"/>
  <c r="I261" i="1"/>
  <c r="J261" i="1" s="1"/>
  <c r="K261" i="1" s="1"/>
  <c r="I262" i="1"/>
  <c r="J262" i="1" s="1"/>
  <c r="K262" i="1" s="1"/>
  <c r="I263" i="1"/>
  <c r="J263" i="1" s="1"/>
  <c r="K263" i="1" s="1"/>
  <c r="I264" i="1"/>
  <c r="J264" i="1" s="1"/>
  <c r="K264" i="1" s="1"/>
  <c r="I265" i="1"/>
  <c r="J265" i="1" s="1"/>
  <c r="K265" i="1" s="1"/>
  <c r="I266" i="1"/>
  <c r="J266" i="1" s="1"/>
  <c r="K266" i="1" s="1"/>
  <c r="I267" i="1"/>
  <c r="J267" i="1" s="1"/>
  <c r="K267" i="1" s="1"/>
  <c r="I268" i="1"/>
  <c r="J268" i="1" s="1"/>
  <c r="K268" i="1" s="1"/>
  <c r="I269" i="1"/>
  <c r="J269" i="1" s="1"/>
  <c r="K269" i="1" s="1"/>
  <c r="I270" i="1"/>
  <c r="J270" i="1" s="1"/>
  <c r="K270" i="1" s="1"/>
  <c r="I271" i="1"/>
  <c r="J271" i="1" s="1"/>
  <c r="K271" i="1" s="1"/>
  <c r="I272" i="1"/>
  <c r="J272" i="1" s="1"/>
  <c r="K272" i="1" s="1"/>
  <c r="I273" i="1"/>
  <c r="J273" i="1" s="1"/>
  <c r="K273" i="1" s="1"/>
  <c r="I274" i="1"/>
  <c r="J274" i="1" s="1"/>
  <c r="K274" i="1" s="1"/>
  <c r="I275" i="1"/>
  <c r="J275" i="1" s="1"/>
  <c r="K275" i="1" s="1"/>
  <c r="I276" i="1"/>
  <c r="J276" i="1" s="1"/>
  <c r="K276" i="1" s="1"/>
  <c r="I277" i="1"/>
  <c r="J277" i="1" s="1"/>
  <c r="K277" i="1" s="1"/>
  <c r="I278" i="1"/>
  <c r="J278" i="1" s="1"/>
  <c r="K278" i="1" s="1"/>
  <c r="I279" i="1"/>
  <c r="J279" i="1" s="1"/>
  <c r="K279" i="1" s="1"/>
  <c r="I280" i="1"/>
  <c r="J280" i="1" s="1"/>
  <c r="K280" i="1" s="1"/>
  <c r="I281" i="1"/>
  <c r="J281" i="1" s="1"/>
  <c r="K281" i="1" s="1"/>
  <c r="I282" i="1"/>
  <c r="J282" i="1" s="1"/>
  <c r="K282" i="1" s="1"/>
  <c r="I283" i="1"/>
  <c r="J283" i="1" s="1"/>
  <c r="K283" i="1" s="1"/>
  <c r="I284" i="1"/>
  <c r="J284" i="1" s="1"/>
  <c r="K284" i="1" s="1"/>
  <c r="I285" i="1"/>
  <c r="J285" i="1" s="1"/>
  <c r="K285" i="1" s="1"/>
  <c r="I286" i="1"/>
  <c r="J286" i="1" s="1"/>
  <c r="K286" i="1" s="1"/>
  <c r="I287" i="1"/>
  <c r="J287" i="1" s="1"/>
  <c r="K287" i="1" s="1"/>
  <c r="I288" i="1"/>
  <c r="J288" i="1" s="1"/>
  <c r="K288" i="1" s="1"/>
  <c r="I289" i="1"/>
  <c r="J289" i="1" s="1"/>
  <c r="K289" i="1" s="1"/>
  <c r="I290" i="1"/>
  <c r="J290" i="1" s="1"/>
  <c r="K290" i="1" s="1"/>
  <c r="I291" i="1"/>
  <c r="J291" i="1" s="1"/>
  <c r="K291" i="1" s="1"/>
  <c r="I292" i="1"/>
  <c r="J292" i="1" s="1"/>
  <c r="K292" i="1" s="1"/>
  <c r="I293" i="1"/>
  <c r="J293" i="1" s="1"/>
  <c r="K293" i="1" s="1"/>
  <c r="I294" i="1"/>
  <c r="J294" i="1" s="1"/>
  <c r="K294" i="1" s="1"/>
  <c r="I295" i="1"/>
  <c r="J295" i="1" s="1"/>
  <c r="K295" i="1" s="1"/>
  <c r="I296" i="1"/>
  <c r="J296" i="1" s="1"/>
  <c r="K296" i="1" s="1"/>
  <c r="I297" i="1"/>
  <c r="J297" i="1" s="1"/>
  <c r="K297" i="1" s="1"/>
  <c r="I298" i="1"/>
  <c r="J298" i="1" s="1"/>
  <c r="K298" i="1" s="1"/>
  <c r="I299" i="1"/>
  <c r="J299" i="1" s="1"/>
  <c r="K299" i="1" s="1"/>
  <c r="I300" i="1"/>
  <c r="J300" i="1" s="1"/>
  <c r="K300" i="1" s="1"/>
  <c r="I301" i="1"/>
  <c r="J301" i="1" s="1"/>
  <c r="K301" i="1" s="1"/>
  <c r="I302" i="1"/>
  <c r="J302" i="1" s="1"/>
  <c r="K302" i="1" s="1"/>
  <c r="I303" i="1"/>
  <c r="J303" i="1" s="1"/>
  <c r="K303" i="1" s="1"/>
  <c r="I304" i="1"/>
  <c r="J304" i="1" s="1"/>
  <c r="K304" i="1" s="1"/>
  <c r="I305" i="1"/>
  <c r="J305" i="1" s="1"/>
  <c r="K305" i="1" s="1"/>
  <c r="I306" i="1"/>
  <c r="J306" i="1" s="1"/>
  <c r="K306" i="1" s="1"/>
  <c r="I307" i="1"/>
  <c r="J307" i="1" s="1"/>
  <c r="K307" i="1" s="1"/>
  <c r="I308" i="1"/>
  <c r="J308" i="1" s="1"/>
  <c r="K308" i="1" s="1"/>
  <c r="I309" i="1"/>
  <c r="J309" i="1" s="1"/>
  <c r="K309" i="1" s="1"/>
  <c r="I310" i="1"/>
  <c r="J310" i="1" s="1"/>
  <c r="K310" i="1" s="1"/>
  <c r="I311" i="1"/>
  <c r="J311" i="1" s="1"/>
  <c r="K311" i="1" s="1"/>
  <c r="I312" i="1"/>
  <c r="J312" i="1" s="1"/>
  <c r="K312" i="1" s="1"/>
  <c r="I313" i="1"/>
  <c r="J313" i="1" s="1"/>
  <c r="K313" i="1" s="1"/>
  <c r="I314" i="1"/>
  <c r="J314" i="1" s="1"/>
  <c r="K314" i="1" s="1"/>
  <c r="I315" i="1"/>
  <c r="J315" i="1" s="1"/>
  <c r="K315" i="1" s="1"/>
  <c r="I316" i="1"/>
  <c r="J316" i="1" s="1"/>
  <c r="K316" i="1" s="1"/>
  <c r="I317" i="1"/>
  <c r="J317" i="1" s="1"/>
  <c r="K317" i="1" s="1"/>
  <c r="I318" i="1"/>
  <c r="J318" i="1" s="1"/>
  <c r="K318" i="1" s="1"/>
  <c r="I319" i="1"/>
  <c r="J319" i="1" s="1"/>
  <c r="K319" i="1" s="1"/>
  <c r="I320" i="1"/>
  <c r="J320" i="1" s="1"/>
  <c r="K320" i="1" s="1"/>
  <c r="I321" i="1"/>
  <c r="J321" i="1" s="1"/>
  <c r="K321" i="1" s="1"/>
  <c r="I322" i="1"/>
  <c r="J322" i="1" s="1"/>
  <c r="K322" i="1" s="1"/>
  <c r="I323" i="1"/>
  <c r="J323" i="1" s="1"/>
  <c r="K323" i="1" s="1"/>
  <c r="I324" i="1"/>
  <c r="J324" i="1" s="1"/>
  <c r="K324" i="1" s="1"/>
  <c r="I325" i="1"/>
  <c r="J325" i="1" s="1"/>
  <c r="K325" i="1" s="1"/>
  <c r="I326" i="1"/>
  <c r="J326" i="1" s="1"/>
  <c r="K326" i="1" s="1"/>
  <c r="I327" i="1"/>
  <c r="J327" i="1" s="1"/>
  <c r="K327" i="1" s="1"/>
  <c r="I328" i="1"/>
  <c r="J328" i="1" s="1"/>
  <c r="K328" i="1" s="1"/>
  <c r="I329" i="1"/>
  <c r="J329" i="1" s="1"/>
  <c r="K329" i="1" s="1"/>
  <c r="I330" i="1"/>
  <c r="J330" i="1" s="1"/>
  <c r="K330" i="1" s="1"/>
  <c r="I331" i="1"/>
  <c r="J331" i="1" s="1"/>
  <c r="K331" i="1" s="1"/>
  <c r="I332" i="1"/>
  <c r="J332" i="1" s="1"/>
  <c r="K332" i="1" s="1"/>
  <c r="I333" i="1"/>
  <c r="J333" i="1" s="1"/>
  <c r="K333" i="1" s="1"/>
  <c r="I334" i="1"/>
  <c r="J334" i="1" s="1"/>
  <c r="K334" i="1" s="1"/>
  <c r="I335" i="1"/>
  <c r="J335" i="1" s="1"/>
  <c r="K335" i="1" s="1"/>
  <c r="I336" i="1"/>
  <c r="J336" i="1" s="1"/>
  <c r="K336" i="1" s="1"/>
  <c r="I337" i="1"/>
  <c r="J337" i="1" s="1"/>
  <c r="K337" i="1" s="1"/>
  <c r="I338" i="1"/>
  <c r="J338" i="1" s="1"/>
  <c r="K338" i="1" s="1"/>
  <c r="I339" i="1"/>
  <c r="J339" i="1" s="1"/>
  <c r="K339" i="1" s="1"/>
  <c r="I340" i="1"/>
  <c r="J340" i="1" s="1"/>
  <c r="K340" i="1" s="1"/>
  <c r="I341" i="1"/>
  <c r="J341" i="1" s="1"/>
  <c r="K341" i="1" s="1"/>
  <c r="I342" i="1"/>
  <c r="J342" i="1" s="1"/>
  <c r="K342" i="1" s="1"/>
  <c r="I343" i="1"/>
  <c r="J343" i="1" s="1"/>
  <c r="K343" i="1" s="1"/>
  <c r="I344" i="1"/>
  <c r="J344" i="1" s="1"/>
  <c r="K344" i="1" s="1"/>
  <c r="I345" i="1"/>
  <c r="J345" i="1" s="1"/>
  <c r="K345" i="1" s="1"/>
  <c r="I346" i="1"/>
  <c r="J346" i="1" s="1"/>
  <c r="K346" i="1" s="1"/>
  <c r="I347" i="1"/>
  <c r="J347" i="1" s="1"/>
  <c r="K347" i="1" s="1"/>
  <c r="I348" i="1"/>
  <c r="J348" i="1" s="1"/>
  <c r="K348" i="1" s="1"/>
  <c r="I349" i="1"/>
  <c r="J349" i="1" s="1"/>
  <c r="K349" i="1" s="1"/>
  <c r="I350" i="1"/>
  <c r="J350" i="1" s="1"/>
  <c r="K350" i="1" s="1"/>
  <c r="I351" i="1"/>
  <c r="J351" i="1" s="1"/>
  <c r="K351" i="1" s="1"/>
  <c r="I352" i="1"/>
  <c r="J352" i="1" s="1"/>
  <c r="K352" i="1" s="1"/>
  <c r="I353" i="1"/>
  <c r="J353" i="1" s="1"/>
  <c r="K353" i="1" s="1"/>
  <c r="I354" i="1"/>
  <c r="J354" i="1" s="1"/>
  <c r="K354" i="1" s="1"/>
  <c r="I355" i="1"/>
  <c r="J355" i="1" s="1"/>
  <c r="K355" i="1" s="1"/>
  <c r="I356" i="1"/>
  <c r="J356" i="1" s="1"/>
  <c r="K356" i="1" s="1"/>
  <c r="I357" i="1"/>
  <c r="J357" i="1" s="1"/>
  <c r="K357" i="1" s="1"/>
  <c r="I358" i="1"/>
  <c r="J358" i="1" s="1"/>
  <c r="K358" i="1" s="1"/>
  <c r="I359" i="1"/>
  <c r="J359" i="1" s="1"/>
  <c r="K359" i="1" s="1"/>
  <c r="I360" i="1"/>
  <c r="J360" i="1" s="1"/>
  <c r="K360" i="1" s="1"/>
  <c r="I361" i="1"/>
  <c r="J361" i="1" s="1"/>
  <c r="K361" i="1" s="1"/>
  <c r="I362" i="1"/>
  <c r="J362" i="1" s="1"/>
  <c r="K362" i="1" s="1"/>
  <c r="I363" i="1"/>
  <c r="J363" i="1" s="1"/>
  <c r="K363" i="1" s="1"/>
  <c r="I364" i="1"/>
  <c r="J364" i="1" s="1"/>
  <c r="K364" i="1" s="1"/>
  <c r="I365" i="1"/>
  <c r="J365" i="1" s="1"/>
  <c r="K365" i="1" s="1"/>
  <c r="I366" i="1"/>
  <c r="J366" i="1" s="1"/>
  <c r="K366" i="1" s="1"/>
  <c r="I367" i="1"/>
  <c r="J367" i="1" s="1"/>
  <c r="K367" i="1" s="1"/>
  <c r="I368" i="1"/>
  <c r="J368" i="1" s="1"/>
  <c r="K368" i="1" s="1"/>
  <c r="I369" i="1"/>
  <c r="J369" i="1" s="1"/>
  <c r="K369" i="1" s="1"/>
  <c r="I370" i="1"/>
  <c r="J370" i="1" s="1"/>
  <c r="K370" i="1" s="1"/>
  <c r="I371" i="1"/>
  <c r="J371" i="1" s="1"/>
  <c r="K371" i="1" s="1"/>
  <c r="I372" i="1"/>
  <c r="J372" i="1" s="1"/>
  <c r="K372" i="1" s="1"/>
  <c r="I373" i="1"/>
  <c r="J373" i="1" s="1"/>
  <c r="K373" i="1" s="1"/>
  <c r="I374" i="1"/>
  <c r="J374" i="1" s="1"/>
  <c r="K374" i="1" s="1"/>
  <c r="I375" i="1"/>
  <c r="J375" i="1" s="1"/>
  <c r="K375" i="1" s="1"/>
  <c r="I376" i="1"/>
  <c r="J376" i="1" s="1"/>
  <c r="K376" i="1" s="1"/>
  <c r="I377" i="1"/>
  <c r="J377" i="1" s="1"/>
  <c r="K377" i="1" s="1"/>
  <c r="I378" i="1"/>
  <c r="J378" i="1" s="1"/>
  <c r="K378" i="1" s="1"/>
  <c r="I379" i="1"/>
  <c r="J379" i="1" s="1"/>
  <c r="K379" i="1" s="1"/>
  <c r="I380" i="1"/>
  <c r="J380" i="1" s="1"/>
  <c r="K380" i="1" s="1"/>
  <c r="I381" i="1"/>
  <c r="J381" i="1" s="1"/>
  <c r="K381" i="1" s="1"/>
  <c r="I382" i="1"/>
  <c r="J382" i="1" s="1"/>
  <c r="K382" i="1" s="1"/>
  <c r="I383" i="1"/>
  <c r="J383" i="1" s="1"/>
  <c r="K383" i="1" s="1"/>
  <c r="I384" i="1"/>
  <c r="J384" i="1" s="1"/>
  <c r="K384" i="1" s="1"/>
  <c r="I385" i="1"/>
  <c r="J385" i="1" s="1"/>
  <c r="K385" i="1" s="1"/>
  <c r="I386" i="1"/>
  <c r="J386" i="1" s="1"/>
  <c r="K386" i="1" s="1"/>
  <c r="I387" i="1"/>
  <c r="J387" i="1" s="1"/>
  <c r="K387" i="1" s="1"/>
  <c r="I388" i="1"/>
  <c r="J388" i="1" s="1"/>
  <c r="K388" i="1" s="1"/>
  <c r="I389" i="1"/>
  <c r="J389" i="1" s="1"/>
  <c r="K389" i="1" s="1"/>
  <c r="I390" i="1"/>
  <c r="J390" i="1" s="1"/>
  <c r="K390" i="1" s="1"/>
  <c r="I391" i="1"/>
  <c r="J391" i="1" s="1"/>
  <c r="K391" i="1" s="1"/>
  <c r="I392" i="1"/>
  <c r="J392" i="1" s="1"/>
  <c r="K392" i="1" s="1"/>
  <c r="I393" i="1"/>
  <c r="J393" i="1" s="1"/>
  <c r="K393" i="1" s="1"/>
  <c r="I394" i="1"/>
  <c r="J394" i="1" s="1"/>
  <c r="K394" i="1" s="1"/>
  <c r="I395" i="1"/>
  <c r="J395" i="1" s="1"/>
  <c r="K395" i="1" s="1"/>
  <c r="I396" i="1"/>
  <c r="J396" i="1" s="1"/>
  <c r="K396" i="1" s="1"/>
  <c r="I397" i="1"/>
  <c r="J397" i="1" s="1"/>
  <c r="K397" i="1" s="1"/>
  <c r="I398" i="1"/>
  <c r="J398" i="1" s="1"/>
  <c r="K398" i="1" s="1"/>
  <c r="I399" i="1"/>
  <c r="J399" i="1" s="1"/>
  <c r="K399" i="1" s="1"/>
  <c r="I400" i="1"/>
  <c r="J400" i="1" s="1"/>
  <c r="K400" i="1" s="1"/>
  <c r="I401" i="1"/>
  <c r="J401" i="1" s="1"/>
  <c r="K401" i="1" s="1"/>
  <c r="I402" i="1"/>
  <c r="J402" i="1" s="1"/>
  <c r="K402" i="1" s="1"/>
  <c r="I403" i="1"/>
  <c r="J403" i="1" s="1"/>
  <c r="K403" i="1" s="1"/>
  <c r="I404" i="1"/>
  <c r="J404" i="1" s="1"/>
  <c r="K404" i="1" s="1"/>
  <c r="I405" i="1"/>
  <c r="J405" i="1" s="1"/>
  <c r="K405" i="1" s="1"/>
  <c r="I406" i="1"/>
  <c r="J406" i="1" s="1"/>
  <c r="K406" i="1" s="1"/>
  <c r="I407" i="1"/>
  <c r="J407" i="1" s="1"/>
  <c r="K407" i="1" s="1"/>
  <c r="I408" i="1"/>
  <c r="J408" i="1" s="1"/>
  <c r="K408" i="1" s="1"/>
  <c r="I409" i="1"/>
  <c r="J409" i="1" s="1"/>
  <c r="K409" i="1" s="1"/>
  <c r="I410" i="1"/>
  <c r="J410" i="1" s="1"/>
  <c r="K410" i="1" s="1"/>
  <c r="I411" i="1"/>
  <c r="J411" i="1" s="1"/>
  <c r="K411" i="1" s="1"/>
  <c r="I412" i="1"/>
  <c r="J412" i="1" s="1"/>
  <c r="K412" i="1" s="1"/>
  <c r="I413" i="1"/>
  <c r="J413" i="1" s="1"/>
  <c r="K413" i="1" s="1"/>
  <c r="I414" i="1"/>
  <c r="J414" i="1" s="1"/>
  <c r="K414" i="1" s="1"/>
  <c r="I415" i="1"/>
  <c r="J415" i="1" s="1"/>
  <c r="K415" i="1" s="1"/>
  <c r="I416" i="1"/>
  <c r="J416" i="1" s="1"/>
  <c r="K416" i="1" s="1"/>
  <c r="I417" i="1"/>
  <c r="J417" i="1" s="1"/>
  <c r="K417" i="1" s="1"/>
  <c r="I418" i="1"/>
  <c r="J418" i="1" s="1"/>
  <c r="K418" i="1" s="1"/>
  <c r="I419" i="1"/>
  <c r="J419" i="1" s="1"/>
  <c r="K419" i="1" s="1"/>
  <c r="I420" i="1"/>
  <c r="J420" i="1" s="1"/>
  <c r="K420" i="1" s="1"/>
  <c r="I421" i="1"/>
  <c r="J421" i="1" s="1"/>
  <c r="K421" i="1" s="1"/>
  <c r="I422" i="1"/>
  <c r="J422" i="1" s="1"/>
  <c r="K422" i="1" s="1"/>
  <c r="I423" i="1"/>
  <c r="J423" i="1" s="1"/>
  <c r="K423" i="1" s="1"/>
  <c r="I424" i="1"/>
  <c r="J424" i="1" s="1"/>
  <c r="K424" i="1" s="1"/>
  <c r="I425" i="1"/>
  <c r="J425" i="1" s="1"/>
  <c r="K425" i="1" s="1"/>
  <c r="I426" i="1"/>
  <c r="J426" i="1" s="1"/>
  <c r="K426" i="1" s="1"/>
  <c r="I427" i="1"/>
  <c r="J427" i="1" s="1"/>
  <c r="K427" i="1" s="1"/>
  <c r="I428" i="1"/>
  <c r="J428" i="1" s="1"/>
  <c r="K428" i="1" s="1"/>
  <c r="I429" i="1"/>
  <c r="J429" i="1" s="1"/>
  <c r="K429" i="1" s="1"/>
  <c r="I430" i="1"/>
  <c r="J430" i="1" s="1"/>
  <c r="K430" i="1" s="1"/>
  <c r="I431" i="1"/>
  <c r="J431" i="1" s="1"/>
  <c r="K431" i="1" s="1"/>
  <c r="I432" i="1"/>
  <c r="J432" i="1" s="1"/>
  <c r="K432" i="1" s="1"/>
  <c r="I433" i="1"/>
  <c r="J433" i="1" s="1"/>
  <c r="K433" i="1" s="1"/>
  <c r="I434" i="1"/>
  <c r="J434" i="1" s="1"/>
  <c r="K434" i="1" s="1"/>
  <c r="I435" i="1"/>
  <c r="J435" i="1" s="1"/>
  <c r="K435" i="1" s="1"/>
  <c r="I436" i="1"/>
  <c r="J436" i="1" s="1"/>
  <c r="K436" i="1" s="1"/>
  <c r="I437" i="1"/>
  <c r="J437" i="1" s="1"/>
  <c r="K437" i="1" s="1"/>
  <c r="I438" i="1"/>
  <c r="J438" i="1" s="1"/>
  <c r="K438" i="1" s="1"/>
  <c r="I439" i="1"/>
  <c r="J439" i="1" s="1"/>
  <c r="K439" i="1" s="1"/>
  <c r="I440" i="1"/>
  <c r="J440" i="1" s="1"/>
  <c r="K440" i="1" s="1"/>
  <c r="I441" i="1"/>
  <c r="J441" i="1" s="1"/>
  <c r="K441" i="1" s="1"/>
  <c r="I442" i="1"/>
  <c r="J442" i="1" s="1"/>
  <c r="K442" i="1" s="1"/>
  <c r="I443" i="1"/>
  <c r="J443" i="1" s="1"/>
  <c r="K443" i="1" s="1"/>
  <c r="I444" i="1"/>
  <c r="J444" i="1" s="1"/>
  <c r="K444" i="1" s="1"/>
  <c r="I445" i="1"/>
  <c r="J445" i="1" s="1"/>
  <c r="K445" i="1" s="1"/>
  <c r="I446" i="1"/>
  <c r="J446" i="1" s="1"/>
  <c r="K446" i="1" s="1"/>
  <c r="I447" i="1"/>
  <c r="J447" i="1" s="1"/>
  <c r="K447" i="1" s="1"/>
  <c r="I448" i="1"/>
  <c r="J448" i="1" s="1"/>
  <c r="K448" i="1" s="1"/>
  <c r="I449" i="1"/>
  <c r="J449" i="1" s="1"/>
  <c r="K449" i="1" s="1"/>
  <c r="I450" i="1"/>
  <c r="J450" i="1" s="1"/>
  <c r="K450" i="1" s="1"/>
  <c r="I451" i="1"/>
  <c r="J451" i="1" s="1"/>
  <c r="K451" i="1" s="1"/>
  <c r="I452" i="1"/>
  <c r="J452" i="1" s="1"/>
  <c r="K452" i="1" s="1"/>
  <c r="I453" i="1"/>
  <c r="J453" i="1" s="1"/>
  <c r="K453" i="1" s="1"/>
  <c r="I454" i="1"/>
  <c r="J454" i="1" s="1"/>
  <c r="K454" i="1" s="1"/>
  <c r="I455" i="1"/>
  <c r="J455" i="1" s="1"/>
  <c r="K455" i="1" s="1"/>
  <c r="I456" i="1"/>
  <c r="J456" i="1" s="1"/>
  <c r="K456" i="1" s="1"/>
  <c r="I457" i="1"/>
  <c r="J457" i="1" s="1"/>
  <c r="K457" i="1" s="1"/>
  <c r="I458" i="1"/>
  <c r="J458" i="1" s="1"/>
  <c r="K458" i="1" s="1"/>
  <c r="I459" i="1"/>
  <c r="J459" i="1" s="1"/>
  <c r="K459" i="1" s="1"/>
  <c r="I460" i="1"/>
  <c r="J460" i="1" s="1"/>
  <c r="K460" i="1" s="1"/>
  <c r="I461" i="1"/>
  <c r="J461" i="1" s="1"/>
  <c r="K461" i="1" s="1"/>
  <c r="I462" i="1"/>
  <c r="J462" i="1" s="1"/>
  <c r="K462" i="1" s="1"/>
  <c r="I463" i="1"/>
  <c r="J463" i="1" s="1"/>
  <c r="K463" i="1" s="1"/>
  <c r="I464" i="1"/>
  <c r="J464" i="1" s="1"/>
  <c r="K464" i="1" s="1"/>
  <c r="I465" i="1"/>
  <c r="J465" i="1" s="1"/>
  <c r="K465" i="1" s="1"/>
  <c r="I466" i="1"/>
  <c r="J466" i="1" s="1"/>
  <c r="K466" i="1" s="1"/>
  <c r="I467" i="1"/>
  <c r="J467" i="1" s="1"/>
  <c r="K467" i="1" s="1"/>
  <c r="I468" i="1"/>
  <c r="J468" i="1" s="1"/>
  <c r="K468" i="1" s="1"/>
  <c r="I469" i="1"/>
  <c r="J469" i="1" s="1"/>
  <c r="K469" i="1" s="1"/>
  <c r="I470" i="1"/>
  <c r="J470" i="1" s="1"/>
  <c r="K470" i="1" s="1"/>
  <c r="I471" i="1"/>
  <c r="J471" i="1" s="1"/>
  <c r="K471" i="1" s="1"/>
  <c r="I472" i="1"/>
  <c r="J472" i="1" s="1"/>
  <c r="K472" i="1" s="1"/>
  <c r="I473" i="1"/>
  <c r="J473" i="1" s="1"/>
  <c r="K473" i="1" s="1"/>
  <c r="I474" i="1"/>
  <c r="J474" i="1" s="1"/>
  <c r="K474" i="1" s="1"/>
  <c r="I475" i="1"/>
  <c r="J475" i="1" s="1"/>
  <c r="K475" i="1" s="1"/>
  <c r="I476" i="1"/>
  <c r="J476" i="1" s="1"/>
  <c r="K476" i="1" s="1"/>
  <c r="I477" i="1"/>
  <c r="J477" i="1" s="1"/>
  <c r="K477" i="1" s="1"/>
  <c r="I478" i="1"/>
  <c r="J478" i="1" s="1"/>
  <c r="K478" i="1" s="1"/>
  <c r="I479" i="1"/>
  <c r="J479" i="1" s="1"/>
  <c r="K479" i="1" s="1"/>
  <c r="I480" i="1"/>
  <c r="J480" i="1" s="1"/>
  <c r="K480" i="1" s="1"/>
  <c r="I481" i="1"/>
  <c r="J481" i="1" s="1"/>
  <c r="K481" i="1" s="1"/>
  <c r="I482" i="1"/>
  <c r="J482" i="1" s="1"/>
  <c r="K482" i="1" s="1"/>
  <c r="I483" i="1"/>
  <c r="J483" i="1" s="1"/>
  <c r="K483" i="1" s="1"/>
  <c r="I484" i="1"/>
  <c r="J484" i="1" s="1"/>
  <c r="K484" i="1" s="1"/>
  <c r="I485" i="1"/>
  <c r="J485" i="1" s="1"/>
  <c r="K485" i="1" s="1"/>
  <c r="I486" i="1"/>
  <c r="J486" i="1" s="1"/>
  <c r="K486" i="1" s="1"/>
  <c r="I487" i="1"/>
  <c r="J487" i="1" s="1"/>
  <c r="K487" i="1" s="1"/>
  <c r="I488" i="1"/>
  <c r="J488" i="1" s="1"/>
  <c r="K488" i="1" s="1"/>
  <c r="I489" i="1"/>
  <c r="J489" i="1" s="1"/>
  <c r="K489" i="1" s="1"/>
  <c r="I490" i="1"/>
  <c r="J490" i="1" s="1"/>
  <c r="K490" i="1" s="1"/>
  <c r="I491" i="1"/>
  <c r="J491" i="1" s="1"/>
  <c r="K491" i="1" s="1"/>
  <c r="I492" i="1"/>
  <c r="J492" i="1" s="1"/>
  <c r="K492" i="1" s="1"/>
  <c r="I493" i="1"/>
  <c r="J493" i="1" s="1"/>
  <c r="K493" i="1" s="1"/>
  <c r="I494" i="1"/>
  <c r="J494" i="1" s="1"/>
  <c r="K494" i="1" s="1"/>
  <c r="I495" i="1"/>
  <c r="J495" i="1" s="1"/>
  <c r="K495" i="1" s="1"/>
  <c r="I496" i="1"/>
  <c r="J496" i="1" s="1"/>
  <c r="K496" i="1" s="1"/>
  <c r="I497" i="1"/>
  <c r="J497" i="1" s="1"/>
  <c r="K497" i="1" s="1"/>
  <c r="I498" i="1"/>
  <c r="J498" i="1" s="1"/>
  <c r="K498" i="1" s="1"/>
  <c r="I499" i="1"/>
  <c r="J499" i="1" s="1"/>
  <c r="K499" i="1" s="1"/>
  <c r="I500" i="1"/>
  <c r="J500" i="1" s="1"/>
  <c r="K500" i="1" s="1"/>
  <c r="I501" i="1"/>
  <c r="J501" i="1" s="1"/>
  <c r="K501" i="1" s="1"/>
  <c r="I502" i="1"/>
  <c r="J502" i="1" s="1"/>
  <c r="K502" i="1" s="1"/>
  <c r="I503" i="1"/>
  <c r="J503" i="1" s="1"/>
  <c r="K503" i="1" s="1"/>
  <c r="I504" i="1"/>
  <c r="J504" i="1" s="1"/>
  <c r="K504" i="1" s="1"/>
  <c r="I505" i="1"/>
  <c r="J505" i="1" s="1"/>
  <c r="K505" i="1" s="1"/>
  <c r="I506" i="1"/>
  <c r="J506" i="1" s="1"/>
  <c r="K506" i="1" s="1"/>
  <c r="I507" i="1"/>
  <c r="J507" i="1" s="1"/>
  <c r="K507" i="1" s="1"/>
  <c r="I508" i="1"/>
  <c r="J508" i="1" s="1"/>
  <c r="K508" i="1" s="1"/>
  <c r="I509" i="1"/>
  <c r="J509" i="1" s="1"/>
  <c r="K509" i="1" s="1"/>
  <c r="I510" i="1"/>
  <c r="J510" i="1" s="1"/>
  <c r="K510" i="1" s="1"/>
  <c r="I511" i="1"/>
  <c r="J511" i="1" s="1"/>
  <c r="K511" i="1" s="1"/>
  <c r="I512" i="1"/>
  <c r="J512" i="1" s="1"/>
  <c r="K512" i="1" s="1"/>
  <c r="I513" i="1"/>
  <c r="J513" i="1" s="1"/>
  <c r="K513" i="1" s="1"/>
  <c r="I514" i="1"/>
  <c r="J514" i="1" s="1"/>
  <c r="K514" i="1" s="1"/>
  <c r="I515" i="1"/>
  <c r="J515" i="1" s="1"/>
  <c r="K515" i="1" s="1"/>
  <c r="I516" i="1"/>
  <c r="J516" i="1" s="1"/>
  <c r="K516" i="1" s="1"/>
  <c r="I517" i="1"/>
  <c r="J517" i="1" s="1"/>
  <c r="K517" i="1" s="1"/>
  <c r="I518" i="1"/>
  <c r="J518" i="1" s="1"/>
  <c r="K518" i="1" s="1"/>
  <c r="I519" i="1"/>
  <c r="J519" i="1" s="1"/>
  <c r="K519" i="1" s="1"/>
  <c r="I520" i="1"/>
  <c r="J520" i="1" s="1"/>
  <c r="K520" i="1" s="1"/>
  <c r="I521" i="1"/>
  <c r="J521" i="1" s="1"/>
  <c r="K521" i="1" s="1"/>
  <c r="I522" i="1"/>
  <c r="J522" i="1" s="1"/>
  <c r="K522" i="1" s="1"/>
  <c r="I523" i="1"/>
  <c r="J523" i="1" s="1"/>
  <c r="K523" i="1" s="1"/>
  <c r="I524" i="1"/>
  <c r="J524" i="1" s="1"/>
  <c r="K524" i="1" s="1"/>
  <c r="I525" i="1"/>
  <c r="J525" i="1" s="1"/>
  <c r="K525" i="1" s="1"/>
  <c r="I526" i="1"/>
  <c r="J526" i="1" s="1"/>
  <c r="K526" i="1" s="1"/>
  <c r="I527" i="1"/>
  <c r="J527" i="1" s="1"/>
  <c r="K527" i="1" s="1"/>
  <c r="I528" i="1"/>
  <c r="J528" i="1" s="1"/>
  <c r="K528" i="1" s="1"/>
  <c r="I529" i="1"/>
  <c r="J529" i="1" s="1"/>
  <c r="K529" i="1" s="1"/>
  <c r="I530" i="1"/>
  <c r="J530" i="1" s="1"/>
  <c r="K530" i="1" s="1"/>
  <c r="I531" i="1"/>
  <c r="J531" i="1" s="1"/>
  <c r="K531" i="1" s="1"/>
  <c r="I532" i="1"/>
  <c r="J532" i="1" s="1"/>
  <c r="K532" i="1" s="1"/>
  <c r="I533" i="1"/>
  <c r="J533" i="1" s="1"/>
  <c r="K533" i="1" s="1"/>
  <c r="I534" i="1"/>
  <c r="J534" i="1" s="1"/>
  <c r="K534" i="1" s="1"/>
  <c r="I535" i="1"/>
  <c r="J535" i="1" s="1"/>
  <c r="K535" i="1" s="1"/>
  <c r="I536" i="1"/>
  <c r="J536" i="1" s="1"/>
  <c r="K536" i="1" s="1"/>
  <c r="I537" i="1"/>
  <c r="J537" i="1" s="1"/>
  <c r="K537" i="1" s="1"/>
  <c r="I538" i="1"/>
  <c r="J538" i="1" s="1"/>
  <c r="K538" i="1" s="1"/>
  <c r="I539" i="1"/>
  <c r="J539" i="1" s="1"/>
  <c r="K539" i="1" s="1"/>
  <c r="I540" i="1"/>
  <c r="J540" i="1" s="1"/>
  <c r="K540" i="1" s="1"/>
  <c r="I541" i="1"/>
  <c r="J541" i="1" s="1"/>
  <c r="K541" i="1" s="1"/>
  <c r="I542" i="1"/>
  <c r="J542" i="1" s="1"/>
  <c r="K542" i="1" s="1"/>
  <c r="I543" i="1"/>
  <c r="J543" i="1" s="1"/>
  <c r="K543" i="1" s="1"/>
  <c r="I544" i="1"/>
  <c r="J544" i="1" s="1"/>
  <c r="K544" i="1" s="1"/>
  <c r="I545" i="1"/>
  <c r="J545" i="1" s="1"/>
  <c r="K545" i="1" s="1"/>
  <c r="I546" i="1"/>
  <c r="J546" i="1" s="1"/>
  <c r="K546" i="1" s="1"/>
  <c r="I547" i="1"/>
  <c r="J547" i="1" s="1"/>
  <c r="K547" i="1" s="1"/>
  <c r="I548" i="1"/>
  <c r="J548" i="1" s="1"/>
  <c r="K548" i="1" s="1"/>
  <c r="I549" i="1"/>
  <c r="J549" i="1" s="1"/>
  <c r="K549" i="1" s="1"/>
  <c r="I550" i="1"/>
  <c r="J550" i="1" s="1"/>
  <c r="K550" i="1" s="1"/>
  <c r="I551" i="1"/>
  <c r="J551" i="1" s="1"/>
  <c r="K551" i="1" s="1"/>
  <c r="I552" i="1"/>
  <c r="J552" i="1" s="1"/>
  <c r="K552" i="1" s="1"/>
  <c r="I553" i="1"/>
  <c r="J553" i="1" s="1"/>
  <c r="K553" i="1" s="1"/>
  <c r="I554" i="1"/>
  <c r="J554" i="1" s="1"/>
  <c r="K554" i="1" s="1"/>
  <c r="I555" i="1"/>
  <c r="J555" i="1" s="1"/>
  <c r="K555" i="1" s="1"/>
  <c r="I556" i="1"/>
  <c r="J556" i="1" s="1"/>
  <c r="K556" i="1" s="1"/>
  <c r="I557" i="1"/>
  <c r="J557" i="1" s="1"/>
  <c r="K557" i="1" s="1"/>
  <c r="I558" i="1"/>
  <c r="J558" i="1" s="1"/>
  <c r="K558" i="1" s="1"/>
  <c r="I559" i="1"/>
  <c r="J559" i="1" s="1"/>
  <c r="K559" i="1" s="1"/>
  <c r="I560" i="1"/>
  <c r="J560" i="1" s="1"/>
  <c r="K560" i="1" s="1"/>
  <c r="I561" i="1"/>
  <c r="J561" i="1" s="1"/>
  <c r="K561" i="1" s="1"/>
  <c r="I562" i="1"/>
  <c r="J562" i="1" s="1"/>
  <c r="K562" i="1" s="1"/>
  <c r="I563" i="1"/>
  <c r="J563" i="1" s="1"/>
  <c r="K563" i="1" s="1"/>
  <c r="I564" i="1"/>
  <c r="J564" i="1" s="1"/>
  <c r="K564" i="1" s="1"/>
  <c r="I565" i="1"/>
  <c r="J565" i="1" s="1"/>
  <c r="K565" i="1" s="1"/>
  <c r="I566" i="1"/>
  <c r="J566" i="1" s="1"/>
  <c r="K566" i="1" s="1"/>
  <c r="I567" i="1"/>
  <c r="J567" i="1" s="1"/>
  <c r="K567" i="1" s="1"/>
  <c r="I568" i="1"/>
  <c r="J568" i="1" s="1"/>
  <c r="K568" i="1" s="1"/>
  <c r="I569" i="1"/>
  <c r="J569" i="1" s="1"/>
  <c r="K569" i="1" s="1"/>
  <c r="I570" i="1"/>
  <c r="J570" i="1" s="1"/>
  <c r="K570" i="1" s="1"/>
  <c r="I571" i="1"/>
  <c r="J571" i="1" s="1"/>
  <c r="K571" i="1" s="1"/>
  <c r="I572" i="1"/>
  <c r="J572" i="1" s="1"/>
  <c r="K572" i="1" s="1"/>
  <c r="I573" i="1"/>
  <c r="J573" i="1" s="1"/>
  <c r="K573" i="1" s="1"/>
  <c r="I574" i="1"/>
  <c r="J574" i="1" s="1"/>
  <c r="K574" i="1" s="1"/>
  <c r="I575" i="1"/>
  <c r="J575" i="1" s="1"/>
  <c r="K575" i="1" s="1"/>
  <c r="I576" i="1"/>
  <c r="J576" i="1" s="1"/>
  <c r="K576" i="1" s="1"/>
  <c r="I577" i="1"/>
  <c r="J577" i="1" s="1"/>
  <c r="K577" i="1" s="1"/>
  <c r="I578" i="1"/>
  <c r="J578" i="1" s="1"/>
  <c r="K578" i="1" s="1"/>
  <c r="I579" i="1"/>
  <c r="J579" i="1" s="1"/>
  <c r="K579" i="1" s="1"/>
  <c r="I580" i="1"/>
  <c r="J580" i="1" s="1"/>
  <c r="K580" i="1" s="1"/>
  <c r="I581" i="1"/>
  <c r="J581" i="1" s="1"/>
  <c r="K581" i="1" s="1"/>
  <c r="I582" i="1"/>
  <c r="J582" i="1" s="1"/>
  <c r="K582" i="1" s="1"/>
  <c r="I583" i="1"/>
  <c r="J583" i="1" s="1"/>
  <c r="K583" i="1" s="1"/>
  <c r="I584" i="1"/>
  <c r="J584" i="1" s="1"/>
  <c r="K584" i="1" s="1"/>
  <c r="I585" i="1"/>
  <c r="J585" i="1" s="1"/>
  <c r="K585" i="1" s="1"/>
  <c r="I586" i="1"/>
  <c r="J586" i="1" s="1"/>
  <c r="K586" i="1" s="1"/>
  <c r="I587" i="1"/>
  <c r="J587" i="1" s="1"/>
  <c r="K587" i="1" s="1"/>
  <c r="I588" i="1"/>
  <c r="J588" i="1" s="1"/>
  <c r="K588" i="1" s="1"/>
  <c r="I589" i="1"/>
  <c r="J589" i="1" s="1"/>
  <c r="K589" i="1" s="1"/>
  <c r="I590" i="1"/>
  <c r="J590" i="1" s="1"/>
  <c r="K590" i="1" s="1"/>
  <c r="I591" i="1"/>
  <c r="J591" i="1" s="1"/>
  <c r="K591" i="1" s="1"/>
  <c r="I592" i="1"/>
  <c r="J592" i="1" s="1"/>
  <c r="K592" i="1" s="1"/>
  <c r="I593" i="1"/>
  <c r="J593" i="1" s="1"/>
  <c r="K593" i="1" s="1"/>
  <c r="I594" i="1"/>
  <c r="J594" i="1" s="1"/>
  <c r="K594" i="1" s="1"/>
  <c r="I595" i="1"/>
  <c r="J595" i="1" s="1"/>
  <c r="K595" i="1" s="1"/>
  <c r="I596" i="1"/>
  <c r="J596" i="1" s="1"/>
  <c r="K596" i="1" s="1"/>
  <c r="I597" i="1"/>
  <c r="J597" i="1" s="1"/>
  <c r="K597" i="1" s="1"/>
  <c r="I598" i="1"/>
  <c r="J598" i="1" s="1"/>
  <c r="K598" i="1" s="1"/>
  <c r="I599" i="1"/>
  <c r="J599" i="1" s="1"/>
  <c r="K599" i="1" s="1"/>
  <c r="I600" i="1"/>
  <c r="J600" i="1" s="1"/>
  <c r="K600" i="1" s="1"/>
  <c r="I601" i="1"/>
  <c r="J601" i="1" s="1"/>
  <c r="K601" i="1" s="1"/>
  <c r="I602" i="1"/>
  <c r="J602" i="1" s="1"/>
  <c r="K602" i="1" s="1"/>
  <c r="I603" i="1"/>
  <c r="J603" i="1" s="1"/>
  <c r="K603" i="1" s="1"/>
  <c r="I604" i="1"/>
  <c r="J604" i="1" s="1"/>
  <c r="K604" i="1" s="1"/>
  <c r="I605" i="1"/>
  <c r="J605" i="1" s="1"/>
  <c r="K605" i="1" s="1"/>
  <c r="I606" i="1"/>
  <c r="J606" i="1" s="1"/>
  <c r="K606" i="1" s="1"/>
  <c r="I607" i="1"/>
  <c r="J607" i="1" s="1"/>
  <c r="K607" i="1" s="1"/>
  <c r="I608" i="1"/>
  <c r="J608" i="1" s="1"/>
  <c r="K608" i="1" s="1"/>
  <c r="I609" i="1"/>
  <c r="J609" i="1" s="1"/>
  <c r="K609" i="1" s="1"/>
  <c r="I610" i="1"/>
  <c r="J610" i="1" s="1"/>
  <c r="K610" i="1" s="1"/>
  <c r="I611" i="1"/>
  <c r="J611" i="1" s="1"/>
  <c r="K611" i="1" s="1"/>
  <c r="I612" i="1"/>
  <c r="J612" i="1" s="1"/>
  <c r="K612" i="1" s="1"/>
  <c r="I613" i="1"/>
  <c r="J613" i="1" s="1"/>
  <c r="K613" i="1" s="1"/>
  <c r="I614" i="1"/>
  <c r="J614" i="1" s="1"/>
  <c r="K614" i="1" s="1"/>
  <c r="I615" i="1"/>
  <c r="J615" i="1" s="1"/>
  <c r="K615" i="1" s="1"/>
  <c r="I616" i="1"/>
  <c r="J616" i="1" s="1"/>
  <c r="K616" i="1" s="1"/>
  <c r="I617" i="1"/>
  <c r="J617" i="1" s="1"/>
  <c r="K617" i="1" s="1"/>
  <c r="I618" i="1"/>
  <c r="J618" i="1" s="1"/>
  <c r="K618" i="1" s="1"/>
  <c r="I619" i="1"/>
  <c r="J619" i="1" s="1"/>
  <c r="K619" i="1" s="1"/>
  <c r="I620" i="1"/>
  <c r="J620" i="1" s="1"/>
  <c r="K620" i="1" s="1"/>
  <c r="I621" i="1"/>
  <c r="J621" i="1" s="1"/>
  <c r="K621" i="1" s="1"/>
  <c r="I622" i="1"/>
  <c r="J622" i="1" s="1"/>
  <c r="K622" i="1" s="1"/>
  <c r="I623" i="1"/>
  <c r="J623" i="1" s="1"/>
  <c r="K623" i="1" s="1"/>
  <c r="I624" i="1"/>
  <c r="J624" i="1" s="1"/>
  <c r="K624" i="1" s="1"/>
  <c r="I625" i="1"/>
  <c r="J625" i="1" s="1"/>
  <c r="K625" i="1" s="1"/>
  <c r="I626" i="1"/>
  <c r="J626" i="1" s="1"/>
  <c r="K626" i="1" s="1"/>
  <c r="I627" i="1"/>
  <c r="J627" i="1" s="1"/>
  <c r="K627" i="1" s="1"/>
  <c r="I628" i="1"/>
  <c r="J628" i="1" s="1"/>
  <c r="K628" i="1" s="1"/>
  <c r="I629" i="1"/>
  <c r="J629" i="1" s="1"/>
  <c r="K629" i="1" s="1"/>
  <c r="I630" i="1"/>
  <c r="J630" i="1" s="1"/>
  <c r="K630" i="1" s="1"/>
  <c r="I631" i="1"/>
  <c r="J631" i="1" s="1"/>
  <c r="K631" i="1" s="1"/>
  <c r="I632" i="1"/>
  <c r="J632" i="1" s="1"/>
  <c r="K632" i="1" s="1"/>
  <c r="I633" i="1"/>
  <c r="J633" i="1" s="1"/>
  <c r="K633" i="1" s="1"/>
  <c r="I634" i="1"/>
  <c r="J634" i="1" s="1"/>
  <c r="K634" i="1" s="1"/>
  <c r="I635" i="1"/>
  <c r="J635" i="1" s="1"/>
  <c r="K635" i="1" s="1"/>
  <c r="I636" i="1"/>
  <c r="J636" i="1" s="1"/>
  <c r="K636" i="1" s="1"/>
  <c r="I637" i="1"/>
  <c r="J637" i="1" s="1"/>
  <c r="K637" i="1" s="1"/>
  <c r="I638" i="1"/>
  <c r="J638" i="1" s="1"/>
  <c r="K638" i="1" s="1"/>
  <c r="I639" i="1"/>
  <c r="J639" i="1" s="1"/>
  <c r="K639" i="1" s="1"/>
  <c r="I640" i="1"/>
  <c r="J640" i="1" s="1"/>
  <c r="K640" i="1" s="1"/>
  <c r="I641" i="1"/>
  <c r="J641" i="1" s="1"/>
  <c r="K641" i="1" s="1"/>
  <c r="I642" i="1"/>
  <c r="J642" i="1" s="1"/>
  <c r="K642" i="1" s="1"/>
  <c r="I643" i="1"/>
  <c r="J643" i="1" s="1"/>
  <c r="K643" i="1" s="1"/>
  <c r="I644" i="1"/>
  <c r="J644" i="1" s="1"/>
  <c r="K644" i="1" s="1"/>
  <c r="I645" i="1"/>
  <c r="J645" i="1" s="1"/>
  <c r="K645" i="1" s="1"/>
  <c r="I646" i="1"/>
  <c r="J646" i="1" s="1"/>
  <c r="K646" i="1" s="1"/>
  <c r="I647" i="1"/>
  <c r="J647" i="1" s="1"/>
  <c r="K647" i="1" s="1"/>
  <c r="I648" i="1"/>
  <c r="J648" i="1" s="1"/>
  <c r="K648" i="1" s="1"/>
  <c r="I649" i="1"/>
  <c r="J649" i="1" s="1"/>
  <c r="K649" i="1" s="1"/>
  <c r="I650" i="1"/>
  <c r="J650" i="1" s="1"/>
  <c r="K650" i="1" s="1"/>
  <c r="I651" i="1"/>
  <c r="J651" i="1" s="1"/>
  <c r="K651" i="1" s="1"/>
  <c r="I652" i="1"/>
  <c r="J652" i="1" s="1"/>
  <c r="K652" i="1" s="1"/>
  <c r="I653" i="1"/>
  <c r="J653" i="1" s="1"/>
  <c r="K653" i="1" s="1"/>
  <c r="I654" i="1"/>
  <c r="J654" i="1" s="1"/>
  <c r="K654" i="1" s="1"/>
  <c r="I655" i="1"/>
  <c r="J655" i="1" s="1"/>
  <c r="K655" i="1" s="1"/>
  <c r="I656" i="1"/>
  <c r="J656" i="1" s="1"/>
  <c r="K656" i="1" s="1"/>
  <c r="I657" i="1"/>
  <c r="J657" i="1" s="1"/>
  <c r="K657" i="1" s="1"/>
  <c r="I658" i="1"/>
  <c r="J658" i="1" s="1"/>
  <c r="K658" i="1" s="1"/>
  <c r="I659" i="1"/>
  <c r="J659" i="1" s="1"/>
  <c r="K659" i="1" s="1"/>
  <c r="I660" i="1"/>
  <c r="J660" i="1" s="1"/>
  <c r="K660" i="1" s="1"/>
  <c r="I661" i="1"/>
  <c r="J661" i="1" s="1"/>
  <c r="K661" i="1" s="1"/>
  <c r="I662" i="1"/>
  <c r="J662" i="1" s="1"/>
  <c r="K662" i="1" s="1"/>
  <c r="I663" i="1"/>
  <c r="J663" i="1" s="1"/>
  <c r="K663" i="1" s="1"/>
  <c r="I664" i="1"/>
  <c r="J664" i="1" s="1"/>
  <c r="K664" i="1" s="1"/>
  <c r="I665" i="1"/>
  <c r="J665" i="1" s="1"/>
  <c r="K665" i="1" s="1"/>
  <c r="I666" i="1"/>
  <c r="J666" i="1" s="1"/>
  <c r="K666" i="1" s="1"/>
  <c r="I667" i="1"/>
  <c r="J667" i="1" s="1"/>
  <c r="K667" i="1" s="1"/>
  <c r="I668" i="1"/>
  <c r="J668" i="1" s="1"/>
  <c r="K668" i="1" s="1"/>
  <c r="I669" i="1"/>
  <c r="J669" i="1" s="1"/>
  <c r="K669" i="1" s="1"/>
  <c r="I670" i="1"/>
  <c r="J670" i="1" s="1"/>
  <c r="K670" i="1" s="1"/>
  <c r="I671" i="1"/>
  <c r="J671" i="1" s="1"/>
  <c r="K671" i="1" s="1"/>
  <c r="I672" i="1"/>
  <c r="J672" i="1" s="1"/>
  <c r="K672" i="1" s="1"/>
  <c r="I673" i="1"/>
  <c r="J673" i="1" s="1"/>
  <c r="K673" i="1" s="1"/>
  <c r="I674" i="1"/>
  <c r="J674" i="1" s="1"/>
  <c r="K674" i="1" s="1"/>
  <c r="I675" i="1"/>
  <c r="J675" i="1" s="1"/>
  <c r="K675" i="1" s="1"/>
  <c r="I676" i="1"/>
  <c r="J676" i="1" s="1"/>
  <c r="K676" i="1" s="1"/>
  <c r="I677" i="1"/>
  <c r="J677" i="1" s="1"/>
  <c r="K677" i="1" s="1"/>
  <c r="I678" i="1"/>
  <c r="J678" i="1" s="1"/>
  <c r="K678" i="1" s="1"/>
  <c r="I679" i="1"/>
  <c r="J679" i="1" s="1"/>
  <c r="K679" i="1" s="1"/>
  <c r="I680" i="1"/>
  <c r="J680" i="1" s="1"/>
  <c r="K680" i="1" s="1"/>
  <c r="I681" i="1"/>
  <c r="J681" i="1" s="1"/>
  <c r="K681" i="1" s="1"/>
  <c r="I682" i="1"/>
  <c r="J682" i="1" s="1"/>
  <c r="K682" i="1" s="1"/>
  <c r="I683" i="1"/>
  <c r="J683" i="1" s="1"/>
  <c r="K683" i="1" s="1"/>
  <c r="I684" i="1"/>
  <c r="J684" i="1" s="1"/>
  <c r="K684" i="1" s="1"/>
  <c r="I685" i="1"/>
  <c r="J685" i="1" s="1"/>
  <c r="K685" i="1" s="1"/>
  <c r="I686" i="1"/>
  <c r="J686" i="1" s="1"/>
  <c r="K686" i="1" s="1"/>
  <c r="I687" i="1"/>
  <c r="J687" i="1" s="1"/>
  <c r="K687" i="1" s="1"/>
  <c r="I688" i="1"/>
  <c r="J688" i="1" s="1"/>
  <c r="K688" i="1" s="1"/>
  <c r="I689" i="1"/>
  <c r="J689" i="1" s="1"/>
  <c r="K689" i="1" s="1"/>
  <c r="I690" i="1"/>
  <c r="J690" i="1" s="1"/>
  <c r="K690" i="1" s="1"/>
  <c r="I691" i="1"/>
  <c r="J691" i="1" s="1"/>
  <c r="K691" i="1" s="1"/>
  <c r="I692" i="1"/>
  <c r="J692" i="1" s="1"/>
  <c r="K692" i="1" s="1"/>
  <c r="I693" i="1"/>
  <c r="J693" i="1" s="1"/>
  <c r="K693" i="1" s="1"/>
  <c r="I694" i="1"/>
  <c r="J694" i="1" s="1"/>
  <c r="K694" i="1" s="1"/>
  <c r="I695" i="1"/>
  <c r="J695" i="1" s="1"/>
  <c r="K695" i="1" s="1"/>
  <c r="I696" i="1"/>
  <c r="J696" i="1" s="1"/>
  <c r="K696" i="1" s="1"/>
  <c r="I697" i="1"/>
  <c r="J697" i="1" s="1"/>
  <c r="K697" i="1" s="1"/>
  <c r="I698" i="1"/>
  <c r="J698" i="1" s="1"/>
  <c r="K698" i="1" s="1"/>
  <c r="I699" i="1"/>
  <c r="J699" i="1" s="1"/>
  <c r="K699" i="1" s="1"/>
  <c r="I700" i="1"/>
  <c r="J700" i="1" s="1"/>
  <c r="K700" i="1" s="1"/>
  <c r="I701" i="1"/>
  <c r="J701" i="1" s="1"/>
  <c r="K701" i="1" s="1"/>
  <c r="I702" i="1"/>
  <c r="J702" i="1" s="1"/>
  <c r="K702" i="1" s="1"/>
  <c r="I703" i="1"/>
  <c r="J703" i="1" s="1"/>
  <c r="K703" i="1" s="1"/>
  <c r="I704" i="1"/>
  <c r="J704" i="1" s="1"/>
  <c r="K704" i="1" s="1"/>
  <c r="I705" i="1"/>
  <c r="J705" i="1" s="1"/>
  <c r="K705" i="1" s="1"/>
  <c r="I706" i="1"/>
  <c r="J706" i="1" s="1"/>
  <c r="K706" i="1" s="1"/>
  <c r="I707" i="1"/>
  <c r="J707" i="1" s="1"/>
  <c r="K707" i="1" s="1"/>
  <c r="I708" i="1"/>
  <c r="J708" i="1" s="1"/>
  <c r="K708" i="1" s="1"/>
  <c r="I709" i="1"/>
  <c r="J709" i="1" s="1"/>
  <c r="K709" i="1" s="1"/>
  <c r="I710" i="1"/>
  <c r="J710" i="1" s="1"/>
  <c r="K710" i="1" s="1"/>
  <c r="I711" i="1"/>
  <c r="J711" i="1" s="1"/>
  <c r="K711" i="1" s="1"/>
  <c r="I712" i="1"/>
  <c r="J712" i="1" s="1"/>
  <c r="K712" i="1" s="1"/>
  <c r="I713" i="1"/>
  <c r="J713" i="1" s="1"/>
  <c r="K713" i="1" s="1"/>
  <c r="I714" i="1"/>
  <c r="J714" i="1" s="1"/>
  <c r="K714" i="1" s="1"/>
  <c r="I715" i="1"/>
  <c r="J715" i="1" s="1"/>
  <c r="K715" i="1" s="1"/>
  <c r="I716" i="1"/>
  <c r="J716" i="1" s="1"/>
  <c r="K716" i="1" s="1"/>
  <c r="I717" i="1"/>
  <c r="J717" i="1" s="1"/>
  <c r="K717" i="1" s="1"/>
  <c r="I718" i="1"/>
  <c r="J718" i="1" s="1"/>
  <c r="K718" i="1" s="1"/>
  <c r="I719" i="1"/>
  <c r="J719" i="1" s="1"/>
  <c r="K719" i="1" s="1"/>
  <c r="I720" i="1"/>
  <c r="J720" i="1" s="1"/>
  <c r="K720" i="1" s="1"/>
  <c r="I721" i="1"/>
  <c r="J721" i="1" s="1"/>
  <c r="K721" i="1" s="1"/>
  <c r="I722" i="1"/>
  <c r="J722" i="1" s="1"/>
  <c r="K722" i="1" s="1"/>
  <c r="I723" i="1"/>
  <c r="J723" i="1" s="1"/>
  <c r="K723" i="1" s="1"/>
  <c r="I724" i="1"/>
  <c r="J724" i="1" s="1"/>
  <c r="K724" i="1" s="1"/>
  <c r="I725" i="1"/>
  <c r="J725" i="1" s="1"/>
  <c r="K725" i="1" s="1"/>
  <c r="I726" i="1"/>
  <c r="J726" i="1" s="1"/>
  <c r="K726" i="1" s="1"/>
  <c r="I727" i="1"/>
  <c r="J727" i="1" s="1"/>
  <c r="K727" i="1" s="1"/>
  <c r="I728" i="1"/>
  <c r="J728" i="1" s="1"/>
  <c r="K728" i="1" s="1"/>
  <c r="I729" i="1"/>
  <c r="J729" i="1" s="1"/>
  <c r="K729" i="1" s="1"/>
  <c r="I730" i="1"/>
  <c r="J730" i="1" s="1"/>
  <c r="K730" i="1" s="1"/>
  <c r="I731" i="1"/>
  <c r="J731" i="1" s="1"/>
  <c r="K731" i="1" s="1"/>
  <c r="I732" i="1"/>
  <c r="J732" i="1" s="1"/>
  <c r="K732" i="1" s="1"/>
  <c r="I733" i="1"/>
  <c r="J733" i="1" s="1"/>
  <c r="K733" i="1" s="1"/>
  <c r="I734" i="1"/>
  <c r="J734" i="1" s="1"/>
  <c r="K734" i="1" s="1"/>
  <c r="I735" i="1"/>
  <c r="J735" i="1" s="1"/>
  <c r="K735" i="1" s="1"/>
  <c r="I736" i="1"/>
  <c r="J736" i="1" s="1"/>
  <c r="K736" i="1" s="1"/>
  <c r="I737" i="1"/>
  <c r="J737" i="1" s="1"/>
  <c r="K737" i="1" s="1"/>
  <c r="I738" i="1"/>
  <c r="J738" i="1" s="1"/>
  <c r="K738" i="1" s="1"/>
  <c r="I739" i="1"/>
  <c r="J739" i="1" s="1"/>
  <c r="K739" i="1" s="1"/>
  <c r="I740" i="1"/>
  <c r="J740" i="1" s="1"/>
  <c r="K740" i="1" s="1"/>
  <c r="I741" i="1"/>
  <c r="J741" i="1" s="1"/>
  <c r="K741" i="1" s="1"/>
  <c r="I2" i="1"/>
  <c r="J2" i="1" s="1"/>
  <c r="K2" i="1" s="1"/>
</calcChain>
</file>

<file path=xl/sharedStrings.xml><?xml version="1.0" encoding="utf-8"?>
<sst xmlns="http://schemas.openxmlformats.org/spreadsheetml/2006/main" count="1491" uniqueCount="23">
  <si>
    <t>ID_DEMANDA</t>
  </si>
  <si>
    <t>SISTEMA</t>
  </si>
  <si>
    <t>TIPO_DEMANDA</t>
  </si>
  <si>
    <t>NUM_DEMANDA</t>
  </si>
  <si>
    <t>ANO_DEMANDA</t>
  </si>
  <si>
    <t>DAT_INICIAL_CLASSIFICACAO</t>
  </si>
  <si>
    <t>SIGAF</t>
  </si>
  <si>
    <t>MELHORIA PEQUENA</t>
  </si>
  <si>
    <t>DFe - Documento de Fiscalização Eletrônico</t>
  </si>
  <si>
    <t>SIMP</t>
  </si>
  <si>
    <t>CSA</t>
  </si>
  <si>
    <t>RENOVACALC</t>
  </si>
  <si>
    <t>I-SIMP (DPP)</t>
  </si>
  <si>
    <t>SRD - PR</t>
  </si>
  <si>
    <t>SRD - GLP</t>
  </si>
  <si>
    <t>MELHORIA MÉDIA</t>
  </si>
  <si>
    <t>BUG NÃO IMPEDITIVO</t>
  </si>
  <si>
    <t>BUG IMPEDITIVO</t>
  </si>
  <si>
    <t>DATA_INICIO_PREVISTA</t>
  </si>
  <si>
    <t>DATA_FIM_PREVISTA</t>
  </si>
  <si>
    <t>CLASSIFICACAO</t>
  </si>
  <si>
    <t>DATA_INICIO_REALIZADA</t>
  </si>
  <si>
    <t>DATA_FIM_REALIZADA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</si>
</sst>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3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14" fontId="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741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5"/>
  <cols>
    <col min="1" max="1" width="12.5703125" bestFit="1" customWidth="1"/>
    <col min="2" max="2" width="40.42578125" bestFit="1" customWidth="1"/>
    <col min="3" max="3" width="20.140625" bestFit="1" customWidth="1"/>
    <col min="4" max="4" width="15.140625" bestFit="1" customWidth="1"/>
    <col min="5" max="5" width="14.85546875" bestFit="1" customWidth="1"/>
    <col min="6" max="6" width="26.28515625" style="2" bestFit="1" customWidth="1"/>
    <col min="7" max="7" width="22.140625" style="2" bestFit="1" customWidth="1"/>
    <col min="8" max="8" width="21.5703125" style="2" bestFit="1" customWidth="1"/>
    <col min="9" max="9" width="22.42578125" bestFit="1" customWidth="1"/>
    <col min="10" max="10" width="18.85546875" bestFit="1" customWidth="1"/>
    <col min="11" max="11" width="14.42578125" bestFit="1" customWidth="1"/>
    <col min="24" max="24" width="0" hidden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21</v>
      </c>
      <c r="H1" s="2" t="s">
        <v>22</v>
      </c>
      <c r="I1" s="3" t="s">
        <v>18</v>
      </c>
      <c r="J1" s="2" t="s">
        <v>19</v>
      </c>
      <c r="K1" s="2" t="s">
        <v>20</v>
      </c>
      <c r="X1" s="4">
        <v>45292</v>
      </c>
    </row>
    <row r="2" spans="1:24">
      <c r="A2" s="1">
        <v>21285</v>
      </c>
      <c r="B2" t="s">
        <v>6</v>
      </c>
      <c r="C2" t="s">
        <v>7</v>
      </c>
      <c r="D2" s="1">
        <v>2197</v>
      </c>
      <c r="E2" s="1">
        <v>2025</v>
      </c>
      <c r="F2" s="2">
        <v>45966</v>
      </c>
      <c r="G2" s="2">
        <v>45967</v>
      </c>
      <c r="H2" s="2">
        <v>45972</v>
      </c>
      <c r="I2" s="2">
        <f>WORKDAY.INTL(F2,IF(OR(C2="MELHORIA PEQUENA",C2="MELHORIA MÉDIA"),3,1),1,ListaFeriados)</f>
        <v>45971</v>
      </c>
      <c r="J2" s="2">
        <f>WORKDAY.INTL(I2,IF(C2="MELHORIA MÉDIA",20,IF(OR(C2="MELHORIA PEQUENA",C2="BUG NÃO IMPEDITIVO"),5,2)),1,$X:$X)</f>
        <v>45978</v>
      </c>
      <c r="K2" t="str">
        <f>IF(H2&gt;J2,"ATRASO","NO PRAZO")</f>
        <v>NO PRAZO</v>
      </c>
      <c r="X2" s="4">
        <v>45334</v>
      </c>
    </row>
    <row r="3" spans="1:24">
      <c r="A3" s="1">
        <v>21346</v>
      </c>
      <c r="B3" t="s">
        <v>8</v>
      </c>
      <c r="C3" t="s">
        <v>7</v>
      </c>
      <c r="D3" s="1">
        <v>2258</v>
      </c>
      <c r="E3" s="1">
        <v>2025</v>
      </c>
      <c r="F3" s="2">
        <v>45975</v>
      </c>
      <c r="G3" s="2">
        <v>45978</v>
      </c>
      <c r="H3" s="2">
        <v>45980</v>
      </c>
      <c r="I3" s="2">
        <f>WORKDAY.INTL(F3,IF(OR(C3="MELHORIA PEQUENA",C3="MELHORIA MÉDIA"),3,1),1,ListaFeriados)</f>
        <v>45980</v>
      </c>
      <c r="J3" s="2">
        <f>WORKDAY.INTL(I3,IF(C3="MELHORIA MÉDIA",20,IF(OR(C3="MELHORIA PEQUENA",C3="BUG NÃO IMPEDITIVO"),5,2)),1,$X:$X)</f>
        <v>45988</v>
      </c>
      <c r="K3" t="str">
        <f>IF(H3&gt;J3,"ATRASO","NO PRAZO")</f>
        <v>NO PRAZO</v>
      </c>
      <c r="X3" s="4">
        <v>45335</v>
      </c>
    </row>
    <row r="4" spans="1:24">
      <c r="A4" s="1">
        <v>21347</v>
      </c>
      <c r="B4" t="s">
        <v>8</v>
      </c>
      <c r="C4" t="s">
        <v>7</v>
      </c>
      <c r="D4" s="1">
        <v>2259</v>
      </c>
      <c r="E4" s="1">
        <v>2025</v>
      </c>
      <c r="F4" s="2">
        <v>45975</v>
      </c>
      <c r="G4" s="2">
        <v>45978</v>
      </c>
      <c r="H4" s="2">
        <v>45980</v>
      </c>
      <c r="I4" s="2">
        <f>WORKDAY.INTL(F4,IF(OR(C4="MELHORIA PEQUENA",C4="MELHORIA MÉDIA"),3,1),1,ListaFeriados)</f>
        <v>45980</v>
      </c>
      <c r="J4" s="2">
        <f>WORKDAY.INTL(I4,IF(C4="MELHORIA MÉDIA",20,IF(OR(C4="MELHORIA PEQUENA",C4="BUG NÃO IMPEDITIVO"),5,2)),1,$X:$X)</f>
        <v>45988</v>
      </c>
      <c r="K4" t="str">
        <f>IF(H4&gt;J4,"ATRASO","NO PRAZO")</f>
        <v>NO PRAZO</v>
      </c>
      <c r="X4" s="4">
        <v>45380</v>
      </c>
    </row>
    <row r="5" spans="1:24">
      <c r="A5" s="1">
        <v>21693</v>
      </c>
      <c r="B5" t="s">
        <v>6</v>
      </c>
      <c r="C5" t="s">
        <v>7</v>
      </c>
      <c r="D5" s="1">
        <v>99</v>
      </c>
      <c r="E5" s="1">
        <v>2026</v>
      </c>
      <c r="F5" s="2">
        <v>46044</v>
      </c>
      <c r="G5" s="2">
        <v>46045</v>
      </c>
      <c r="H5" s="2">
        <v>46045</v>
      </c>
      <c r="I5" s="2">
        <f>WORKDAY.INTL(F5,IF(OR(C5="MELHORIA PEQUENA",C5="MELHORIA MÉDIA"),3,1),1,ListaFeriados)</f>
        <v>46049</v>
      </c>
      <c r="J5" s="2">
        <f>WORKDAY.INTL(I5,IF(C5="MELHORIA MÉDIA",20,IF(OR(C5="MELHORIA PEQUENA",C5="BUG NÃO IMPEDITIVO"),5,2)),1,$X:$X)</f>
        <v>46056</v>
      </c>
      <c r="K5" t="str">
        <f>IF(H5&gt;J5,"ATRASO","NO PRAZO")</f>
        <v>NO PRAZO</v>
      </c>
      <c r="X5" s="4">
        <v>45403</v>
      </c>
    </row>
    <row r="6" spans="1:24">
      <c r="A6" s="1">
        <v>21428</v>
      </c>
      <c r="B6" t="s">
        <v>6</v>
      </c>
      <c r="C6" t="s">
        <v>7</v>
      </c>
      <c r="D6" s="1">
        <v>2340</v>
      </c>
      <c r="E6" s="1">
        <v>2025</v>
      </c>
      <c r="F6" s="2">
        <v>45989</v>
      </c>
      <c r="G6" s="2">
        <v>45992</v>
      </c>
      <c r="H6" s="2">
        <v>45992</v>
      </c>
      <c r="I6" s="2">
        <f>WORKDAY.INTL(F6,IF(OR(C6="MELHORIA PEQUENA",C6="MELHORIA MÉDIA"),3,1),1,ListaFeriados)</f>
        <v>45994</v>
      </c>
      <c r="J6" s="2">
        <f>WORKDAY.INTL(I6,IF(C6="MELHORIA MÉDIA",20,IF(OR(C6="MELHORIA PEQUENA",C6="BUG NÃO IMPEDITIVO"),5,2)),1,$X:$X)</f>
        <v>46001</v>
      </c>
      <c r="K6" t="str">
        <f>IF(H6&gt;J6,"ATRASO","NO PRAZO")</f>
        <v>NO PRAZO</v>
      </c>
      <c r="X6" s="4">
        <v>45413</v>
      </c>
    </row>
    <row r="7" spans="1:24">
      <c r="A7" s="1">
        <v>22154</v>
      </c>
      <c r="B7" t="s">
        <v>9</v>
      </c>
      <c r="C7" t="s">
        <v>7</v>
      </c>
      <c r="D7" s="1">
        <v>560</v>
      </c>
      <c r="E7" s="1">
        <v>2026</v>
      </c>
      <c r="F7" s="2">
        <v>46121</v>
      </c>
      <c r="G7" s="2">
        <v>46125</v>
      </c>
      <c r="H7" s="2">
        <v>46128</v>
      </c>
      <c r="I7" s="2">
        <f>WORKDAY.INTL(F7,IF(OR(C7="MELHORIA PEQUENA",C7="MELHORIA MÉDIA"),3,1),1,ListaFeriados)</f>
        <v>46126</v>
      </c>
      <c r="J7" s="2">
        <f>WORKDAY.INTL(I7,IF(C7="MELHORIA MÉDIA",20,IF(OR(C7="MELHORIA PEQUENA",C7="BUG NÃO IMPEDITIVO"),5,2)),1,$X:$X)</f>
        <v>46134</v>
      </c>
      <c r="K7" t="str">
        <f>IF(H7&gt;J7,"ATRASO","NO PRAZO")</f>
        <v>NO PRAZO</v>
      </c>
      <c r="X7" s="4">
        <v>45442</v>
      </c>
    </row>
    <row r="8" spans="1:24">
      <c r="A8" s="1">
        <v>21852</v>
      </c>
      <c r="B8" t="s">
        <v>10</v>
      </c>
      <c r="C8" t="s">
        <v>7</v>
      </c>
      <c r="D8" s="1">
        <v>258</v>
      </c>
      <c r="E8" s="1">
        <v>2026</v>
      </c>
      <c r="F8" s="2">
        <v>46077</v>
      </c>
      <c r="G8" s="2">
        <v>46077</v>
      </c>
      <c r="H8" s="2">
        <v>46077</v>
      </c>
      <c r="I8" s="2">
        <f>WORKDAY.INTL(F8,IF(OR(C8="MELHORIA PEQUENA",C8="MELHORIA MÉDIA"),3,1),1,ListaFeriados)</f>
        <v>46080</v>
      </c>
      <c r="J8" s="2">
        <f>WORKDAY.INTL(I8,IF(C8="MELHORIA MÉDIA",20,IF(OR(C8="MELHORIA PEQUENA",C8="BUG NÃO IMPEDITIVO"),5,2)),1,$X:$X)</f>
        <v>46087</v>
      </c>
      <c r="K8" t="str">
        <f>IF(H8&gt;J8,"ATRASO","NO PRAZO")</f>
        <v>NO PRAZO</v>
      </c>
      <c r="X8" s="4">
        <v>45542</v>
      </c>
    </row>
    <row r="9" spans="1:24">
      <c r="A9" s="1">
        <v>22203</v>
      </c>
      <c r="B9" t="s">
        <v>6</v>
      </c>
      <c r="C9" t="s">
        <v>7</v>
      </c>
      <c r="D9" s="1">
        <v>609</v>
      </c>
      <c r="E9" s="1">
        <v>2026</v>
      </c>
      <c r="F9" s="2">
        <v>46128</v>
      </c>
      <c r="G9" s="2">
        <v>46140</v>
      </c>
      <c r="H9" s="2">
        <v>46140</v>
      </c>
      <c r="I9" s="2">
        <f>WORKDAY.INTL(F9,IF(OR(C9="MELHORIA PEQUENA",C9="MELHORIA MÉDIA"),3,1),1,ListaFeriados)</f>
        <v>46134</v>
      </c>
      <c r="J9" s="2">
        <f>WORKDAY.INTL(I9,IF(C9="MELHORIA MÉDIA",20,IF(OR(C9="MELHORIA PEQUENA",C9="BUG NÃO IMPEDITIVO"),5,2)),1,$X:$X)</f>
        <v>46142</v>
      </c>
      <c r="K9" t="str">
        <f>IF(H9&gt;J9,"ATRASO","NO PRAZO")</f>
        <v>NO PRAZO</v>
      </c>
      <c r="X9" s="4">
        <v>45577</v>
      </c>
    </row>
    <row r="10" spans="1:24">
      <c r="A10" s="1">
        <v>22204</v>
      </c>
      <c r="B10" t="s">
        <v>6</v>
      </c>
      <c r="C10" t="s">
        <v>7</v>
      </c>
      <c r="D10" s="1">
        <v>610</v>
      </c>
      <c r="E10" s="1">
        <v>2026</v>
      </c>
      <c r="F10" s="2">
        <v>46128</v>
      </c>
      <c r="G10" s="2">
        <v>46136</v>
      </c>
      <c r="H10" s="2">
        <v>46140</v>
      </c>
      <c r="I10" s="2">
        <f>WORKDAY.INTL(F10,IF(OR(C10="MELHORIA PEQUENA",C10="MELHORIA MÉDIA"),3,1),1,ListaFeriados)</f>
        <v>46134</v>
      </c>
      <c r="J10" s="2">
        <f>WORKDAY.INTL(I10,IF(C10="MELHORIA MÉDIA",20,IF(OR(C10="MELHORIA PEQUENA",C10="BUG NÃO IMPEDITIVO"),5,2)),1,$X:$X)</f>
        <v>46142</v>
      </c>
      <c r="K10" t="str">
        <f>IF(H10&gt;J10,"ATRASO","NO PRAZO")</f>
        <v>NO PRAZO</v>
      </c>
      <c r="X10" s="4">
        <v>45598</v>
      </c>
    </row>
    <row r="11" spans="1:24">
      <c r="A11" s="1">
        <v>21806</v>
      </c>
      <c r="B11" t="s">
        <v>6</v>
      </c>
      <c r="C11" t="s">
        <v>7</v>
      </c>
      <c r="D11" s="1">
        <v>212</v>
      </c>
      <c r="E11" s="1">
        <v>2026</v>
      </c>
      <c r="F11" s="2">
        <v>46063</v>
      </c>
      <c r="G11" s="2">
        <v>46073</v>
      </c>
      <c r="H11" s="2">
        <v>46076</v>
      </c>
      <c r="I11" s="2">
        <f>WORKDAY.INTL(F11,IF(OR(C11="MELHORIA PEQUENA",C11="MELHORIA MÉDIA"),3,1),1,ListaFeriados)</f>
        <v>46066</v>
      </c>
      <c r="J11" s="2">
        <f>WORKDAY.INTL(I11,IF(C11="MELHORIA MÉDIA",20,IF(OR(C11="MELHORIA PEQUENA",C11="BUG NÃO IMPEDITIVO"),5,2)),1,$X:$X)</f>
        <v>46077</v>
      </c>
      <c r="K11" t="str">
        <f>IF(H11&gt;J11,"ATRASO","NO PRAZO")</f>
        <v>NO PRAZO</v>
      </c>
      <c r="X11" s="4">
        <v>45611</v>
      </c>
    </row>
    <row r="12" spans="1:24">
      <c r="A12" s="1">
        <v>21442</v>
      </c>
      <c r="B12" t="s">
        <v>6</v>
      </c>
      <c r="C12" t="s">
        <v>7</v>
      </c>
      <c r="D12" s="1">
        <v>2354</v>
      </c>
      <c r="E12" s="1">
        <v>2025</v>
      </c>
      <c r="F12" s="2">
        <v>45993</v>
      </c>
      <c r="G12" s="2">
        <v>45993</v>
      </c>
      <c r="H12" s="2">
        <v>45994</v>
      </c>
      <c r="I12" s="2">
        <f>WORKDAY.INTL(F12,IF(OR(C12="MELHORIA PEQUENA",C12="MELHORIA MÉDIA"),3,1),1,ListaFeriados)</f>
        <v>45996</v>
      </c>
      <c r="J12" s="2">
        <f>WORKDAY.INTL(I12,IF(C12="MELHORIA MÉDIA",20,IF(OR(C12="MELHORIA PEQUENA",C12="BUG NÃO IMPEDITIVO"),5,2)),1,$X:$X)</f>
        <v>46003</v>
      </c>
      <c r="K12" t="str">
        <f>IF(H12&gt;J12,"ATRASO","NO PRAZO")</f>
        <v>NO PRAZO</v>
      </c>
      <c r="X12" s="4">
        <v>45651</v>
      </c>
    </row>
    <row r="13" spans="1:24">
      <c r="A13" s="1">
        <v>21602</v>
      </c>
      <c r="B13" t="s">
        <v>6</v>
      </c>
      <c r="C13" t="s">
        <v>7</v>
      </c>
      <c r="D13" s="1">
        <v>8</v>
      </c>
      <c r="E13" s="1">
        <v>2026</v>
      </c>
      <c r="F13" s="2">
        <v>46027</v>
      </c>
      <c r="G13" s="2">
        <v>46027</v>
      </c>
      <c r="H13" s="2">
        <v>46028</v>
      </c>
      <c r="I13" s="2">
        <f>WORKDAY.INTL(F13,IF(OR(C13="MELHORIA PEQUENA",C13="MELHORIA MÉDIA"),3,1),1,ListaFeriados)</f>
        <v>46030</v>
      </c>
      <c r="J13" s="2">
        <f>WORKDAY.INTL(I13,IF(C13="MELHORIA MÉDIA",20,IF(OR(C13="MELHORIA PEQUENA",C13="BUG NÃO IMPEDITIVO"),5,2)),1,$X:$X)</f>
        <v>46037</v>
      </c>
      <c r="K13" t="str">
        <f>IF(H13&gt;J13,"ATRASO","NO PRAZO")</f>
        <v>NO PRAZO</v>
      </c>
      <c r="X13" s="4">
        <v>45405</v>
      </c>
    </row>
    <row r="14" spans="1:24">
      <c r="A14" s="1">
        <v>22135</v>
      </c>
      <c r="B14" t="s">
        <v>9</v>
      </c>
      <c r="C14" t="s">
        <v>7</v>
      </c>
      <c r="D14" s="1">
        <v>541</v>
      </c>
      <c r="E14" s="1">
        <v>2026</v>
      </c>
      <c r="F14" s="2">
        <v>46119</v>
      </c>
      <c r="G14" s="2">
        <v>46120</v>
      </c>
      <c r="H14" s="2">
        <v>46122</v>
      </c>
      <c r="I14" s="2">
        <f>WORKDAY.INTL(F14,IF(OR(C14="MELHORIA PEQUENA",C14="MELHORIA MÉDIA"),3,1),1,ListaFeriados)</f>
        <v>46122</v>
      </c>
      <c r="J14" s="2">
        <f>WORKDAY.INTL(I14,IF(C14="MELHORIA MÉDIA",20,IF(OR(C14="MELHORIA PEQUENA",C14="BUG NÃO IMPEDITIVO"),5,2)),1,$X:$X)</f>
        <v>46129</v>
      </c>
      <c r="K14" t="str">
        <f>IF(H14&gt;J14,"ATRASO","NO PRAZO")</f>
        <v>NO PRAZO</v>
      </c>
      <c r="X14" s="4">
        <v>45581</v>
      </c>
    </row>
    <row r="15" spans="1:24">
      <c r="A15" s="1">
        <v>22152</v>
      </c>
      <c r="B15" t="s">
        <v>9</v>
      </c>
      <c r="C15" t="s">
        <v>7</v>
      </c>
      <c r="D15" s="1">
        <v>558</v>
      </c>
      <c r="E15" s="1">
        <v>2026</v>
      </c>
      <c r="F15" s="2">
        <v>46121</v>
      </c>
      <c r="G15" s="2">
        <v>46128</v>
      </c>
      <c r="H15" s="2">
        <v>46128</v>
      </c>
      <c r="I15" s="2">
        <f>WORKDAY.INTL(F15,IF(OR(C15="MELHORIA PEQUENA",C15="MELHORIA MÉDIA"),3,1),1,ListaFeriados)</f>
        <v>46126</v>
      </c>
      <c r="J15" s="2">
        <f>WORKDAY.INTL(I15,IF(C15="MELHORIA MÉDIA",20,IF(OR(C15="MELHORIA PEQUENA",C15="BUG NÃO IMPEDITIVO"),5,2)),1,$X:$X)</f>
        <v>46134</v>
      </c>
      <c r="K15" t="str">
        <f>IF(H15&gt;J15,"ATRASO","NO PRAZO")</f>
        <v>NO PRAZO</v>
      </c>
      <c r="X15" s="4">
        <v>45593</v>
      </c>
    </row>
    <row r="16" spans="1:24">
      <c r="A16" s="1">
        <v>22166</v>
      </c>
      <c r="B16" t="s">
        <v>6</v>
      </c>
      <c r="C16" t="s">
        <v>7</v>
      </c>
      <c r="D16" s="1">
        <v>572</v>
      </c>
      <c r="E16" s="1">
        <v>2026</v>
      </c>
      <c r="F16" s="2">
        <v>46125</v>
      </c>
      <c r="G16" s="2">
        <v>46126</v>
      </c>
      <c r="H16" s="2">
        <v>46128</v>
      </c>
      <c r="I16" s="2">
        <f>WORKDAY.INTL(F16,IF(OR(C16="MELHORIA PEQUENA",C16="MELHORIA MÉDIA"),3,1),1,ListaFeriados)</f>
        <v>46128</v>
      </c>
      <c r="J16" s="2">
        <f>WORKDAY.INTL(I16,IF(C16="MELHORIA MÉDIA",20,IF(OR(C16="MELHORIA PEQUENA",C16="BUG NÃO IMPEDITIVO"),5,2)),1,$X:$X)</f>
        <v>46139</v>
      </c>
      <c r="K16" t="str">
        <f>IF(H16&gt;J16,"ATRASO","NO PRAZO")</f>
        <v>NO PRAZO</v>
      </c>
      <c r="X16" s="4">
        <v>45616</v>
      </c>
    </row>
    <row r="17" spans="1:24">
      <c r="A17" s="1">
        <v>21599</v>
      </c>
      <c r="B17" t="s">
        <v>9</v>
      </c>
      <c r="C17" t="s">
        <v>7</v>
      </c>
      <c r="D17" s="1">
        <v>5</v>
      </c>
      <c r="E17" s="1">
        <v>2026</v>
      </c>
      <c r="F17" s="2">
        <v>46024</v>
      </c>
      <c r="G17" s="2">
        <v>46028</v>
      </c>
      <c r="H17" s="2">
        <v>46029</v>
      </c>
      <c r="I17" s="2">
        <f>WORKDAY.INTL(F17,IF(OR(C17="MELHORIA PEQUENA",C17="MELHORIA MÉDIA"),3,1),1,ListaFeriados)</f>
        <v>46029</v>
      </c>
      <c r="J17" s="2">
        <f>WORKDAY.INTL(I17,IF(C17="MELHORIA MÉDIA",20,IF(OR(C17="MELHORIA PEQUENA",C17="BUG NÃO IMPEDITIVO"),5,2)),1,$X:$X)</f>
        <v>46036</v>
      </c>
      <c r="K17" t="str">
        <f>IF(H17&gt;J17,"ATRASO","NO PRAZO")</f>
        <v>NO PRAZO</v>
      </c>
      <c r="X17" s="4">
        <v>45311</v>
      </c>
    </row>
    <row r="18" spans="1:24">
      <c r="A18" s="1">
        <v>21677</v>
      </c>
      <c r="B18" t="s">
        <v>11</v>
      </c>
      <c r="C18" t="s">
        <v>7</v>
      </c>
      <c r="D18" s="1">
        <v>83</v>
      </c>
      <c r="E18" s="1">
        <v>2026</v>
      </c>
      <c r="F18" s="2">
        <v>46038</v>
      </c>
      <c r="G18" s="2">
        <v>46041</v>
      </c>
      <c r="H18" s="2">
        <v>46043</v>
      </c>
      <c r="I18" s="2">
        <f>WORKDAY.INTL(F18,IF(OR(C18="MELHORIA PEQUENA",C18="MELHORIA MÉDIA"),3,1),1,ListaFeriados)</f>
        <v>46044</v>
      </c>
      <c r="J18" s="2">
        <f>WORKDAY.INTL(I18,IF(C18="MELHORIA MÉDIA",20,IF(OR(C18="MELHORIA PEQUENA",C18="BUG NÃO IMPEDITIVO"),5,2)),1,$X:$X)</f>
        <v>46051</v>
      </c>
      <c r="K18" t="str">
        <f>IF(H18&gt;J18,"ATRASO","NO PRAZO")</f>
        <v>NO PRAZO</v>
      </c>
      <c r="X18" s="4">
        <v>45352</v>
      </c>
    </row>
    <row r="19" spans="1:24">
      <c r="A19" s="1">
        <v>22004</v>
      </c>
      <c r="B19" t="s">
        <v>9</v>
      </c>
      <c r="C19" t="s">
        <v>7</v>
      </c>
      <c r="D19" s="1">
        <v>410</v>
      </c>
      <c r="E19" s="1">
        <v>2026</v>
      </c>
      <c r="F19" s="2">
        <v>46097</v>
      </c>
      <c r="G19" s="2">
        <v>46104</v>
      </c>
      <c r="H19" s="2">
        <v>46104</v>
      </c>
      <c r="I19" s="2">
        <f>WORKDAY.INTL(F19,IF(OR(C19="MELHORIA PEQUENA",C19="MELHORIA MÉDIA"),3,1),1,ListaFeriados)</f>
        <v>46100</v>
      </c>
      <c r="J19" s="2">
        <f>WORKDAY.INTL(I19,IF(C19="MELHORIA MÉDIA",20,IF(OR(C19="MELHORIA PEQUENA",C19="BUG NÃO IMPEDITIVO"),5,2)),1,$X:$X)</f>
        <v>46107</v>
      </c>
      <c r="K19" t="str">
        <f>IF(H19&gt;J19,"ATRASO","NO PRAZO")</f>
        <v>NO PRAZO</v>
      </c>
      <c r="X19" s="4">
        <v>45519</v>
      </c>
    </row>
    <row r="20" spans="1:24">
      <c r="A20" s="1">
        <v>21842</v>
      </c>
      <c r="B20" t="s">
        <v>9</v>
      </c>
      <c r="C20" t="s">
        <v>7</v>
      </c>
      <c r="D20" s="1">
        <v>248</v>
      </c>
      <c r="E20" s="1">
        <v>2026</v>
      </c>
      <c r="F20" s="2">
        <v>46073</v>
      </c>
      <c r="G20" s="2">
        <v>46076</v>
      </c>
      <c r="H20" s="2">
        <v>46076</v>
      </c>
      <c r="I20" s="2">
        <f>WORKDAY.INTL(F20,IF(OR(C20="MELHORIA PEQUENA",C20="MELHORIA MÉDIA"),3,1),1,ListaFeriados)</f>
        <v>46078</v>
      </c>
      <c r="J20" s="2">
        <f>WORKDAY.INTL(I20,IF(C20="MELHORIA MÉDIA",20,IF(OR(C20="MELHORIA PEQUENA",C20="BUG NÃO IMPEDITIVO"),5,2)),1,$X:$X)</f>
        <v>46085</v>
      </c>
      <c r="K20" t="str">
        <f>IF(H20&gt;J20,"ATRASO","NO PRAZO")</f>
        <v>NO PRAZO</v>
      </c>
      <c r="X20" s="4">
        <v>45658</v>
      </c>
    </row>
    <row r="21" spans="1:24">
      <c r="A21" s="1">
        <v>21899</v>
      </c>
      <c r="B21" t="s">
        <v>8</v>
      </c>
      <c r="C21" t="s">
        <v>7</v>
      </c>
      <c r="D21" s="1">
        <v>305</v>
      </c>
      <c r="E21" s="1">
        <v>2026</v>
      </c>
      <c r="F21" s="2">
        <v>46080</v>
      </c>
      <c r="G21" s="2">
        <v>46083</v>
      </c>
      <c r="H21" s="2">
        <v>46083</v>
      </c>
      <c r="I21" s="2">
        <f>WORKDAY.INTL(F21,IF(OR(C21="MELHORIA PEQUENA",C21="MELHORIA MÉDIA"),3,1),1,ListaFeriados)</f>
        <v>46085</v>
      </c>
      <c r="J21" s="2">
        <f>WORKDAY.INTL(I21,IF(C21="MELHORIA MÉDIA",20,IF(OR(C21="MELHORIA PEQUENA",C21="BUG NÃO IMPEDITIVO"),5,2)),1,$X:$X)</f>
        <v>46092</v>
      </c>
      <c r="K21" t="str">
        <f>IF(H21&gt;J21,"ATRASO","NO PRAZO")</f>
        <v>NO PRAZO</v>
      </c>
      <c r="X21" s="4">
        <v>45719</v>
      </c>
    </row>
    <row r="22" spans="1:24">
      <c r="A22" s="1">
        <v>21539</v>
      </c>
      <c r="B22" t="s">
        <v>8</v>
      </c>
      <c r="C22" t="s">
        <v>7</v>
      </c>
      <c r="D22" s="1">
        <v>2451</v>
      </c>
      <c r="E22" s="1">
        <v>2025</v>
      </c>
      <c r="F22" s="2">
        <v>46007</v>
      </c>
      <c r="G22" s="2">
        <v>46009</v>
      </c>
      <c r="H22" s="2">
        <v>46013</v>
      </c>
      <c r="I22" s="2">
        <f>WORKDAY.INTL(F22,IF(OR(C22="MELHORIA PEQUENA",C22="MELHORIA MÉDIA"),3,1),1,ListaFeriados)</f>
        <v>46010</v>
      </c>
      <c r="J22" s="2">
        <f>WORKDAY.INTL(I22,IF(C22="MELHORIA MÉDIA",20,IF(OR(C22="MELHORIA PEQUENA",C22="BUG NÃO IMPEDITIVO"),5,2)),1,$X:$X)</f>
        <v>46020</v>
      </c>
      <c r="K22" t="str">
        <f>IF(H22&gt;J22,"ATRASO","NO PRAZO")</f>
        <v>NO PRAZO</v>
      </c>
      <c r="X22" s="4">
        <v>45720</v>
      </c>
    </row>
    <row r="23" spans="1:24">
      <c r="A23" s="1">
        <v>21840</v>
      </c>
      <c r="B23" t="s">
        <v>6</v>
      </c>
      <c r="C23" t="s">
        <v>7</v>
      </c>
      <c r="D23" s="1">
        <v>246</v>
      </c>
      <c r="E23" s="1">
        <v>2026</v>
      </c>
      <c r="F23" s="2">
        <v>46073</v>
      </c>
      <c r="G23" s="2">
        <v>46077</v>
      </c>
      <c r="H23" s="2">
        <v>46078</v>
      </c>
      <c r="I23" s="2">
        <f>WORKDAY.INTL(F23,IF(OR(C23="MELHORIA PEQUENA",C23="MELHORIA MÉDIA"),3,1),1,ListaFeriados)</f>
        <v>46078</v>
      </c>
      <c r="J23" s="2">
        <f>WORKDAY.INTL(I23,IF(C23="MELHORIA MÉDIA",20,IF(OR(C23="MELHORIA PEQUENA",C23="BUG NÃO IMPEDITIVO"),5,2)),1,$X:$X)</f>
        <v>46085</v>
      </c>
      <c r="K23" t="str">
        <f>IF(H23&gt;J23,"ATRASO","NO PRAZO")</f>
        <v>NO PRAZO</v>
      </c>
      <c r="X23" s="4">
        <v>45765</v>
      </c>
    </row>
    <row r="24" spans="1:24">
      <c r="A24" s="1">
        <v>21543</v>
      </c>
      <c r="B24" t="s">
        <v>9</v>
      </c>
      <c r="C24" t="s">
        <v>7</v>
      </c>
      <c r="D24" s="1">
        <v>2455</v>
      </c>
      <c r="E24" s="1">
        <v>2025</v>
      </c>
      <c r="F24" s="2">
        <v>46007</v>
      </c>
      <c r="G24" s="2">
        <v>46010</v>
      </c>
      <c r="H24" s="2">
        <v>46010</v>
      </c>
      <c r="I24" s="2">
        <f>WORKDAY.INTL(F24,IF(OR(C24="MELHORIA PEQUENA",C24="MELHORIA MÉDIA"),3,1),1,ListaFeriados)</f>
        <v>46010</v>
      </c>
      <c r="J24" s="2">
        <f>WORKDAY.INTL(I24,IF(C24="MELHORIA MÉDIA",20,IF(OR(C24="MELHORIA PEQUENA",C24="BUG NÃO IMPEDITIVO"),5,2)),1,$X:$X)</f>
        <v>46020</v>
      </c>
      <c r="K24" t="str">
        <f>IF(H24&gt;J24,"ATRASO","NO PRAZO")</f>
        <v>NO PRAZO</v>
      </c>
      <c r="X24" s="4">
        <v>45768</v>
      </c>
    </row>
    <row r="25" spans="1:24">
      <c r="A25" s="1">
        <v>21392</v>
      </c>
      <c r="B25" t="s">
        <v>10</v>
      </c>
      <c r="C25" t="s">
        <v>7</v>
      </c>
      <c r="D25" s="1">
        <v>2304</v>
      </c>
      <c r="E25" s="1">
        <v>2025</v>
      </c>
      <c r="F25" s="2">
        <v>45982</v>
      </c>
      <c r="G25" s="2">
        <v>45989</v>
      </c>
      <c r="H25" s="2">
        <v>45989</v>
      </c>
      <c r="I25" s="2">
        <f>WORKDAY.INTL(F25,IF(OR(C25="MELHORIA PEQUENA",C25="MELHORIA MÉDIA"),3,1),1,ListaFeriados)</f>
        <v>45987</v>
      </c>
      <c r="J25" s="2">
        <f>WORKDAY.INTL(I25,IF(C25="MELHORIA MÉDIA",20,IF(OR(C25="MELHORIA PEQUENA",C25="BUG NÃO IMPEDITIVO"),5,2)),1,$X:$X)</f>
        <v>45994</v>
      </c>
      <c r="K25" t="str">
        <f>IF(H25&gt;J25,"ATRASO","NO PRAZO")</f>
        <v>NO PRAZO</v>
      </c>
      <c r="X25" s="4">
        <v>45778</v>
      </c>
    </row>
    <row r="26" spans="1:24">
      <c r="A26" s="1">
        <v>21892</v>
      </c>
      <c r="B26" t="s">
        <v>6</v>
      </c>
      <c r="C26" t="s">
        <v>7</v>
      </c>
      <c r="D26" s="1">
        <v>298</v>
      </c>
      <c r="E26" s="1">
        <v>2026</v>
      </c>
      <c r="F26" s="2">
        <v>46080</v>
      </c>
      <c r="G26" s="2">
        <v>46083</v>
      </c>
      <c r="H26" s="2">
        <v>46086</v>
      </c>
      <c r="I26" s="2">
        <f>WORKDAY.INTL(F26,IF(OR(C26="MELHORIA PEQUENA",C26="MELHORIA MÉDIA"),3,1),1,ListaFeriados)</f>
        <v>46085</v>
      </c>
      <c r="J26" s="2">
        <f>WORKDAY.INTL(I26,IF(C26="MELHORIA MÉDIA",20,IF(OR(C26="MELHORIA PEQUENA",C26="BUG NÃO IMPEDITIVO"),5,2)),1,$X:$X)</f>
        <v>46092</v>
      </c>
      <c r="K26" t="str">
        <f>IF(H26&gt;J26,"ATRASO","NO PRAZO")</f>
        <v>NO PRAZO</v>
      </c>
      <c r="X26" s="4">
        <v>45827</v>
      </c>
    </row>
    <row r="27" spans="1:24">
      <c r="A27" s="1">
        <v>21540</v>
      </c>
      <c r="B27" t="s">
        <v>10</v>
      </c>
      <c r="C27" t="s">
        <v>7</v>
      </c>
      <c r="D27" s="1">
        <v>2452</v>
      </c>
      <c r="E27" s="1">
        <v>2025</v>
      </c>
      <c r="F27" s="2">
        <v>46007</v>
      </c>
      <c r="G27" s="2">
        <v>46008</v>
      </c>
      <c r="H27" s="2">
        <v>46010</v>
      </c>
      <c r="I27" s="2">
        <f>WORKDAY.INTL(F27,IF(OR(C27="MELHORIA PEQUENA",C27="MELHORIA MÉDIA"),3,1),1,ListaFeriados)</f>
        <v>46010</v>
      </c>
      <c r="J27" s="2">
        <f>WORKDAY.INTL(I27,IF(C27="MELHORIA MÉDIA",20,IF(OR(C27="MELHORIA PEQUENA",C27="BUG NÃO IMPEDITIVO"),5,2)),1,$X:$X)</f>
        <v>46020</v>
      </c>
      <c r="K27" t="str">
        <f>IF(H27&gt;J27,"ATRASO","NO PRAZO")</f>
        <v>NO PRAZO</v>
      </c>
      <c r="X27" s="4">
        <v>45907</v>
      </c>
    </row>
    <row r="28" spans="1:24">
      <c r="A28" s="1">
        <v>21425</v>
      </c>
      <c r="B28" t="s">
        <v>9</v>
      </c>
      <c r="C28" t="s">
        <v>7</v>
      </c>
      <c r="D28" s="1">
        <v>2337</v>
      </c>
      <c r="E28" s="1">
        <v>2025</v>
      </c>
      <c r="F28" s="2">
        <v>45988</v>
      </c>
      <c r="G28" s="2">
        <v>45989</v>
      </c>
      <c r="H28" s="2">
        <v>45993</v>
      </c>
      <c r="I28" s="2">
        <f>WORKDAY.INTL(F28,IF(OR(C28="MELHORIA PEQUENA",C28="MELHORIA MÉDIA"),3,1),1,ListaFeriados)</f>
        <v>45993</v>
      </c>
      <c r="J28" s="2">
        <f>WORKDAY.INTL(I28,IF(C28="MELHORIA MÉDIA",20,IF(OR(C28="MELHORIA PEQUENA",C28="BUG NÃO IMPEDITIVO"),5,2)),1,$X:$X)</f>
        <v>46000</v>
      </c>
      <c r="K28" t="str">
        <f>IF(H28&gt;J28,"ATRASO","NO PRAZO")</f>
        <v>NO PRAZO</v>
      </c>
      <c r="X28" s="4">
        <v>45942</v>
      </c>
    </row>
    <row r="29" spans="1:24">
      <c r="A29" s="1">
        <v>21941</v>
      </c>
      <c r="B29" t="s">
        <v>6</v>
      </c>
      <c r="C29" t="s">
        <v>7</v>
      </c>
      <c r="D29" s="1">
        <v>347</v>
      </c>
      <c r="E29" s="1">
        <v>2026</v>
      </c>
      <c r="F29" s="2">
        <v>46087</v>
      </c>
      <c r="G29" s="2">
        <v>46087</v>
      </c>
      <c r="H29" s="2">
        <v>46091</v>
      </c>
      <c r="I29" s="2">
        <f>WORKDAY.INTL(F29,IF(OR(C29="MELHORIA PEQUENA",C29="MELHORIA MÉDIA"),3,1),1,ListaFeriados)</f>
        <v>46092</v>
      </c>
      <c r="J29" s="2">
        <f>WORKDAY.INTL(I29,IF(C29="MELHORIA MÉDIA",20,IF(OR(C29="MELHORIA PEQUENA",C29="BUG NÃO IMPEDITIVO"),5,2)),1,$X:$X)</f>
        <v>46099</v>
      </c>
      <c r="K29" t="str">
        <f>IF(H29&gt;J29,"ATRASO","NO PRAZO")</f>
        <v>NO PRAZO</v>
      </c>
      <c r="X29" s="4">
        <v>45963</v>
      </c>
    </row>
    <row r="30" spans="1:24">
      <c r="A30" s="1">
        <v>21940</v>
      </c>
      <c r="B30" t="s">
        <v>6</v>
      </c>
      <c r="C30" t="s">
        <v>7</v>
      </c>
      <c r="D30" s="1">
        <v>346</v>
      </c>
      <c r="E30" s="1">
        <v>2026</v>
      </c>
      <c r="F30" s="2">
        <v>46087</v>
      </c>
      <c r="G30" s="2">
        <v>46087</v>
      </c>
      <c r="H30" s="2">
        <v>46091</v>
      </c>
      <c r="I30" s="2">
        <f>WORKDAY.INTL(F30,IF(OR(C30="MELHORIA PEQUENA",C30="MELHORIA MÉDIA"),3,1),1,ListaFeriados)</f>
        <v>46092</v>
      </c>
      <c r="J30" s="2">
        <f>WORKDAY.INTL(I30,IF(C30="MELHORIA MÉDIA",20,IF(OR(C30="MELHORIA PEQUENA",C30="BUG NÃO IMPEDITIVO"),5,2)),1,$X:$X)</f>
        <v>46099</v>
      </c>
      <c r="K30" t="str">
        <f>IF(H30&gt;J30,"ATRASO","NO PRAZO")</f>
        <v>NO PRAZO</v>
      </c>
      <c r="X30" s="4">
        <v>45976</v>
      </c>
    </row>
    <row r="31" spans="1:24">
      <c r="A31" s="1">
        <v>21939</v>
      </c>
      <c r="B31" t="s">
        <v>6</v>
      </c>
      <c r="C31" t="s">
        <v>7</v>
      </c>
      <c r="D31" s="1">
        <v>345</v>
      </c>
      <c r="E31" s="1">
        <v>2026</v>
      </c>
      <c r="F31" s="2">
        <v>46087</v>
      </c>
      <c r="G31" s="2">
        <v>46087</v>
      </c>
      <c r="H31" s="2">
        <v>46091</v>
      </c>
      <c r="I31" s="2">
        <f>WORKDAY.INTL(F31,IF(OR(C31="MELHORIA PEQUENA",C31="MELHORIA MÉDIA"),3,1),1,ListaFeriados)</f>
        <v>46092</v>
      </c>
      <c r="J31" s="2">
        <f>WORKDAY.INTL(I31,IF(C31="MELHORIA MÉDIA",20,IF(OR(C31="MELHORIA PEQUENA",C31="BUG NÃO IMPEDITIVO"),5,2)),1,$X:$X)</f>
        <v>46099</v>
      </c>
      <c r="K31" t="str">
        <f>IF(H31&gt;J31,"ATRASO","NO PRAZO")</f>
        <v>NO PRAZO</v>
      </c>
      <c r="X31" s="4">
        <v>46016</v>
      </c>
    </row>
    <row r="32" spans="1:24">
      <c r="A32" s="1">
        <v>21351</v>
      </c>
      <c r="B32" t="s">
        <v>8</v>
      </c>
      <c r="C32" t="s">
        <v>7</v>
      </c>
      <c r="D32" s="1">
        <v>2263</v>
      </c>
      <c r="E32" s="1">
        <v>2025</v>
      </c>
      <c r="F32" s="2">
        <v>45975</v>
      </c>
      <c r="G32" s="2">
        <v>45978</v>
      </c>
      <c r="H32" s="2">
        <v>45980</v>
      </c>
      <c r="I32" s="2">
        <f>WORKDAY.INTL(F32,IF(OR(C32="MELHORIA PEQUENA",C32="MELHORIA MÉDIA"),3,1),1,ListaFeriados)</f>
        <v>45980</v>
      </c>
      <c r="J32" s="2">
        <f>WORKDAY.INTL(I32,IF(C32="MELHORIA MÉDIA",20,IF(OR(C32="MELHORIA PEQUENA",C32="BUG NÃO IMPEDITIVO"),5,2)),1,$X:$X)</f>
        <v>45988</v>
      </c>
      <c r="K32" t="str">
        <f>IF(H32&gt;J32,"ATRASO","NO PRAZO")</f>
        <v>NO PRAZO</v>
      </c>
      <c r="X32" s="4">
        <v>45770</v>
      </c>
    </row>
    <row r="33" spans="1:24">
      <c r="A33" s="1">
        <v>21653</v>
      </c>
      <c r="B33" t="s">
        <v>9</v>
      </c>
      <c r="C33" t="s">
        <v>7</v>
      </c>
      <c r="D33" s="1">
        <v>59</v>
      </c>
      <c r="E33" s="1">
        <v>2026</v>
      </c>
      <c r="F33" s="2">
        <v>46035</v>
      </c>
      <c r="G33" s="2">
        <v>46037</v>
      </c>
      <c r="H33" s="2">
        <v>46038</v>
      </c>
      <c r="I33" s="2">
        <f>WORKDAY.INTL(F33,IF(OR(C33="MELHORIA PEQUENA",C33="MELHORIA MÉDIA"),3,1),1,ListaFeriados)</f>
        <v>46038</v>
      </c>
      <c r="J33" s="2">
        <f>WORKDAY.INTL(I33,IF(C33="MELHORIA MÉDIA",20,IF(OR(C33="MELHORIA PEQUENA",C33="BUG NÃO IMPEDITIVO"),5,2)),1,$X:$X)</f>
        <v>46048</v>
      </c>
      <c r="K33" t="str">
        <f>IF(H33&gt;J33,"ATRASO","NO PRAZO")</f>
        <v>NO PRAZO</v>
      </c>
      <c r="X33" s="4">
        <v>45946</v>
      </c>
    </row>
    <row r="34" spans="1:24">
      <c r="A34" s="1">
        <v>22051</v>
      </c>
      <c r="B34" t="s">
        <v>6</v>
      </c>
      <c r="C34" t="s">
        <v>7</v>
      </c>
      <c r="D34" s="1">
        <v>457</v>
      </c>
      <c r="E34" s="1">
        <v>2026</v>
      </c>
      <c r="F34" s="2">
        <v>46105</v>
      </c>
      <c r="G34" s="2">
        <v>46106</v>
      </c>
      <c r="H34" s="2">
        <v>46106</v>
      </c>
      <c r="I34" s="2">
        <f>WORKDAY.INTL(F34,IF(OR(C34="MELHORIA PEQUENA",C34="MELHORIA MÉDIA"),3,1),1,ListaFeriados)</f>
        <v>46108</v>
      </c>
      <c r="J34" s="2">
        <f>WORKDAY.INTL(I34,IF(C34="MELHORIA MÉDIA",20,IF(OR(C34="MELHORIA PEQUENA",C34="BUG NÃO IMPEDITIVO"),5,2)),1,$X:$X)</f>
        <v>46118</v>
      </c>
      <c r="K34" t="str">
        <f>IF(H34&gt;J34,"ATRASO","NO PRAZO")</f>
        <v>NO PRAZO</v>
      </c>
      <c r="X34" s="4">
        <v>45958</v>
      </c>
    </row>
    <row r="35" spans="1:24">
      <c r="A35" s="1">
        <v>21617</v>
      </c>
      <c r="B35" t="s">
        <v>9</v>
      </c>
      <c r="C35" t="s">
        <v>7</v>
      </c>
      <c r="D35" s="1">
        <v>23</v>
      </c>
      <c r="E35" s="1">
        <v>2026</v>
      </c>
      <c r="F35" s="2">
        <v>46028</v>
      </c>
      <c r="G35" s="2">
        <v>46029</v>
      </c>
      <c r="H35" s="2">
        <v>46034</v>
      </c>
      <c r="I35" s="2">
        <f>WORKDAY.INTL(F35,IF(OR(C35="MELHORIA PEQUENA",C35="MELHORIA MÉDIA"),3,1),1,ListaFeriados)</f>
        <v>46031</v>
      </c>
      <c r="J35" s="2">
        <f>WORKDAY.INTL(I35,IF(C35="MELHORIA MÉDIA",20,IF(OR(C35="MELHORIA PEQUENA",C35="BUG NÃO IMPEDITIVO"),5,2)),1,$X:$X)</f>
        <v>46038</v>
      </c>
      <c r="K35" t="str">
        <f>IF(H35&gt;J35,"ATRASO","NO PRAZO")</f>
        <v>NO PRAZO</v>
      </c>
      <c r="X35" s="4">
        <v>45981</v>
      </c>
    </row>
    <row r="36" spans="1:24">
      <c r="A36" s="1">
        <v>21402</v>
      </c>
      <c r="B36" t="s">
        <v>8</v>
      </c>
      <c r="C36" t="s">
        <v>7</v>
      </c>
      <c r="D36" s="1">
        <v>2314</v>
      </c>
      <c r="E36" s="1">
        <v>2025</v>
      </c>
      <c r="F36" s="2">
        <v>45985</v>
      </c>
      <c r="G36" s="2">
        <v>45989</v>
      </c>
      <c r="H36" s="2">
        <v>45989</v>
      </c>
      <c r="I36" s="2">
        <f>WORKDAY.INTL(F36,IF(OR(C36="MELHORIA PEQUENA",C36="MELHORIA MÉDIA"),3,1),1,ListaFeriados)</f>
        <v>45988</v>
      </c>
      <c r="J36" s="2">
        <f>WORKDAY.INTL(I36,IF(C36="MELHORIA MÉDIA",20,IF(OR(C36="MELHORIA PEQUENA",C36="BUG NÃO IMPEDITIVO"),5,2)),1,$X:$X)</f>
        <v>45995</v>
      </c>
      <c r="K36" t="str">
        <f>IF(H36&gt;J36,"ATRASO","NO PRAZO")</f>
        <v>NO PRAZO</v>
      </c>
      <c r="X36" s="4">
        <v>45677</v>
      </c>
    </row>
    <row r="37" spans="1:24">
      <c r="A37" s="1">
        <v>22027</v>
      </c>
      <c r="B37" t="s">
        <v>8</v>
      </c>
      <c r="C37" t="s">
        <v>7</v>
      </c>
      <c r="D37" s="1">
        <v>433</v>
      </c>
      <c r="E37" s="1">
        <v>2026</v>
      </c>
      <c r="F37" s="2">
        <v>46100</v>
      </c>
      <c r="G37" s="2">
        <v>46101</v>
      </c>
      <c r="H37" s="2">
        <v>46106</v>
      </c>
      <c r="I37" s="2">
        <f>WORKDAY.INTL(F37,IF(OR(C37="MELHORIA PEQUENA",C37="MELHORIA MÉDIA"),3,1),1,ListaFeriados)</f>
        <v>46105</v>
      </c>
      <c r="J37" s="2">
        <f>WORKDAY.INTL(I37,IF(C37="MELHORIA MÉDIA",20,IF(OR(C37="MELHORIA PEQUENA",C37="BUG NÃO IMPEDITIVO"),5,2)),1,$X:$X)</f>
        <v>46112</v>
      </c>
      <c r="K37" t="str">
        <f>IF(H37&gt;J37,"ATRASO","NO PRAZO")</f>
        <v>NO PRAZO</v>
      </c>
      <c r="X37" s="4">
        <v>45717</v>
      </c>
    </row>
    <row r="38" spans="1:24">
      <c r="A38" s="1">
        <v>22017</v>
      </c>
      <c r="B38" t="s">
        <v>8</v>
      </c>
      <c r="C38" t="s">
        <v>7</v>
      </c>
      <c r="D38" s="1">
        <v>423</v>
      </c>
      <c r="E38" s="1">
        <v>2026</v>
      </c>
      <c r="F38" s="2">
        <v>46099</v>
      </c>
      <c r="G38" s="2">
        <v>46100</v>
      </c>
      <c r="H38" s="2">
        <v>46106</v>
      </c>
      <c r="I38" s="2">
        <f>WORKDAY.INTL(F38,IF(OR(C38="MELHORIA PEQUENA",C38="MELHORIA MÉDIA"),3,1),1,ListaFeriados)</f>
        <v>46104</v>
      </c>
      <c r="J38" s="2">
        <f>WORKDAY.INTL(I38,IF(C38="MELHORIA MÉDIA",20,IF(OR(C38="MELHORIA PEQUENA",C38="BUG NÃO IMPEDITIVO"),5,2)),1,$X:$X)</f>
        <v>46111</v>
      </c>
      <c r="K38" t="str">
        <f>IF(H38&gt;J38,"ATRASO","NO PRAZO")</f>
        <v>NO PRAZO</v>
      </c>
      <c r="X38" s="4">
        <v>45884</v>
      </c>
    </row>
    <row r="39" spans="1:24">
      <c r="A39" s="1">
        <v>21965</v>
      </c>
      <c r="B39" t="s">
        <v>8</v>
      </c>
      <c r="C39" t="s">
        <v>7</v>
      </c>
      <c r="D39" s="1">
        <v>371</v>
      </c>
      <c r="E39" s="1">
        <v>2026</v>
      </c>
      <c r="F39" s="2">
        <v>46092</v>
      </c>
      <c r="G39" s="2">
        <v>46094</v>
      </c>
      <c r="H39" s="2">
        <v>46098</v>
      </c>
      <c r="I39" s="2">
        <f>WORKDAY.INTL(F39,IF(OR(C39="MELHORIA PEQUENA",C39="MELHORIA MÉDIA"),3,1),1,ListaFeriados)</f>
        <v>46097</v>
      </c>
      <c r="J39" s="2">
        <f>WORKDAY.INTL(I39,IF(C39="MELHORIA MÉDIA",20,IF(OR(C39="MELHORIA PEQUENA",C39="BUG NÃO IMPEDITIVO"),5,2)),1,$X:$X)</f>
        <v>46104</v>
      </c>
      <c r="K39" t="str">
        <f>IF(H39&gt;J39,"ATRASO","NO PRAZO")</f>
        <v>NO PRAZO</v>
      </c>
      <c r="X39" s="4">
        <v>46023</v>
      </c>
    </row>
    <row r="40" spans="1:24">
      <c r="A40" s="1">
        <v>22162</v>
      </c>
      <c r="B40" t="s">
        <v>6</v>
      </c>
      <c r="C40" t="s">
        <v>7</v>
      </c>
      <c r="D40" s="1">
        <v>568</v>
      </c>
      <c r="E40" s="1">
        <v>2026</v>
      </c>
      <c r="F40" s="2">
        <v>46122</v>
      </c>
      <c r="G40" s="2">
        <v>46125</v>
      </c>
      <c r="H40" s="2">
        <v>46126</v>
      </c>
      <c r="I40" s="2">
        <f>WORKDAY.INTL(F40,IF(OR(C40="MELHORIA PEQUENA",C40="MELHORIA MÉDIA"),3,1),1,ListaFeriados)</f>
        <v>46127</v>
      </c>
      <c r="J40" s="2">
        <f>WORKDAY.INTL(I40,IF(C40="MELHORIA MÉDIA",20,IF(OR(C40="MELHORIA PEQUENA",C40="BUG NÃO IMPEDITIVO"),5,2)),1,$X:$X)</f>
        <v>46136</v>
      </c>
      <c r="K40" t="str">
        <f>IF(H40&gt;J40,"ATRASO","NO PRAZO")</f>
        <v>NO PRAZO</v>
      </c>
      <c r="X40" s="4">
        <v>46069</v>
      </c>
    </row>
    <row r="41" spans="1:24">
      <c r="A41" s="1">
        <v>22260</v>
      </c>
      <c r="B41" t="s">
        <v>9</v>
      </c>
      <c r="C41" t="s">
        <v>7</v>
      </c>
      <c r="D41" s="1">
        <v>666</v>
      </c>
      <c r="E41" s="1">
        <v>2026</v>
      </c>
      <c r="F41" s="2">
        <v>46139</v>
      </c>
      <c r="G41" s="2">
        <v>46141</v>
      </c>
      <c r="H41" s="2">
        <v>46142</v>
      </c>
      <c r="I41" s="2">
        <f>WORKDAY.INTL(F41,IF(OR(C41="MELHORIA PEQUENA",C41="MELHORIA MÉDIA"),3,1),1,ListaFeriados)</f>
        <v>46142</v>
      </c>
      <c r="J41" s="2">
        <f>WORKDAY.INTL(I41,IF(C41="MELHORIA MÉDIA",20,IF(OR(C41="MELHORIA PEQUENA",C41="BUG NÃO IMPEDITIVO"),5,2)),1,$X:$X)</f>
        <v>46150</v>
      </c>
      <c r="K41" t="str">
        <f>IF(H41&gt;J41,"ATRASO","NO PRAZO")</f>
        <v>NO PRAZO</v>
      </c>
      <c r="X41" s="4">
        <v>46070</v>
      </c>
    </row>
    <row r="42" spans="1:24">
      <c r="A42" s="1">
        <v>22265</v>
      </c>
      <c r="B42" t="s">
        <v>6</v>
      </c>
      <c r="C42" t="s">
        <v>7</v>
      </c>
      <c r="D42" s="1">
        <v>671</v>
      </c>
      <c r="E42" s="1">
        <v>2026</v>
      </c>
      <c r="F42" s="2">
        <v>46139</v>
      </c>
      <c r="G42" s="2">
        <v>46140</v>
      </c>
      <c r="H42" s="2">
        <v>46140</v>
      </c>
      <c r="I42" s="2">
        <f>WORKDAY.INTL(F42,IF(OR(C42="MELHORIA PEQUENA",C42="MELHORIA MÉDIA"),3,1),1,ListaFeriados)</f>
        <v>46142</v>
      </c>
      <c r="J42" s="2">
        <f>WORKDAY.INTL(I42,IF(C42="MELHORIA MÉDIA",20,IF(OR(C42="MELHORIA PEQUENA",C42="BUG NÃO IMPEDITIVO"),5,2)),1,$X:$X)</f>
        <v>46150</v>
      </c>
      <c r="K42" t="str">
        <f>IF(H42&gt;J42,"ATRASO","NO PRAZO")</f>
        <v>NO PRAZO</v>
      </c>
      <c r="X42" s="4">
        <v>46115</v>
      </c>
    </row>
    <row r="43" spans="1:24">
      <c r="A43" s="1">
        <v>22237</v>
      </c>
      <c r="B43" t="s">
        <v>6</v>
      </c>
      <c r="C43" t="s">
        <v>7</v>
      </c>
      <c r="D43" s="1">
        <v>643</v>
      </c>
      <c r="E43" s="1">
        <v>2026</v>
      </c>
      <c r="F43" s="2">
        <v>46135</v>
      </c>
      <c r="G43" s="2">
        <v>46141</v>
      </c>
      <c r="H43" s="2">
        <v>46142</v>
      </c>
      <c r="I43" s="2">
        <f>WORKDAY.INTL(F43,IF(OR(C43="MELHORIA PEQUENA",C43="MELHORIA MÉDIA"),3,1),1,ListaFeriados)</f>
        <v>46140</v>
      </c>
      <c r="J43" s="2">
        <f>WORKDAY.INTL(I43,IF(C43="MELHORIA MÉDIA",20,IF(OR(C43="MELHORIA PEQUENA",C43="BUG NÃO IMPEDITIVO"),5,2)),1,$X:$X)</f>
        <v>46148</v>
      </c>
      <c r="K43" t="str">
        <f>IF(H43&gt;J43,"ATRASO","NO PRAZO")</f>
        <v>NO PRAZO</v>
      </c>
      <c r="X43" s="4">
        <v>46133</v>
      </c>
    </row>
    <row r="44" spans="1:24">
      <c r="A44" s="1">
        <v>22236</v>
      </c>
      <c r="B44" t="s">
        <v>6</v>
      </c>
      <c r="C44" t="s">
        <v>7</v>
      </c>
      <c r="D44" s="1">
        <v>642</v>
      </c>
      <c r="E44" s="1">
        <v>2026</v>
      </c>
      <c r="F44" s="2">
        <v>46135</v>
      </c>
      <c r="G44" s="2">
        <v>46141</v>
      </c>
      <c r="H44" s="2">
        <v>46142</v>
      </c>
      <c r="I44" s="2">
        <f>WORKDAY.INTL(F44,IF(OR(C44="MELHORIA PEQUENA",C44="MELHORIA MÉDIA"),3,1),1,ListaFeriados)</f>
        <v>46140</v>
      </c>
      <c r="J44" s="2">
        <f>WORKDAY.INTL(I44,IF(C44="MELHORIA MÉDIA",20,IF(OR(C44="MELHORIA PEQUENA",C44="BUG NÃO IMPEDITIVO"),5,2)),1,$X:$X)</f>
        <v>46148</v>
      </c>
      <c r="K44" t="str">
        <f>IF(H44&gt;J44,"ATRASO","NO PRAZO")</f>
        <v>NO PRAZO</v>
      </c>
      <c r="X44" s="4">
        <v>46143</v>
      </c>
    </row>
    <row r="45" spans="1:24">
      <c r="A45" s="1">
        <v>21350</v>
      </c>
      <c r="B45" t="s">
        <v>8</v>
      </c>
      <c r="C45" t="s">
        <v>7</v>
      </c>
      <c r="D45" s="1">
        <v>2262</v>
      </c>
      <c r="E45" s="1">
        <v>2025</v>
      </c>
      <c r="F45" s="2">
        <v>45975</v>
      </c>
      <c r="G45" s="2">
        <v>45978</v>
      </c>
      <c r="H45" s="2">
        <v>45980</v>
      </c>
      <c r="I45" s="2">
        <f>WORKDAY.INTL(F45,IF(OR(C45="MELHORIA PEQUENA",C45="MELHORIA MÉDIA"),3,1),1,ListaFeriados)</f>
        <v>45980</v>
      </c>
      <c r="J45" s="2">
        <f>WORKDAY.INTL(I45,IF(C45="MELHORIA MÉDIA",20,IF(OR(C45="MELHORIA PEQUENA",C45="BUG NÃO IMPEDITIVO"),5,2)),1,$X:$X)</f>
        <v>45988</v>
      </c>
      <c r="K45" t="str">
        <f>IF(H45&gt;J45,"ATRASO","NO PRAZO")</f>
        <v>NO PRAZO</v>
      </c>
      <c r="X45" s="4">
        <v>46177</v>
      </c>
    </row>
    <row r="46" spans="1:24">
      <c r="A46" s="1">
        <v>22171</v>
      </c>
      <c r="B46" t="s">
        <v>11</v>
      </c>
      <c r="C46" t="s">
        <v>7</v>
      </c>
      <c r="D46" s="1">
        <v>577</v>
      </c>
      <c r="E46" s="1">
        <v>2026</v>
      </c>
      <c r="F46" s="2">
        <v>46125</v>
      </c>
      <c r="G46" s="2">
        <v>46134</v>
      </c>
      <c r="H46" s="2">
        <v>46134</v>
      </c>
      <c r="I46" s="2">
        <f>WORKDAY.INTL(F46,IF(OR(C46="MELHORIA PEQUENA",C46="MELHORIA MÉDIA"),3,1),1,ListaFeriados)</f>
        <v>46128</v>
      </c>
      <c r="J46" s="2">
        <f>WORKDAY.INTL(I46,IF(C46="MELHORIA MÉDIA",20,IF(OR(C46="MELHORIA PEQUENA",C46="BUG NÃO IMPEDITIVO"),5,2)),1,$X:$X)</f>
        <v>46139</v>
      </c>
      <c r="K46" t="str">
        <f>IF(H46&gt;J46,"ATRASO","NO PRAZO")</f>
        <v>NO PRAZO</v>
      </c>
      <c r="X46" s="4">
        <v>46272</v>
      </c>
    </row>
    <row r="47" spans="1:24">
      <c r="A47" s="1">
        <v>22047</v>
      </c>
      <c r="B47" t="s">
        <v>9</v>
      </c>
      <c r="C47" t="s">
        <v>7</v>
      </c>
      <c r="D47" s="1">
        <v>453</v>
      </c>
      <c r="E47" s="1">
        <v>2026</v>
      </c>
      <c r="F47" s="2">
        <v>46105</v>
      </c>
      <c r="G47" s="2">
        <v>46105</v>
      </c>
      <c r="H47" s="2">
        <v>46105</v>
      </c>
      <c r="I47" s="2">
        <f>WORKDAY.INTL(F47,IF(OR(C47="MELHORIA PEQUENA",C47="MELHORIA MÉDIA"),3,1),1,ListaFeriados)</f>
        <v>46108</v>
      </c>
      <c r="J47" s="2">
        <f>WORKDAY.INTL(I47,IF(C47="MELHORIA MÉDIA",20,IF(OR(C47="MELHORIA PEQUENA",C47="BUG NÃO IMPEDITIVO"),5,2)),1,$X:$X)</f>
        <v>46118</v>
      </c>
      <c r="K47" t="str">
        <f>IF(H47&gt;J47,"ATRASO","NO PRAZO")</f>
        <v>NO PRAZO</v>
      </c>
      <c r="X47" s="4">
        <v>46307</v>
      </c>
    </row>
    <row r="48" spans="1:24">
      <c r="A48" s="1">
        <v>22320</v>
      </c>
      <c r="B48" t="s">
        <v>12</v>
      </c>
      <c r="C48" t="s">
        <v>7</v>
      </c>
      <c r="D48" s="1">
        <v>726</v>
      </c>
      <c r="E48" s="1">
        <v>2026</v>
      </c>
      <c r="F48" s="2">
        <v>46146</v>
      </c>
      <c r="G48" s="2">
        <v>46146</v>
      </c>
      <c r="H48" s="2">
        <v>46146</v>
      </c>
      <c r="I48" s="2">
        <f>WORKDAY.INTL(F48,IF(OR(C48="MELHORIA PEQUENA",C48="MELHORIA MÉDIA"),3,1),1,ListaFeriados)</f>
        <v>46149</v>
      </c>
      <c r="J48" s="2">
        <f>WORKDAY.INTL(I48,IF(C48="MELHORIA MÉDIA",20,IF(OR(C48="MELHORIA PEQUENA",C48="BUG NÃO IMPEDITIVO"),5,2)),1,$X:$X)</f>
        <v>46156</v>
      </c>
      <c r="K48" t="str">
        <f>IF(H48&gt;J48,"ATRASO","NO PRAZO")</f>
        <v>NO PRAZO</v>
      </c>
      <c r="X48" s="4">
        <v>46328</v>
      </c>
    </row>
    <row r="49" spans="1:24">
      <c r="A49" s="1">
        <v>22113</v>
      </c>
      <c r="B49" t="s">
        <v>6</v>
      </c>
      <c r="C49" t="s">
        <v>7</v>
      </c>
      <c r="D49" s="1">
        <v>519</v>
      </c>
      <c r="E49" s="1">
        <v>2026</v>
      </c>
      <c r="F49" s="2">
        <v>46114</v>
      </c>
      <c r="G49" s="2">
        <v>46119</v>
      </c>
      <c r="H49" s="2">
        <v>46121</v>
      </c>
      <c r="I49" s="2">
        <f>WORKDAY.INTL(F49,IF(OR(C49="MELHORIA PEQUENA",C49="MELHORIA MÉDIA"),3,1),1,ListaFeriados)</f>
        <v>46120</v>
      </c>
      <c r="J49" s="2">
        <f>WORKDAY.INTL(I49,IF(C49="MELHORIA MÉDIA",20,IF(OR(C49="MELHORIA PEQUENA",C49="BUG NÃO IMPEDITIVO"),5,2)),1,$X:$X)</f>
        <v>46127</v>
      </c>
      <c r="K49" t="str">
        <f>IF(H49&gt;J49,"ATRASO","NO PRAZO")</f>
        <v>NO PRAZO</v>
      </c>
      <c r="X49" s="4">
        <v>46341</v>
      </c>
    </row>
    <row r="50" spans="1:24">
      <c r="A50" s="1">
        <v>21274</v>
      </c>
      <c r="B50" t="s">
        <v>8</v>
      </c>
      <c r="C50" t="s">
        <v>7</v>
      </c>
      <c r="D50" s="1">
        <v>2186</v>
      </c>
      <c r="E50" s="1">
        <v>2025</v>
      </c>
      <c r="F50" s="2">
        <v>45965</v>
      </c>
      <c r="G50" s="2">
        <v>45972</v>
      </c>
      <c r="H50" s="2">
        <v>45972</v>
      </c>
      <c r="I50" s="2">
        <f>WORKDAY.INTL(F50,IF(OR(C50="MELHORIA PEQUENA",C50="MELHORIA MÉDIA"),3,1),1,ListaFeriados)</f>
        <v>45968</v>
      </c>
      <c r="J50" s="2">
        <f>WORKDAY.INTL(I50,IF(C50="MELHORIA MÉDIA",20,IF(OR(C50="MELHORIA PEQUENA",C50="BUG NÃO IMPEDITIVO"),5,2)),1,$X:$X)</f>
        <v>45975</v>
      </c>
      <c r="K50" t="str">
        <f>IF(H50&gt;J50,"ATRASO","NO PRAZO")</f>
        <v>NO PRAZO</v>
      </c>
      <c r="X50" s="4">
        <v>46381</v>
      </c>
    </row>
    <row r="51" spans="1:24">
      <c r="A51" s="1">
        <v>21495</v>
      </c>
      <c r="B51" t="s">
        <v>6</v>
      </c>
      <c r="C51" t="s">
        <v>7</v>
      </c>
      <c r="D51" s="1">
        <v>2407</v>
      </c>
      <c r="E51" s="1">
        <v>2025</v>
      </c>
      <c r="F51" s="2">
        <v>46000</v>
      </c>
      <c r="G51" s="2">
        <v>46001</v>
      </c>
      <c r="H51" s="2">
        <v>46006</v>
      </c>
      <c r="I51" s="2">
        <f>WORKDAY.INTL(F51,IF(OR(C51="MELHORIA PEQUENA",C51="MELHORIA MÉDIA"),3,1),1,ListaFeriados)</f>
        <v>46003</v>
      </c>
      <c r="J51" s="2">
        <f>WORKDAY.INTL(I51,IF(C51="MELHORIA MÉDIA",20,IF(OR(C51="MELHORIA PEQUENA",C51="BUG NÃO IMPEDITIVO"),5,2)),1,$X:$X)</f>
        <v>46010</v>
      </c>
      <c r="K51" t="str">
        <f>IF(H51&gt;J51,"ATRASO","NO PRAZO")</f>
        <v>NO PRAZO</v>
      </c>
      <c r="X51" s="4">
        <v>46135</v>
      </c>
    </row>
    <row r="52" spans="1:24">
      <c r="A52" s="1">
        <v>22042</v>
      </c>
      <c r="B52" t="s">
        <v>13</v>
      </c>
      <c r="C52" t="s">
        <v>7</v>
      </c>
      <c r="D52" s="1">
        <v>448</v>
      </c>
      <c r="E52" s="1">
        <v>2026</v>
      </c>
      <c r="F52" s="2">
        <v>46104</v>
      </c>
      <c r="G52" s="2">
        <v>46104</v>
      </c>
      <c r="H52" s="2">
        <v>46105</v>
      </c>
      <c r="I52" s="2">
        <f>WORKDAY.INTL(F52,IF(OR(C52="MELHORIA PEQUENA",C52="MELHORIA MÉDIA"),3,1),1,ListaFeriados)</f>
        <v>46107</v>
      </c>
      <c r="J52" s="2">
        <f>WORKDAY.INTL(I52,IF(C52="MELHORIA MÉDIA",20,IF(OR(C52="MELHORIA PEQUENA",C52="BUG NÃO IMPEDITIVO"),5,2)),1,$X:$X)</f>
        <v>46114</v>
      </c>
      <c r="K52" t="str">
        <f>IF(H52&gt;J52,"ATRASO","NO PRAZO")</f>
        <v>NO PRAZO</v>
      </c>
      <c r="X52" s="4">
        <v>46311</v>
      </c>
    </row>
    <row r="53" spans="1:24">
      <c r="A53" s="1">
        <v>21348</v>
      </c>
      <c r="B53" t="s">
        <v>8</v>
      </c>
      <c r="C53" t="s">
        <v>7</v>
      </c>
      <c r="D53" s="1">
        <v>2260</v>
      </c>
      <c r="E53" s="1">
        <v>2025</v>
      </c>
      <c r="F53" s="2">
        <v>45975</v>
      </c>
      <c r="G53" s="2">
        <v>45978</v>
      </c>
      <c r="H53" s="2">
        <v>45980</v>
      </c>
      <c r="I53" s="2">
        <f>WORKDAY.INTL(F53,IF(OR(C53="MELHORIA PEQUENA",C53="MELHORIA MÉDIA"),3,1),1,ListaFeriados)</f>
        <v>45980</v>
      </c>
      <c r="J53" s="2">
        <f>WORKDAY.INTL(I53,IF(C53="MELHORIA MÉDIA",20,IF(OR(C53="MELHORIA PEQUENA",C53="BUG NÃO IMPEDITIVO"),5,2)),1,$X:$X)</f>
        <v>45988</v>
      </c>
      <c r="K53" t="str">
        <f>IF(H53&gt;J53,"ATRASO","NO PRAZO")</f>
        <v>NO PRAZO</v>
      </c>
      <c r="X53" s="4">
        <v>46323</v>
      </c>
    </row>
    <row r="54" spans="1:24">
      <c r="A54" s="1">
        <v>21403</v>
      </c>
      <c r="B54" t="s">
        <v>8</v>
      </c>
      <c r="C54" t="s">
        <v>7</v>
      </c>
      <c r="D54" s="1">
        <v>2315</v>
      </c>
      <c r="E54" s="1">
        <v>2025</v>
      </c>
      <c r="F54" s="2">
        <v>45985</v>
      </c>
      <c r="G54" s="2">
        <v>45989</v>
      </c>
      <c r="H54" s="2">
        <v>45989</v>
      </c>
      <c r="I54" s="2">
        <f>WORKDAY.INTL(F54,IF(OR(C54="MELHORIA PEQUENA",C54="MELHORIA MÉDIA"),3,1),1,ListaFeriados)</f>
        <v>45988</v>
      </c>
      <c r="J54" s="2">
        <f>WORKDAY.INTL(I54,IF(C54="MELHORIA MÉDIA",20,IF(OR(C54="MELHORIA PEQUENA",C54="BUG NÃO IMPEDITIVO"),5,2)),1,$X:$X)</f>
        <v>45995</v>
      </c>
      <c r="K54" t="str">
        <f>IF(H54&gt;J54,"ATRASO","NO PRAZO")</f>
        <v>NO PRAZO</v>
      </c>
      <c r="X54" s="4">
        <v>46346</v>
      </c>
    </row>
    <row r="55" spans="1:24">
      <c r="A55" s="1">
        <v>22210</v>
      </c>
      <c r="B55" t="s">
        <v>9</v>
      </c>
      <c r="C55" t="s">
        <v>7</v>
      </c>
      <c r="D55" s="1">
        <v>616</v>
      </c>
      <c r="E55" s="1">
        <v>2026</v>
      </c>
      <c r="F55" s="2">
        <v>46129</v>
      </c>
      <c r="G55" s="2">
        <v>46129</v>
      </c>
      <c r="H55" s="2">
        <v>46141</v>
      </c>
      <c r="I55" s="2">
        <f>WORKDAY.INTL(F55,IF(OR(C55="MELHORIA PEQUENA",C55="MELHORIA MÉDIA"),3,1),1,ListaFeriados)</f>
        <v>46136</v>
      </c>
      <c r="J55" s="2">
        <f>WORKDAY.INTL(I55,IF(C55="MELHORIA MÉDIA",20,IF(OR(C55="MELHORIA PEQUENA",C55="BUG NÃO IMPEDITIVO"),5,2)),1,$X:$X)</f>
        <v>46146</v>
      </c>
      <c r="K55" t="str">
        <f>IF(H55&gt;J55,"ATRASO","NO PRAZO")</f>
        <v>NO PRAZO</v>
      </c>
      <c r="X55" s="4">
        <v>46042</v>
      </c>
    </row>
    <row r="56" spans="1:24">
      <c r="A56" s="1">
        <v>22238</v>
      </c>
      <c r="B56" t="s">
        <v>6</v>
      </c>
      <c r="C56" t="s">
        <v>7</v>
      </c>
      <c r="D56" s="1">
        <v>644</v>
      </c>
      <c r="E56" s="1">
        <v>2026</v>
      </c>
      <c r="F56" s="2">
        <v>46135</v>
      </c>
      <c r="G56" s="2">
        <v>46142</v>
      </c>
      <c r="H56" s="2">
        <v>46142</v>
      </c>
      <c r="I56" s="2">
        <f>WORKDAY.INTL(F56,IF(OR(C56="MELHORIA PEQUENA",C56="MELHORIA MÉDIA"),3,1),1,ListaFeriados)</f>
        <v>46140</v>
      </c>
      <c r="J56" s="2">
        <f>WORKDAY.INTL(I56,IF(C56="MELHORIA MÉDIA",20,IF(OR(C56="MELHORIA PEQUENA",C56="BUG NÃO IMPEDITIVO"),5,2)),1,$X:$X)</f>
        <v>46148</v>
      </c>
      <c r="K56" t="str">
        <f>IF(H56&gt;J56,"ATRASO","NO PRAZO")</f>
        <v>NO PRAZO</v>
      </c>
      <c r="X56" s="4">
        <v>46082</v>
      </c>
    </row>
    <row r="57" spans="1:24">
      <c r="A57" s="1">
        <v>21601</v>
      </c>
      <c r="B57" t="s">
        <v>6</v>
      </c>
      <c r="C57" t="s">
        <v>7</v>
      </c>
      <c r="D57" s="1">
        <v>7</v>
      </c>
      <c r="E57" s="1">
        <v>2026</v>
      </c>
      <c r="F57" s="2">
        <v>46027</v>
      </c>
      <c r="G57" s="2">
        <v>46027</v>
      </c>
      <c r="H57" s="2">
        <v>46027</v>
      </c>
      <c r="I57" s="2">
        <f>WORKDAY.INTL(F57,IF(OR(C57="MELHORIA PEQUENA",C57="MELHORIA MÉDIA"),3,1),1,ListaFeriados)</f>
        <v>46030</v>
      </c>
      <c r="J57" s="2">
        <f>WORKDAY.INTL(I57,IF(C57="MELHORIA MÉDIA",20,IF(OR(C57="MELHORIA PEQUENA",C57="BUG NÃO IMPEDITIVO"),5,2)),1,$X:$X)</f>
        <v>46037</v>
      </c>
      <c r="K57" t="str">
        <f>IF(H57&gt;J57,"ATRASO","NO PRAZO")</f>
        <v>NO PRAZO</v>
      </c>
      <c r="X57" s="4">
        <v>46249</v>
      </c>
    </row>
    <row r="58" spans="1:24">
      <c r="A58" s="1">
        <v>21973</v>
      </c>
      <c r="B58" t="s">
        <v>8</v>
      </c>
      <c r="C58" t="s">
        <v>7</v>
      </c>
      <c r="D58" s="1">
        <v>379</v>
      </c>
      <c r="E58" s="1">
        <v>2026</v>
      </c>
      <c r="F58" s="2">
        <v>46093</v>
      </c>
      <c r="G58" s="2">
        <v>46098</v>
      </c>
      <c r="H58" s="2">
        <v>46098</v>
      </c>
      <c r="I58" s="2">
        <f>WORKDAY.INTL(F58,IF(OR(C58="MELHORIA PEQUENA",C58="MELHORIA MÉDIA"),3,1),1,ListaFeriados)</f>
        <v>46098</v>
      </c>
      <c r="J58" s="2">
        <f>WORKDAY.INTL(I58,IF(C58="MELHORIA MÉDIA",20,IF(OR(C58="MELHORIA PEQUENA",C58="BUG NÃO IMPEDITIVO"),5,2)),1,$X:$X)</f>
        <v>46105</v>
      </c>
      <c r="K58" t="str">
        <f>IF(H58&gt;J58,"ATRASO","NO PRAZO")</f>
        <v>NO PRAZO</v>
      </c>
    </row>
    <row r="59" spans="1:24">
      <c r="A59" s="1">
        <v>22191</v>
      </c>
      <c r="B59" t="s">
        <v>6</v>
      </c>
      <c r="C59" t="s">
        <v>7</v>
      </c>
      <c r="D59" s="1">
        <v>597</v>
      </c>
      <c r="E59" s="1">
        <v>2026</v>
      </c>
      <c r="F59" s="2">
        <v>46127</v>
      </c>
      <c r="G59" s="2">
        <v>46129</v>
      </c>
      <c r="H59" s="2">
        <v>46134</v>
      </c>
      <c r="I59" s="2">
        <f>WORKDAY.INTL(F59,IF(OR(C59="MELHORIA PEQUENA",C59="MELHORIA MÉDIA"),3,1),1,ListaFeriados)</f>
        <v>46132</v>
      </c>
      <c r="J59" s="2">
        <f>WORKDAY.INTL(I59,IF(C59="MELHORIA MÉDIA",20,IF(OR(C59="MELHORIA PEQUENA",C59="BUG NÃO IMPEDITIVO"),5,2)),1,$X:$X)</f>
        <v>46141</v>
      </c>
      <c r="K59" t="str">
        <f>IF(H59&gt;J59,"ATRASO","NO PRAZO")</f>
        <v>NO PRAZO</v>
      </c>
    </row>
    <row r="60" spans="1:24">
      <c r="A60" s="1">
        <v>21531</v>
      </c>
      <c r="B60" t="s">
        <v>6</v>
      </c>
      <c r="C60" t="s">
        <v>7</v>
      </c>
      <c r="D60" s="1">
        <v>2443</v>
      </c>
      <c r="E60" s="1">
        <v>2025</v>
      </c>
      <c r="F60" s="2">
        <v>46007</v>
      </c>
      <c r="G60" s="2">
        <v>46009</v>
      </c>
      <c r="H60" s="2">
        <v>46010</v>
      </c>
      <c r="I60" s="2">
        <f>WORKDAY.INTL(F60,IF(OR(C60="MELHORIA PEQUENA",C60="MELHORIA MÉDIA"),3,1),1,ListaFeriados)</f>
        <v>46010</v>
      </c>
      <c r="J60" s="2">
        <f>WORKDAY.INTL(I60,IF(C60="MELHORIA MÉDIA",20,IF(OR(C60="MELHORIA PEQUENA",C60="BUG NÃO IMPEDITIVO"),5,2)),1,$X:$X)</f>
        <v>46020</v>
      </c>
      <c r="K60" t="str">
        <f>IF(H60&gt;J60,"ATRASO","NO PRAZO")</f>
        <v>NO PRAZO</v>
      </c>
    </row>
    <row r="61" spans="1:24">
      <c r="A61" s="1">
        <v>21640</v>
      </c>
      <c r="B61" t="s">
        <v>6</v>
      </c>
      <c r="C61" t="s">
        <v>7</v>
      </c>
      <c r="D61" s="1">
        <v>46</v>
      </c>
      <c r="E61" s="1">
        <v>2026</v>
      </c>
      <c r="F61" s="2">
        <v>46031</v>
      </c>
      <c r="G61" s="2">
        <v>46034</v>
      </c>
      <c r="H61" s="2">
        <v>46034</v>
      </c>
      <c r="I61" s="2">
        <f>WORKDAY.INTL(F61,IF(OR(C61="MELHORIA PEQUENA",C61="MELHORIA MÉDIA"),3,1),1,ListaFeriados)</f>
        <v>46036</v>
      </c>
      <c r="J61" s="2">
        <f>WORKDAY.INTL(I61,IF(C61="MELHORIA MÉDIA",20,IF(OR(C61="MELHORIA PEQUENA",C61="BUG NÃO IMPEDITIVO"),5,2)),1,$X:$X)</f>
        <v>46044</v>
      </c>
      <c r="K61" t="str">
        <f>IF(H61&gt;J61,"ATRASO","NO PRAZO")</f>
        <v>NO PRAZO</v>
      </c>
    </row>
    <row r="62" spans="1:24">
      <c r="A62" s="1">
        <v>22180</v>
      </c>
      <c r="B62" t="s">
        <v>6</v>
      </c>
      <c r="C62" t="s">
        <v>7</v>
      </c>
      <c r="D62" s="1">
        <v>586</v>
      </c>
      <c r="E62" s="1">
        <v>2026</v>
      </c>
      <c r="F62" s="2">
        <v>46126</v>
      </c>
      <c r="G62" s="2">
        <v>46127</v>
      </c>
      <c r="H62" s="2">
        <v>46129</v>
      </c>
      <c r="I62" s="2">
        <f>WORKDAY.INTL(F62,IF(OR(C62="MELHORIA PEQUENA",C62="MELHORIA MÉDIA"),3,1),1,ListaFeriados)</f>
        <v>46129</v>
      </c>
      <c r="J62" s="2">
        <f>WORKDAY.INTL(I62,IF(C62="MELHORIA MÉDIA",20,IF(OR(C62="MELHORIA PEQUENA",C62="BUG NÃO IMPEDITIVO"),5,2)),1,$X:$X)</f>
        <v>46140</v>
      </c>
      <c r="K62" t="str">
        <f>IF(H62&gt;J62,"ATRASO","NO PRAZO")</f>
        <v>NO PRAZO</v>
      </c>
    </row>
    <row r="63" spans="1:24">
      <c r="A63" s="1">
        <v>22150</v>
      </c>
      <c r="B63" t="s">
        <v>13</v>
      </c>
      <c r="C63" t="s">
        <v>7</v>
      </c>
      <c r="D63" s="1">
        <v>556</v>
      </c>
      <c r="E63" s="1">
        <v>2026</v>
      </c>
      <c r="F63" s="2">
        <v>46121</v>
      </c>
      <c r="G63" s="2">
        <v>46121</v>
      </c>
      <c r="H63" s="2">
        <v>46122</v>
      </c>
      <c r="I63" s="2">
        <f>WORKDAY.INTL(F63,IF(OR(C63="MELHORIA PEQUENA",C63="MELHORIA MÉDIA"),3,1),1,ListaFeriados)</f>
        <v>46126</v>
      </c>
      <c r="J63" s="2">
        <f>WORKDAY.INTL(I63,IF(C63="MELHORIA MÉDIA",20,IF(OR(C63="MELHORIA PEQUENA",C63="BUG NÃO IMPEDITIVO"),5,2)),1,$X:$X)</f>
        <v>46134</v>
      </c>
      <c r="K63" t="str">
        <f>IF(H63&gt;J63,"ATRASO","NO PRAZO")</f>
        <v>NO PRAZO</v>
      </c>
    </row>
    <row r="64" spans="1:24">
      <c r="A64" s="1">
        <v>21968</v>
      </c>
      <c r="B64" t="s">
        <v>8</v>
      </c>
      <c r="C64" t="s">
        <v>7</v>
      </c>
      <c r="D64" s="1">
        <v>374</v>
      </c>
      <c r="E64" s="1">
        <v>2026</v>
      </c>
      <c r="F64" s="2">
        <v>46092</v>
      </c>
      <c r="G64" s="2">
        <v>46093</v>
      </c>
      <c r="H64" s="2">
        <v>46098</v>
      </c>
      <c r="I64" s="2">
        <f>WORKDAY.INTL(F64,IF(OR(C64="MELHORIA PEQUENA",C64="MELHORIA MÉDIA"),3,1),1,ListaFeriados)</f>
        <v>46097</v>
      </c>
      <c r="J64" s="2">
        <f>WORKDAY.INTL(I64,IF(C64="MELHORIA MÉDIA",20,IF(OR(C64="MELHORIA PEQUENA",C64="BUG NÃO IMPEDITIVO"),5,2)),1,$X:$X)</f>
        <v>46104</v>
      </c>
      <c r="K64" t="str">
        <f>IF(H64&gt;J64,"ATRASO","NO PRAZO")</f>
        <v>NO PRAZO</v>
      </c>
    </row>
    <row r="65" spans="1:11">
      <c r="A65" s="1">
        <v>22008</v>
      </c>
      <c r="B65" t="s">
        <v>9</v>
      </c>
      <c r="C65" t="s">
        <v>7</v>
      </c>
      <c r="D65" s="1">
        <v>414</v>
      </c>
      <c r="E65" s="1">
        <v>2026</v>
      </c>
      <c r="F65" s="2">
        <v>46098</v>
      </c>
      <c r="G65" s="2">
        <v>46099</v>
      </c>
      <c r="H65" s="2">
        <v>46105</v>
      </c>
      <c r="I65" s="2">
        <f>WORKDAY.INTL(F65,IF(OR(C65="MELHORIA PEQUENA",C65="MELHORIA MÉDIA"),3,1),1,ListaFeriados)</f>
        <v>46101</v>
      </c>
      <c r="J65" s="2">
        <f>WORKDAY.INTL(I65,IF(C65="MELHORIA MÉDIA",20,IF(OR(C65="MELHORIA PEQUENA",C65="BUG NÃO IMPEDITIVO"),5,2)),1,$X:$X)</f>
        <v>46108</v>
      </c>
      <c r="K65" t="str">
        <f>IF(H65&gt;J65,"ATRASO","NO PRAZO")</f>
        <v>NO PRAZO</v>
      </c>
    </row>
    <row r="66" spans="1:11">
      <c r="A66" s="1">
        <v>22070</v>
      </c>
      <c r="B66" t="s">
        <v>9</v>
      </c>
      <c r="C66" t="s">
        <v>7</v>
      </c>
      <c r="D66" s="1">
        <v>476</v>
      </c>
      <c r="E66" s="1">
        <v>2026</v>
      </c>
      <c r="F66" s="2">
        <v>46106</v>
      </c>
      <c r="G66" s="2">
        <v>46113</v>
      </c>
      <c r="H66" s="2">
        <v>46113</v>
      </c>
      <c r="I66" s="2">
        <f>WORKDAY.INTL(F66,IF(OR(C66="MELHORIA PEQUENA",C66="MELHORIA MÉDIA"),3,1),1,ListaFeriados)</f>
        <v>46111</v>
      </c>
      <c r="J66" s="2">
        <f>WORKDAY.INTL(I66,IF(C66="MELHORIA MÉDIA",20,IF(OR(C66="MELHORIA PEQUENA",C66="BUG NÃO IMPEDITIVO"),5,2)),1,$X:$X)</f>
        <v>46119</v>
      </c>
      <c r="K66" t="str">
        <f>IF(H66&gt;J66,"ATRASO","NO PRAZO")</f>
        <v>NO PRAZO</v>
      </c>
    </row>
    <row r="67" spans="1:11">
      <c r="A67" s="1">
        <v>21423</v>
      </c>
      <c r="B67" t="s">
        <v>9</v>
      </c>
      <c r="C67" t="s">
        <v>7</v>
      </c>
      <c r="D67" s="1">
        <v>2335</v>
      </c>
      <c r="E67" s="1">
        <v>2025</v>
      </c>
      <c r="F67" s="2">
        <v>45988</v>
      </c>
      <c r="G67" s="2">
        <v>45992</v>
      </c>
      <c r="H67" s="2">
        <v>45995</v>
      </c>
      <c r="I67" s="2">
        <f>WORKDAY.INTL(F67,IF(OR(C67="MELHORIA PEQUENA",C67="MELHORIA MÉDIA"),3,1),1,ListaFeriados)</f>
        <v>45993</v>
      </c>
      <c r="J67" s="2">
        <f>WORKDAY.INTL(I67,IF(C67="MELHORIA MÉDIA",20,IF(OR(C67="MELHORIA PEQUENA",C67="BUG NÃO IMPEDITIVO"),5,2)),1,$X:$X)</f>
        <v>46000</v>
      </c>
      <c r="K67" t="str">
        <f>IF(H67&gt;J67,"ATRASO","NO PRAZO")</f>
        <v>NO PRAZO</v>
      </c>
    </row>
    <row r="68" spans="1:11">
      <c r="A68" s="1">
        <v>21481</v>
      </c>
      <c r="B68" t="s">
        <v>8</v>
      </c>
      <c r="C68" t="s">
        <v>7</v>
      </c>
      <c r="D68" s="1">
        <v>2393</v>
      </c>
      <c r="E68" s="1">
        <v>2025</v>
      </c>
      <c r="F68" s="2">
        <v>45996</v>
      </c>
      <c r="G68" s="2">
        <v>46001</v>
      </c>
      <c r="H68" s="2">
        <v>46002</v>
      </c>
      <c r="I68" s="2">
        <f>WORKDAY.INTL(F68,IF(OR(C68="MELHORIA PEQUENA",C68="MELHORIA MÉDIA"),3,1),1,ListaFeriados)</f>
        <v>46001</v>
      </c>
      <c r="J68" s="2">
        <f>WORKDAY.INTL(I68,IF(C68="MELHORIA MÉDIA",20,IF(OR(C68="MELHORIA PEQUENA",C68="BUG NÃO IMPEDITIVO"),5,2)),1,$X:$X)</f>
        <v>46008</v>
      </c>
      <c r="K68" t="str">
        <f>IF(H68&gt;J68,"ATRASO","NO PRAZO")</f>
        <v>NO PRAZO</v>
      </c>
    </row>
    <row r="69" spans="1:11">
      <c r="A69" s="1">
        <v>21052</v>
      </c>
      <c r="B69" t="s">
        <v>10</v>
      </c>
      <c r="C69" t="s">
        <v>7</v>
      </c>
      <c r="D69" s="1">
        <v>1964</v>
      </c>
      <c r="E69" s="1">
        <v>2025</v>
      </c>
      <c r="F69" s="2">
        <v>45929</v>
      </c>
      <c r="G69" s="2">
        <v>45931</v>
      </c>
      <c r="H69" s="2">
        <v>45936</v>
      </c>
      <c r="I69" s="2">
        <f>WORKDAY.INTL(F69,IF(OR(C69="MELHORIA PEQUENA",C69="MELHORIA MÉDIA"),3,1),1,ListaFeriados)</f>
        <v>45932</v>
      </c>
      <c r="J69" s="2">
        <f>WORKDAY.INTL(I69,IF(C69="MELHORIA MÉDIA",20,IF(OR(C69="MELHORIA PEQUENA",C69="BUG NÃO IMPEDITIVO"),5,2)),1,$X:$X)</f>
        <v>45939</v>
      </c>
      <c r="K69" t="str">
        <f>IF(H69&gt;J69,"ATRASO","NO PRAZO")</f>
        <v>NO PRAZO</v>
      </c>
    </row>
    <row r="70" spans="1:11">
      <c r="A70" s="1">
        <v>19993</v>
      </c>
      <c r="B70" t="s">
        <v>6</v>
      </c>
      <c r="C70" t="s">
        <v>7</v>
      </c>
      <c r="D70" s="1">
        <v>905</v>
      </c>
      <c r="E70" s="1">
        <v>2025</v>
      </c>
      <c r="F70" s="2">
        <v>45804</v>
      </c>
      <c r="G70" s="2">
        <v>45806</v>
      </c>
      <c r="H70" s="2">
        <v>45811</v>
      </c>
      <c r="I70" s="2">
        <f>WORKDAY.INTL(F70,IF(OR(C70="MELHORIA PEQUENA",C70="MELHORIA MÉDIA"),3,1),1,ListaFeriados)</f>
        <v>45807</v>
      </c>
      <c r="J70" s="2">
        <f>WORKDAY.INTL(I70,IF(C70="MELHORIA MÉDIA",20,IF(OR(C70="MELHORIA PEQUENA",C70="BUG NÃO IMPEDITIVO"),5,2)),1,$X:$X)</f>
        <v>45814</v>
      </c>
      <c r="K70" t="str">
        <f>IF(H70&gt;J70,"ATRASO","NO PRAZO")</f>
        <v>NO PRAZO</v>
      </c>
    </row>
    <row r="71" spans="1:11">
      <c r="A71" s="1">
        <v>20340</v>
      </c>
      <c r="B71" t="s">
        <v>11</v>
      </c>
      <c r="C71" t="s">
        <v>7</v>
      </c>
      <c r="D71" s="1">
        <v>1252</v>
      </c>
      <c r="E71" s="1">
        <v>2025</v>
      </c>
      <c r="F71" s="2">
        <v>45855</v>
      </c>
      <c r="G71" s="2">
        <v>45855</v>
      </c>
      <c r="H71" s="2">
        <v>45860</v>
      </c>
      <c r="I71" s="2">
        <f>WORKDAY.INTL(F71,IF(OR(C71="MELHORIA PEQUENA",C71="MELHORIA MÉDIA"),3,1),1,ListaFeriados)</f>
        <v>45860</v>
      </c>
      <c r="J71" s="2">
        <f>WORKDAY.INTL(I71,IF(C71="MELHORIA MÉDIA",20,IF(OR(C71="MELHORIA PEQUENA",C71="BUG NÃO IMPEDITIVO"),5,2)),1,$X:$X)</f>
        <v>45867</v>
      </c>
      <c r="K71" t="str">
        <f>IF(H71&gt;J71,"ATRASO","NO PRAZO")</f>
        <v>NO PRAZO</v>
      </c>
    </row>
    <row r="72" spans="1:11">
      <c r="A72" s="1">
        <v>20333</v>
      </c>
      <c r="B72" t="s">
        <v>6</v>
      </c>
      <c r="C72" t="s">
        <v>7</v>
      </c>
      <c r="D72" s="1">
        <v>1245</v>
      </c>
      <c r="E72" s="1">
        <v>2025</v>
      </c>
      <c r="F72" s="2">
        <v>45855</v>
      </c>
      <c r="G72" s="2">
        <v>45863</v>
      </c>
      <c r="H72" s="2">
        <v>45863</v>
      </c>
      <c r="I72" s="2">
        <f>WORKDAY.INTL(F72,IF(OR(C72="MELHORIA PEQUENA",C72="MELHORIA MÉDIA"),3,1),1,ListaFeriados)</f>
        <v>45860</v>
      </c>
      <c r="J72" s="2">
        <f>WORKDAY.INTL(I72,IF(C72="MELHORIA MÉDIA",20,IF(OR(C72="MELHORIA PEQUENA",C72="BUG NÃO IMPEDITIVO"),5,2)),1,$X:$X)</f>
        <v>45867</v>
      </c>
      <c r="K72" t="str">
        <f>IF(H72&gt;J72,"ATRASO","NO PRAZO")</f>
        <v>NO PRAZO</v>
      </c>
    </row>
    <row r="73" spans="1:11">
      <c r="A73" s="1">
        <v>20649</v>
      </c>
      <c r="B73" t="s">
        <v>12</v>
      </c>
      <c r="C73" t="s">
        <v>7</v>
      </c>
      <c r="D73" s="1">
        <v>1561</v>
      </c>
      <c r="E73" s="1">
        <v>2025</v>
      </c>
      <c r="F73" s="2">
        <v>45901</v>
      </c>
      <c r="G73" s="2">
        <v>45901</v>
      </c>
      <c r="H73" s="2">
        <v>45901</v>
      </c>
      <c r="I73" s="2">
        <f>WORKDAY.INTL(F73,IF(OR(C73="MELHORIA PEQUENA",C73="MELHORIA MÉDIA"),3,1),1,ListaFeriados)</f>
        <v>45904</v>
      </c>
      <c r="J73" s="2">
        <f>WORKDAY.INTL(I73,IF(C73="MELHORIA MÉDIA",20,IF(OR(C73="MELHORIA PEQUENA",C73="BUG NÃO IMPEDITIVO"),5,2)),1,$X:$X)</f>
        <v>45911</v>
      </c>
      <c r="K73" t="str">
        <f>IF(H73&gt;J73,"ATRASO","NO PRAZO")</f>
        <v>NO PRAZO</v>
      </c>
    </row>
    <row r="74" spans="1:11">
      <c r="A74" s="1">
        <v>20391</v>
      </c>
      <c r="B74" t="s">
        <v>6</v>
      </c>
      <c r="C74" t="s">
        <v>7</v>
      </c>
      <c r="D74" s="1">
        <v>1303</v>
      </c>
      <c r="E74" s="1">
        <v>2025</v>
      </c>
      <c r="F74" s="2">
        <v>45861</v>
      </c>
      <c r="G74" s="2">
        <v>45862</v>
      </c>
      <c r="H74" s="2">
        <v>45863</v>
      </c>
      <c r="I74" s="2">
        <f>WORKDAY.INTL(F74,IF(OR(C74="MELHORIA PEQUENA",C74="MELHORIA MÉDIA"),3,1),1,ListaFeriados)</f>
        <v>45866</v>
      </c>
      <c r="J74" s="2">
        <f>WORKDAY.INTL(I74,IF(C74="MELHORIA MÉDIA",20,IF(OR(C74="MELHORIA PEQUENA",C74="BUG NÃO IMPEDITIVO"),5,2)),1,$X:$X)</f>
        <v>45873</v>
      </c>
      <c r="K74" t="str">
        <f>IF(H74&gt;J74,"ATRASO","NO PRAZO")</f>
        <v>NO PRAZO</v>
      </c>
    </row>
    <row r="75" spans="1:11">
      <c r="A75" s="1">
        <v>20101</v>
      </c>
      <c r="B75" t="s">
        <v>9</v>
      </c>
      <c r="C75" t="s">
        <v>7</v>
      </c>
      <c r="D75" s="1">
        <v>1013</v>
      </c>
      <c r="E75" s="1">
        <v>2025</v>
      </c>
      <c r="F75" s="2">
        <v>45820</v>
      </c>
      <c r="G75" s="2">
        <v>45821</v>
      </c>
      <c r="H75" s="2">
        <v>45824</v>
      </c>
      <c r="I75" s="2">
        <f>WORKDAY.INTL(F75,IF(OR(C75="MELHORIA PEQUENA",C75="MELHORIA MÉDIA"),3,1),1,ListaFeriados)</f>
        <v>45825</v>
      </c>
      <c r="J75" s="2">
        <f>WORKDAY.INTL(I75,IF(C75="MELHORIA MÉDIA",20,IF(OR(C75="MELHORIA PEQUENA",C75="BUG NÃO IMPEDITIVO"),5,2)),1,$X:$X)</f>
        <v>45833</v>
      </c>
      <c r="K75" t="str">
        <f>IF(H75&gt;J75,"ATRASO","NO PRAZO")</f>
        <v>NO PRAZO</v>
      </c>
    </row>
    <row r="76" spans="1:11">
      <c r="A76" s="1">
        <v>20470</v>
      </c>
      <c r="B76" t="s">
        <v>9</v>
      </c>
      <c r="C76" t="s">
        <v>7</v>
      </c>
      <c r="D76" s="1">
        <v>1382</v>
      </c>
      <c r="E76" s="1">
        <v>2025</v>
      </c>
      <c r="F76" s="2">
        <v>45875</v>
      </c>
      <c r="G76" s="2">
        <v>45877</v>
      </c>
      <c r="H76" s="2">
        <v>45881</v>
      </c>
      <c r="I76" s="2">
        <f>WORKDAY.INTL(F76,IF(OR(C76="MELHORIA PEQUENA",C76="MELHORIA MÉDIA"),3,1),1,ListaFeriados)</f>
        <v>45880</v>
      </c>
      <c r="J76" s="2">
        <f>WORKDAY.INTL(I76,IF(C76="MELHORIA MÉDIA",20,IF(OR(C76="MELHORIA PEQUENA",C76="BUG NÃO IMPEDITIVO"),5,2)),1,$X:$X)</f>
        <v>45888</v>
      </c>
      <c r="K76" t="str">
        <f>IF(H76&gt;J76,"ATRASO","NO PRAZO")</f>
        <v>NO PRAZO</v>
      </c>
    </row>
    <row r="77" spans="1:11">
      <c r="A77" s="1">
        <v>20394</v>
      </c>
      <c r="B77" t="s">
        <v>12</v>
      </c>
      <c r="C77" t="s">
        <v>7</v>
      </c>
      <c r="D77" s="1">
        <v>1306</v>
      </c>
      <c r="E77" s="1">
        <v>2025</v>
      </c>
      <c r="F77" s="2">
        <v>45862</v>
      </c>
      <c r="G77" s="2">
        <v>45863</v>
      </c>
      <c r="H77" s="2">
        <v>45863</v>
      </c>
      <c r="I77" s="2">
        <f>WORKDAY.INTL(F77,IF(OR(C77="MELHORIA PEQUENA",C77="MELHORIA MÉDIA"),3,1),1,ListaFeriados)</f>
        <v>45867</v>
      </c>
      <c r="J77" s="2">
        <f>WORKDAY.INTL(I77,IF(C77="MELHORIA MÉDIA",20,IF(OR(C77="MELHORIA PEQUENA",C77="BUG NÃO IMPEDITIVO"),5,2)),1,$X:$X)</f>
        <v>45874</v>
      </c>
      <c r="K77" t="str">
        <f>IF(H77&gt;J77,"ATRASO","NO PRAZO")</f>
        <v>NO PRAZO</v>
      </c>
    </row>
    <row r="78" spans="1:11">
      <c r="A78" s="1">
        <v>20592</v>
      </c>
      <c r="B78" t="s">
        <v>8</v>
      </c>
      <c r="C78" t="s">
        <v>7</v>
      </c>
      <c r="D78" s="1">
        <v>1504</v>
      </c>
      <c r="E78" s="1">
        <v>2025</v>
      </c>
      <c r="F78" s="2">
        <v>45891</v>
      </c>
      <c r="G78" s="2">
        <v>45894</v>
      </c>
      <c r="H78" s="2">
        <v>45897</v>
      </c>
      <c r="I78" s="2">
        <f>WORKDAY.INTL(F78,IF(OR(C78="MELHORIA PEQUENA",C78="MELHORIA MÉDIA"),3,1),1,ListaFeriados)</f>
        <v>45896</v>
      </c>
      <c r="J78" s="2">
        <f>WORKDAY.INTL(I78,IF(C78="MELHORIA MÉDIA",20,IF(OR(C78="MELHORIA PEQUENA",C78="BUG NÃO IMPEDITIVO"),5,2)),1,$X:$X)</f>
        <v>45903</v>
      </c>
      <c r="K78" t="str">
        <f>IF(H78&gt;J78,"ATRASO","NO PRAZO")</f>
        <v>NO PRAZO</v>
      </c>
    </row>
    <row r="79" spans="1:11">
      <c r="A79" s="1">
        <v>20386</v>
      </c>
      <c r="B79" t="s">
        <v>12</v>
      </c>
      <c r="C79" t="s">
        <v>7</v>
      </c>
      <c r="D79" s="1">
        <v>1298</v>
      </c>
      <c r="E79" s="1">
        <v>2025</v>
      </c>
      <c r="F79" s="2">
        <v>45860</v>
      </c>
      <c r="G79" s="2">
        <v>45862</v>
      </c>
      <c r="H79" s="2">
        <v>45862</v>
      </c>
      <c r="I79" s="2">
        <f>WORKDAY.INTL(F79,IF(OR(C79="MELHORIA PEQUENA",C79="MELHORIA MÉDIA"),3,1),1,ListaFeriados)</f>
        <v>45863</v>
      </c>
      <c r="J79" s="2">
        <f>WORKDAY.INTL(I79,IF(C79="MELHORIA MÉDIA",20,IF(OR(C79="MELHORIA PEQUENA",C79="BUG NÃO IMPEDITIVO"),5,2)),1,$X:$X)</f>
        <v>45870</v>
      </c>
      <c r="K79" t="str">
        <f>IF(H79&gt;J79,"ATRASO","NO PRAZO")</f>
        <v>NO PRAZO</v>
      </c>
    </row>
    <row r="80" spans="1:11">
      <c r="A80" s="1">
        <v>19963</v>
      </c>
      <c r="B80" t="s">
        <v>8</v>
      </c>
      <c r="C80" t="s">
        <v>7</v>
      </c>
      <c r="D80" s="1">
        <v>875</v>
      </c>
      <c r="E80" s="1">
        <v>2025</v>
      </c>
      <c r="F80" s="2">
        <v>45799</v>
      </c>
      <c r="G80" s="2">
        <v>45800</v>
      </c>
      <c r="H80" s="2">
        <v>45800</v>
      </c>
      <c r="I80" s="2">
        <f>WORKDAY.INTL(F80,IF(OR(C80="MELHORIA PEQUENA",C80="MELHORIA MÉDIA"),3,1),1,ListaFeriados)</f>
        <v>45804</v>
      </c>
      <c r="J80" s="2">
        <f>WORKDAY.INTL(I80,IF(C80="MELHORIA MÉDIA",20,IF(OR(C80="MELHORIA PEQUENA",C80="BUG NÃO IMPEDITIVO"),5,2)),1,$X:$X)</f>
        <v>45811</v>
      </c>
      <c r="K80" t="str">
        <f>IF(H80&gt;J80,"ATRASO","NO PRAZO")</f>
        <v>NO PRAZO</v>
      </c>
    </row>
    <row r="81" spans="1:11">
      <c r="A81" s="1">
        <v>20011</v>
      </c>
      <c r="B81" t="s">
        <v>6</v>
      </c>
      <c r="C81" t="s">
        <v>7</v>
      </c>
      <c r="D81" s="1">
        <v>923</v>
      </c>
      <c r="E81" s="1">
        <v>2025</v>
      </c>
      <c r="F81" s="2">
        <v>45806</v>
      </c>
      <c r="G81" s="2">
        <v>45807</v>
      </c>
      <c r="H81" s="2">
        <v>45811</v>
      </c>
      <c r="I81" s="2">
        <f>WORKDAY.INTL(F81,IF(OR(C81="MELHORIA PEQUENA",C81="MELHORIA MÉDIA"),3,1),1,ListaFeriados)</f>
        <v>45811</v>
      </c>
      <c r="J81" s="2">
        <f>WORKDAY.INTL(I81,IF(C81="MELHORIA MÉDIA",20,IF(OR(C81="MELHORIA PEQUENA",C81="BUG NÃO IMPEDITIVO"),5,2)),1,$X:$X)</f>
        <v>45818</v>
      </c>
      <c r="K81" t="str">
        <f>IF(H81&gt;J81,"ATRASO","NO PRAZO")</f>
        <v>NO PRAZO</v>
      </c>
    </row>
    <row r="82" spans="1:11">
      <c r="A82" s="1">
        <v>20234</v>
      </c>
      <c r="B82" t="s">
        <v>8</v>
      </c>
      <c r="C82" t="s">
        <v>7</v>
      </c>
      <c r="D82" s="1">
        <v>1146</v>
      </c>
      <c r="E82" s="1">
        <v>2025</v>
      </c>
      <c r="F82" s="2">
        <v>45841</v>
      </c>
      <c r="G82" s="2">
        <v>45846</v>
      </c>
      <c r="H82" s="2">
        <v>45847</v>
      </c>
      <c r="I82" s="2">
        <f>WORKDAY.INTL(F82,IF(OR(C82="MELHORIA PEQUENA",C82="MELHORIA MÉDIA"),3,1),1,ListaFeriados)</f>
        <v>45846</v>
      </c>
      <c r="J82" s="2">
        <f>WORKDAY.INTL(I82,IF(C82="MELHORIA MÉDIA",20,IF(OR(C82="MELHORIA PEQUENA",C82="BUG NÃO IMPEDITIVO"),5,2)),1,$X:$X)</f>
        <v>45853</v>
      </c>
      <c r="K82" t="str">
        <f>IF(H82&gt;J82,"ATRASO","NO PRAZO")</f>
        <v>NO PRAZO</v>
      </c>
    </row>
    <row r="83" spans="1:11">
      <c r="A83" s="1">
        <v>20612</v>
      </c>
      <c r="B83" t="s">
        <v>13</v>
      </c>
      <c r="C83" t="s">
        <v>7</v>
      </c>
      <c r="D83" s="1">
        <v>1524</v>
      </c>
      <c r="E83" s="1">
        <v>2025</v>
      </c>
      <c r="F83" s="2">
        <v>45895</v>
      </c>
      <c r="G83" s="2">
        <v>45895</v>
      </c>
      <c r="H83" s="2">
        <v>45897</v>
      </c>
      <c r="I83" s="2">
        <f>WORKDAY.INTL(F83,IF(OR(C83="MELHORIA PEQUENA",C83="MELHORIA MÉDIA"),3,1),1,ListaFeriados)</f>
        <v>45898</v>
      </c>
      <c r="J83" s="2">
        <f>WORKDAY.INTL(I83,IF(C83="MELHORIA MÉDIA",20,IF(OR(C83="MELHORIA PEQUENA",C83="BUG NÃO IMPEDITIVO"),5,2)),1,$X:$X)</f>
        <v>45905</v>
      </c>
      <c r="K83" t="str">
        <f>IF(H83&gt;J83,"ATRASO","NO PRAZO")</f>
        <v>NO PRAZO</v>
      </c>
    </row>
    <row r="84" spans="1:11">
      <c r="A84" s="1">
        <v>20921</v>
      </c>
      <c r="B84" t="s">
        <v>12</v>
      </c>
      <c r="C84" t="s">
        <v>7</v>
      </c>
      <c r="D84" s="1">
        <v>1833</v>
      </c>
      <c r="E84" s="1">
        <v>2025</v>
      </c>
      <c r="F84" s="2">
        <v>45910</v>
      </c>
      <c r="G84" s="2">
        <v>45910</v>
      </c>
      <c r="H84" s="2">
        <v>45911</v>
      </c>
      <c r="I84" s="2">
        <f>WORKDAY.INTL(F84,IF(OR(C84="MELHORIA PEQUENA",C84="MELHORIA MÉDIA"),3,1),1,ListaFeriados)</f>
        <v>45915</v>
      </c>
      <c r="J84" s="2">
        <f>WORKDAY.INTL(I84,IF(C84="MELHORIA MÉDIA",20,IF(OR(C84="MELHORIA PEQUENA",C84="BUG NÃO IMPEDITIVO"),5,2)),1,$X:$X)</f>
        <v>45922</v>
      </c>
      <c r="K84" t="str">
        <f>IF(H84&gt;J84,"ATRASO","NO PRAZO")</f>
        <v>NO PRAZO</v>
      </c>
    </row>
    <row r="85" spans="1:11">
      <c r="A85" s="1">
        <v>20269</v>
      </c>
      <c r="B85" t="s">
        <v>6</v>
      </c>
      <c r="C85" t="s">
        <v>7</v>
      </c>
      <c r="D85" s="1">
        <v>1181</v>
      </c>
      <c r="E85" s="1">
        <v>2025</v>
      </c>
      <c r="F85" s="2">
        <v>45848</v>
      </c>
      <c r="G85" s="2">
        <v>45848</v>
      </c>
      <c r="H85" s="2">
        <v>45852</v>
      </c>
      <c r="I85" s="2">
        <f>WORKDAY.INTL(F85,IF(OR(C85="MELHORIA PEQUENA",C85="MELHORIA MÉDIA"),3,1),1,ListaFeriados)</f>
        <v>45853</v>
      </c>
      <c r="J85" s="2">
        <f>WORKDAY.INTL(I85,IF(C85="MELHORIA MÉDIA",20,IF(OR(C85="MELHORIA PEQUENA",C85="BUG NÃO IMPEDITIVO"),5,2)),1,$X:$X)</f>
        <v>45860</v>
      </c>
      <c r="K85" t="str">
        <f>IF(H85&gt;J85,"ATRASO","NO PRAZO")</f>
        <v>NO PRAZO</v>
      </c>
    </row>
    <row r="86" spans="1:11">
      <c r="A86" s="1">
        <v>20941</v>
      </c>
      <c r="B86" t="s">
        <v>6</v>
      </c>
      <c r="C86" t="s">
        <v>7</v>
      </c>
      <c r="D86" s="1">
        <v>1853</v>
      </c>
      <c r="E86" s="1">
        <v>2025</v>
      </c>
      <c r="F86" s="2">
        <v>45912</v>
      </c>
      <c r="G86" s="2">
        <v>45912</v>
      </c>
      <c r="H86" s="2">
        <v>45916</v>
      </c>
      <c r="I86" s="2">
        <f>WORKDAY.INTL(F86,IF(OR(C86="MELHORIA PEQUENA",C86="MELHORIA MÉDIA"),3,1),1,ListaFeriados)</f>
        <v>45917</v>
      </c>
      <c r="J86" s="2">
        <f>WORKDAY.INTL(I86,IF(C86="MELHORIA MÉDIA",20,IF(OR(C86="MELHORIA PEQUENA",C86="BUG NÃO IMPEDITIVO"),5,2)),1,$X:$X)</f>
        <v>45924</v>
      </c>
      <c r="K86" t="str">
        <f>IF(H86&gt;J86,"ATRASO","NO PRAZO")</f>
        <v>NO PRAZO</v>
      </c>
    </row>
    <row r="87" spans="1:11">
      <c r="A87" s="1">
        <v>20018</v>
      </c>
      <c r="B87" t="s">
        <v>8</v>
      </c>
      <c r="C87" t="s">
        <v>7</v>
      </c>
      <c r="D87" s="1">
        <v>930</v>
      </c>
      <c r="E87" s="1">
        <v>2025</v>
      </c>
      <c r="F87" s="2">
        <v>45807</v>
      </c>
      <c r="G87" s="2">
        <v>45810</v>
      </c>
      <c r="H87" s="2">
        <v>45811</v>
      </c>
      <c r="I87" s="2">
        <f>WORKDAY.INTL(F87,IF(OR(C87="MELHORIA PEQUENA",C87="MELHORIA MÉDIA"),3,1),1,ListaFeriados)</f>
        <v>45812</v>
      </c>
      <c r="J87" s="2">
        <f>WORKDAY.INTL(I87,IF(C87="MELHORIA MÉDIA",20,IF(OR(C87="MELHORIA PEQUENA",C87="BUG NÃO IMPEDITIVO"),5,2)),1,$X:$X)</f>
        <v>45819</v>
      </c>
      <c r="K87" t="str">
        <f>IF(H87&gt;J87,"ATRASO","NO PRAZO")</f>
        <v>NO PRAZO</v>
      </c>
    </row>
    <row r="88" spans="1:11">
      <c r="A88" s="1">
        <v>20934</v>
      </c>
      <c r="B88" t="s">
        <v>12</v>
      </c>
      <c r="C88" t="s">
        <v>7</v>
      </c>
      <c r="D88" s="1">
        <v>1846</v>
      </c>
      <c r="E88" s="1">
        <v>2025</v>
      </c>
      <c r="F88" s="2">
        <v>45911</v>
      </c>
      <c r="G88" s="2">
        <v>45911</v>
      </c>
      <c r="H88" s="2">
        <v>45918</v>
      </c>
      <c r="I88" s="2">
        <f>WORKDAY.INTL(F88,IF(OR(C88="MELHORIA PEQUENA",C88="MELHORIA MÉDIA"),3,1),1,ListaFeriados)</f>
        <v>45916</v>
      </c>
      <c r="J88" s="2">
        <f>WORKDAY.INTL(I88,IF(C88="MELHORIA MÉDIA",20,IF(OR(C88="MELHORIA PEQUENA",C88="BUG NÃO IMPEDITIVO"),5,2)),1,$X:$X)</f>
        <v>45923</v>
      </c>
      <c r="K88" t="str">
        <f>IF(H88&gt;J88,"ATRASO","NO PRAZO")</f>
        <v>NO PRAZO</v>
      </c>
    </row>
    <row r="89" spans="1:11">
      <c r="A89" s="1">
        <v>20967</v>
      </c>
      <c r="B89" t="s">
        <v>8</v>
      </c>
      <c r="C89" t="s">
        <v>7</v>
      </c>
      <c r="D89" s="1">
        <v>1879</v>
      </c>
      <c r="E89" s="1">
        <v>2025</v>
      </c>
      <c r="F89" s="2">
        <v>45916</v>
      </c>
      <c r="G89" s="2">
        <v>45917</v>
      </c>
      <c r="H89" s="2">
        <v>45918</v>
      </c>
      <c r="I89" s="2">
        <f>WORKDAY.INTL(F89,IF(OR(C89="MELHORIA PEQUENA",C89="MELHORIA MÉDIA"),3,1),1,ListaFeriados)</f>
        <v>45919</v>
      </c>
      <c r="J89" s="2">
        <f>WORKDAY.INTL(I89,IF(C89="MELHORIA MÉDIA",20,IF(OR(C89="MELHORIA PEQUENA",C89="BUG NÃO IMPEDITIVO"),5,2)),1,$X:$X)</f>
        <v>45926</v>
      </c>
      <c r="K89" t="str">
        <f>IF(H89&gt;J89,"ATRASO","NO PRAZO")</f>
        <v>NO PRAZO</v>
      </c>
    </row>
    <row r="90" spans="1:11">
      <c r="A90" s="1">
        <v>19566</v>
      </c>
      <c r="B90" t="s">
        <v>9</v>
      </c>
      <c r="C90" t="s">
        <v>7</v>
      </c>
      <c r="D90" s="1">
        <v>478</v>
      </c>
      <c r="E90" s="1">
        <v>2025</v>
      </c>
      <c r="F90" s="2">
        <v>45735</v>
      </c>
      <c r="G90" s="2">
        <v>45736</v>
      </c>
      <c r="H90" s="2">
        <v>45742</v>
      </c>
      <c r="I90" s="2">
        <f>WORKDAY.INTL(F90,IF(OR(C90="MELHORIA PEQUENA",C90="MELHORIA MÉDIA"),3,1),1,ListaFeriados)</f>
        <v>45740</v>
      </c>
      <c r="J90" s="2">
        <f>WORKDAY.INTL(I90,IF(C90="MELHORIA MÉDIA",20,IF(OR(C90="MELHORIA PEQUENA",C90="BUG NÃO IMPEDITIVO"),5,2)),1,$X:$X)</f>
        <v>45747</v>
      </c>
      <c r="K90" t="str">
        <f>IF(H90&gt;J90,"ATRASO","NO PRAZO")</f>
        <v>NO PRAZO</v>
      </c>
    </row>
    <row r="91" spans="1:11">
      <c r="A91" s="1">
        <v>20029</v>
      </c>
      <c r="B91" t="s">
        <v>8</v>
      </c>
      <c r="C91" t="s">
        <v>7</v>
      </c>
      <c r="D91" s="1">
        <v>941</v>
      </c>
      <c r="E91" s="1">
        <v>2025</v>
      </c>
      <c r="F91" s="2">
        <v>45811</v>
      </c>
      <c r="G91" s="2">
        <v>45812</v>
      </c>
      <c r="H91" s="2">
        <v>45814</v>
      </c>
      <c r="I91" s="2">
        <f>WORKDAY.INTL(F91,IF(OR(C91="MELHORIA PEQUENA",C91="MELHORIA MÉDIA"),3,1),1,ListaFeriados)</f>
        <v>45814</v>
      </c>
      <c r="J91" s="2">
        <f>WORKDAY.INTL(I91,IF(C91="MELHORIA MÉDIA",20,IF(OR(C91="MELHORIA PEQUENA",C91="BUG NÃO IMPEDITIVO"),5,2)),1,$X:$X)</f>
        <v>45821</v>
      </c>
      <c r="K91" t="str">
        <f>IF(H91&gt;J91,"ATRASO","NO PRAZO")</f>
        <v>NO PRAZO</v>
      </c>
    </row>
    <row r="92" spans="1:11">
      <c r="A92" s="1">
        <v>20502</v>
      </c>
      <c r="B92" t="s">
        <v>6</v>
      </c>
      <c r="C92" t="s">
        <v>7</v>
      </c>
      <c r="D92" s="1">
        <v>1414</v>
      </c>
      <c r="E92" s="1">
        <v>2025</v>
      </c>
      <c r="F92" s="2">
        <v>45880</v>
      </c>
      <c r="G92" s="2">
        <v>45882</v>
      </c>
      <c r="H92" s="2">
        <v>45882</v>
      </c>
      <c r="I92" s="2">
        <f>WORKDAY.INTL(F92,IF(OR(C92="MELHORIA PEQUENA",C92="MELHORIA MÉDIA"),3,1),1,ListaFeriados)</f>
        <v>45883</v>
      </c>
      <c r="J92" s="2">
        <f>WORKDAY.INTL(I92,IF(C92="MELHORIA MÉDIA",20,IF(OR(C92="MELHORIA PEQUENA",C92="BUG NÃO IMPEDITIVO"),5,2)),1,$X:$X)</f>
        <v>45891</v>
      </c>
      <c r="K92" t="str">
        <f>IF(H92&gt;J92,"ATRASO","NO PRAZO")</f>
        <v>NO PRAZO</v>
      </c>
    </row>
    <row r="93" spans="1:11">
      <c r="A93" s="1">
        <v>20242</v>
      </c>
      <c r="B93" t="s">
        <v>10</v>
      </c>
      <c r="C93" t="s">
        <v>7</v>
      </c>
      <c r="D93" s="1">
        <v>1154</v>
      </c>
      <c r="E93" s="1">
        <v>2025</v>
      </c>
      <c r="F93" s="2">
        <v>45842</v>
      </c>
      <c r="G93" s="2">
        <v>45842</v>
      </c>
      <c r="H93" s="2">
        <v>45847</v>
      </c>
      <c r="I93" s="2">
        <f>WORKDAY.INTL(F93,IF(OR(C93="MELHORIA PEQUENA",C93="MELHORIA MÉDIA"),3,1),1,ListaFeriados)</f>
        <v>45847</v>
      </c>
      <c r="J93" s="2">
        <f>WORKDAY.INTL(I93,IF(C93="MELHORIA MÉDIA",20,IF(OR(C93="MELHORIA PEQUENA",C93="BUG NÃO IMPEDITIVO"),5,2)),1,$X:$X)</f>
        <v>45854</v>
      </c>
      <c r="K93" t="str">
        <f>IF(H93&gt;J93,"ATRASO","NO PRAZO")</f>
        <v>NO PRAZO</v>
      </c>
    </row>
    <row r="94" spans="1:11">
      <c r="A94" s="1">
        <v>21218</v>
      </c>
      <c r="B94" t="s">
        <v>9</v>
      </c>
      <c r="C94" t="s">
        <v>7</v>
      </c>
      <c r="D94" s="1">
        <v>2130</v>
      </c>
      <c r="E94" s="1">
        <v>2025</v>
      </c>
      <c r="F94" s="2">
        <v>45954</v>
      </c>
      <c r="G94" s="2">
        <v>45961</v>
      </c>
      <c r="H94" s="2">
        <v>45961</v>
      </c>
      <c r="I94" s="2">
        <f>WORKDAY.INTL(F94,IF(OR(C94="MELHORIA PEQUENA",C94="MELHORIA MÉDIA"),3,1),1,ListaFeriados)</f>
        <v>45960</v>
      </c>
      <c r="J94" s="2">
        <f>WORKDAY.INTL(I94,IF(C94="MELHORIA MÉDIA",20,IF(OR(C94="MELHORIA PEQUENA",C94="BUG NÃO IMPEDITIVO"),5,2)),1,$X:$X)</f>
        <v>45967</v>
      </c>
      <c r="K94" t="str">
        <f>IF(H94&gt;J94,"ATRASO","NO PRAZO")</f>
        <v>NO PRAZO</v>
      </c>
    </row>
    <row r="95" spans="1:11">
      <c r="A95" s="1">
        <v>20109</v>
      </c>
      <c r="B95" t="s">
        <v>11</v>
      </c>
      <c r="C95" t="s">
        <v>7</v>
      </c>
      <c r="D95" s="1">
        <v>1021</v>
      </c>
      <c r="E95" s="1">
        <v>2025</v>
      </c>
      <c r="F95" s="2">
        <v>45824</v>
      </c>
      <c r="G95" s="2">
        <v>45824</v>
      </c>
      <c r="H95" s="2">
        <v>45825</v>
      </c>
      <c r="I95" s="2">
        <f>WORKDAY.INTL(F95,IF(OR(C95="MELHORIA PEQUENA",C95="MELHORIA MÉDIA"),3,1),1,ListaFeriados)</f>
        <v>45828</v>
      </c>
      <c r="J95" s="2">
        <f>WORKDAY.INTL(I95,IF(C95="MELHORIA MÉDIA",20,IF(OR(C95="MELHORIA PEQUENA",C95="BUG NÃO IMPEDITIVO"),5,2)),1,$X:$X)</f>
        <v>45835</v>
      </c>
      <c r="K95" t="str">
        <f>IF(H95&gt;J95,"ATRASO","NO PRAZO")</f>
        <v>NO PRAZO</v>
      </c>
    </row>
    <row r="96" spans="1:11">
      <c r="A96" s="1">
        <v>21095</v>
      </c>
      <c r="B96" t="s">
        <v>9</v>
      </c>
      <c r="C96" t="s">
        <v>7</v>
      </c>
      <c r="D96" s="1">
        <v>2007</v>
      </c>
      <c r="E96" s="1">
        <v>2025</v>
      </c>
      <c r="F96" s="2">
        <v>45933</v>
      </c>
      <c r="G96" s="2">
        <v>45933</v>
      </c>
      <c r="H96" s="2">
        <v>45937</v>
      </c>
      <c r="I96" s="2">
        <f>WORKDAY.INTL(F96,IF(OR(C96="MELHORIA PEQUENA",C96="MELHORIA MÉDIA"),3,1),1,ListaFeriados)</f>
        <v>45938</v>
      </c>
      <c r="J96" s="2">
        <f>WORKDAY.INTL(I96,IF(C96="MELHORIA MÉDIA",20,IF(OR(C96="MELHORIA PEQUENA",C96="BUG NÃO IMPEDITIVO"),5,2)),1,$X:$X)</f>
        <v>45945</v>
      </c>
      <c r="K96" t="str">
        <f>IF(H96&gt;J96,"ATRASO","NO PRAZO")</f>
        <v>NO PRAZO</v>
      </c>
    </row>
    <row r="97" spans="1:11">
      <c r="A97" s="1">
        <v>21020</v>
      </c>
      <c r="B97" t="s">
        <v>9</v>
      </c>
      <c r="C97" t="s">
        <v>7</v>
      </c>
      <c r="D97" s="1">
        <v>1932</v>
      </c>
      <c r="E97" s="1">
        <v>2025</v>
      </c>
      <c r="F97" s="2">
        <v>45924</v>
      </c>
      <c r="G97" s="2">
        <v>45932</v>
      </c>
      <c r="H97" s="2">
        <v>45933</v>
      </c>
      <c r="I97" s="2">
        <f>WORKDAY.INTL(F97,IF(OR(C97="MELHORIA PEQUENA",C97="MELHORIA MÉDIA"),3,1),1,ListaFeriados)</f>
        <v>45929</v>
      </c>
      <c r="J97" s="2">
        <f>WORKDAY.INTL(I97,IF(C97="MELHORIA MÉDIA",20,IF(OR(C97="MELHORIA PEQUENA",C97="BUG NÃO IMPEDITIVO"),5,2)),1,$X:$X)</f>
        <v>45936</v>
      </c>
      <c r="K97" t="str">
        <f>IF(H97&gt;J97,"ATRASO","NO PRAZO")</f>
        <v>NO PRAZO</v>
      </c>
    </row>
    <row r="98" spans="1:11">
      <c r="A98" s="1">
        <v>20420</v>
      </c>
      <c r="B98" t="s">
        <v>12</v>
      </c>
      <c r="C98" t="s">
        <v>7</v>
      </c>
      <c r="D98" s="1">
        <v>1332</v>
      </c>
      <c r="E98" s="1">
        <v>2025</v>
      </c>
      <c r="F98" s="2">
        <v>45867</v>
      </c>
      <c r="G98" s="2">
        <v>45867</v>
      </c>
      <c r="H98" s="2">
        <v>45867</v>
      </c>
      <c r="I98" s="2">
        <f>WORKDAY.INTL(F98,IF(OR(C98="MELHORIA PEQUENA",C98="MELHORIA MÉDIA"),3,1),1,ListaFeriados)</f>
        <v>45870</v>
      </c>
      <c r="J98" s="2">
        <f>WORKDAY.INTL(I98,IF(C98="MELHORIA MÉDIA",20,IF(OR(C98="MELHORIA PEQUENA",C98="BUG NÃO IMPEDITIVO"),5,2)),1,$X:$X)</f>
        <v>45877</v>
      </c>
      <c r="K98" t="str">
        <f>IF(H98&gt;J98,"ATRASO","NO PRAZO")</f>
        <v>NO PRAZO</v>
      </c>
    </row>
    <row r="99" spans="1:11">
      <c r="A99" s="1">
        <v>20421</v>
      </c>
      <c r="B99" t="s">
        <v>12</v>
      </c>
      <c r="C99" t="s">
        <v>7</v>
      </c>
      <c r="D99" s="1">
        <v>1333</v>
      </c>
      <c r="E99" s="1">
        <v>2025</v>
      </c>
      <c r="F99" s="2">
        <v>45867</v>
      </c>
      <c r="G99" s="2">
        <v>45867</v>
      </c>
      <c r="H99" s="2">
        <v>45867</v>
      </c>
      <c r="I99" s="2">
        <f>WORKDAY.INTL(F99,IF(OR(C99="MELHORIA PEQUENA",C99="MELHORIA MÉDIA"),3,1),1,ListaFeriados)</f>
        <v>45870</v>
      </c>
      <c r="J99" s="2">
        <f>WORKDAY.INTL(I99,IF(C99="MELHORIA MÉDIA",20,IF(OR(C99="MELHORIA PEQUENA",C99="BUG NÃO IMPEDITIVO"),5,2)),1,$X:$X)</f>
        <v>45877</v>
      </c>
      <c r="K99" t="str">
        <f>IF(H99&gt;J99,"ATRASO","NO PRAZO")</f>
        <v>NO PRAZO</v>
      </c>
    </row>
    <row r="100" spans="1:11">
      <c r="A100" s="1">
        <v>20422</v>
      </c>
      <c r="B100" t="s">
        <v>12</v>
      </c>
      <c r="C100" t="s">
        <v>7</v>
      </c>
      <c r="D100" s="1">
        <v>1334</v>
      </c>
      <c r="E100" s="1">
        <v>2025</v>
      </c>
      <c r="F100" s="2">
        <v>45867</v>
      </c>
      <c r="G100" s="2">
        <v>45867</v>
      </c>
      <c r="H100" s="2">
        <v>45867</v>
      </c>
      <c r="I100" s="2">
        <f>WORKDAY.INTL(F100,IF(OR(C100="MELHORIA PEQUENA",C100="MELHORIA MÉDIA"),3,1),1,ListaFeriados)</f>
        <v>45870</v>
      </c>
      <c r="J100" s="2">
        <f>WORKDAY.INTL(I100,IF(C100="MELHORIA MÉDIA",20,IF(OR(C100="MELHORIA PEQUENA",C100="BUG NÃO IMPEDITIVO"),5,2)),1,$X:$X)</f>
        <v>45877</v>
      </c>
      <c r="K100" t="str">
        <f>IF(H100&gt;J100,"ATRASO","NO PRAZO")</f>
        <v>NO PRAZO</v>
      </c>
    </row>
    <row r="101" spans="1:11">
      <c r="A101" s="1">
        <v>20626</v>
      </c>
      <c r="B101" t="s">
        <v>10</v>
      </c>
      <c r="C101" t="s">
        <v>7</v>
      </c>
      <c r="D101" s="1">
        <v>1538</v>
      </c>
      <c r="E101" s="1">
        <v>2025</v>
      </c>
      <c r="F101" s="2">
        <v>45896</v>
      </c>
      <c r="G101" s="2">
        <v>45897</v>
      </c>
      <c r="H101" s="2">
        <v>45902</v>
      </c>
      <c r="I101" s="2">
        <f>WORKDAY.INTL(F101,IF(OR(C101="MELHORIA PEQUENA",C101="MELHORIA MÉDIA"),3,1),1,ListaFeriados)</f>
        <v>45901</v>
      </c>
      <c r="J101" s="2">
        <f>WORKDAY.INTL(I101,IF(C101="MELHORIA MÉDIA",20,IF(OR(C101="MELHORIA PEQUENA",C101="BUG NÃO IMPEDITIVO"),5,2)),1,$X:$X)</f>
        <v>45908</v>
      </c>
      <c r="K101" t="str">
        <f>IF(H101&gt;J101,"ATRASO","NO PRAZO")</f>
        <v>NO PRAZO</v>
      </c>
    </row>
    <row r="102" spans="1:11">
      <c r="A102" s="1">
        <v>20113</v>
      </c>
      <c r="B102" t="s">
        <v>9</v>
      </c>
      <c r="C102" t="s">
        <v>7</v>
      </c>
      <c r="D102" s="1">
        <v>1025</v>
      </c>
      <c r="E102" s="1">
        <v>2025</v>
      </c>
      <c r="F102" s="2">
        <v>45824</v>
      </c>
      <c r="G102" s="2">
        <v>45835</v>
      </c>
      <c r="H102" s="2">
        <v>45835</v>
      </c>
      <c r="I102" s="2">
        <f>WORKDAY.INTL(F102,IF(OR(C102="MELHORIA PEQUENA",C102="MELHORIA MÉDIA"),3,1),1,ListaFeriados)</f>
        <v>45828</v>
      </c>
      <c r="J102" s="2">
        <f>WORKDAY.INTL(I102,IF(C102="MELHORIA MÉDIA",20,IF(OR(C102="MELHORIA PEQUENA",C102="BUG NÃO IMPEDITIVO"),5,2)),1,$X:$X)</f>
        <v>45835</v>
      </c>
      <c r="K102" t="str">
        <f>IF(H102&gt;J102,"ATRASO","NO PRAZO")</f>
        <v>NO PRAZO</v>
      </c>
    </row>
    <row r="103" spans="1:11">
      <c r="A103" s="1">
        <v>20670</v>
      </c>
      <c r="B103" t="s">
        <v>14</v>
      </c>
      <c r="C103" t="s">
        <v>7</v>
      </c>
      <c r="D103" s="1">
        <v>1582</v>
      </c>
      <c r="E103" s="1">
        <v>2025</v>
      </c>
      <c r="F103" s="2">
        <v>45904</v>
      </c>
      <c r="G103" s="2">
        <v>45904</v>
      </c>
      <c r="H103" s="2">
        <v>45904</v>
      </c>
      <c r="I103" s="2">
        <f>WORKDAY.INTL(F103,IF(OR(C103="MELHORIA PEQUENA",C103="MELHORIA MÉDIA"),3,1),1,ListaFeriados)</f>
        <v>45909</v>
      </c>
      <c r="J103" s="2">
        <f>WORKDAY.INTL(I103,IF(C103="MELHORIA MÉDIA",20,IF(OR(C103="MELHORIA PEQUENA",C103="BUG NÃO IMPEDITIVO"),5,2)),1,$X:$X)</f>
        <v>45916</v>
      </c>
      <c r="K103" t="str">
        <f>IF(H103&gt;J103,"ATRASO","NO PRAZO")</f>
        <v>NO PRAZO</v>
      </c>
    </row>
    <row r="104" spans="1:11">
      <c r="A104" s="1">
        <v>21217</v>
      </c>
      <c r="B104" t="s">
        <v>9</v>
      </c>
      <c r="C104" t="s">
        <v>7</v>
      </c>
      <c r="D104" s="1">
        <v>2129</v>
      </c>
      <c r="E104" s="1">
        <v>2025</v>
      </c>
      <c r="F104" s="2">
        <v>45954</v>
      </c>
      <c r="G104" s="2">
        <v>45961</v>
      </c>
      <c r="H104" s="2">
        <v>45961</v>
      </c>
      <c r="I104" s="2">
        <f>WORKDAY.INTL(F104,IF(OR(C104="MELHORIA PEQUENA",C104="MELHORIA MÉDIA"),3,1),1,ListaFeriados)</f>
        <v>45960</v>
      </c>
      <c r="J104" s="2">
        <f>WORKDAY.INTL(I104,IF(C104="MELHORIA MÉDIA",20,IF(OR(C104="MELHORIA PEQUENA",C104="BUG NÃO IMPEDITIVO"),5,2)),1,$X:$X)</f>
        <v>45967</v>
      </c>
      <c r="K104" t="str">
        <f>IF(H104&gt;J104,"ATRASO","NO PRAZO")</f>
        <v>NO PRAZO</v>
      </c>
    </row>
    <row r="105" spans="1:11">
      <c r="A105" s="1">
        <v>21177</v>
      </c>
      <c r="B105" t="s">
        <v>6</v>
      </c>
      <c r="C105" t="s">
        <v>7</v>
      </c>
      <c r="D105" s="1">
        <v>2089</v>
      </c>
      <c r="E105" s="1">
        <v>2025</v>
      </c>
      <c r="F105" s="2">
        <v>45945</v>
      </c>
      <c r="G105" s="2">
        <v>45946</v>
      </c>
      <c r="H105" s="2">
        <v>45950</v>
      </c>
      <c r="I105" s="2">
        <f>WORKDAY.INTL(F105,IF(OR(C105="MELHORIA PEQUENA",C105="MELHORIA MÉDIA"),3,1),1,ListaFeriados)</f>
        <v>45951</v>
      </c>
      <c r="J105" s="2">
        <f>WORKDAY.INTL(I105,IF(C105="MELHORIA MÉDIA",20,IF(OR(C105="MELHORIA PEQUENA",C105="BUG NÃO IMPEDITIVO"),5,2)),1,$X:$X)</f>
        <v>45959</v>
      </c>
      <c r="K105" t="str">
        <f>IF(H105&gt;J105,"ATRASO","NO PRAZO")</f>
        <v>NO PRAZO</v>
      </c>
    </row>
    <row r="106" spans="1:11">
      <c r="A106" s="1">
        <v>21265</v>
      </c>
      <c r="B106" t="s">
        <v>6</v>
      </c>
      <c r="C106" t="s">
        <v>7</v>
      </c>
      <c r="D106" s="1">
        <v>2177</v>
      </c>
      <c r="E106" s="1">
        <v>2025</v>
      </c>
      <c r="F106" s="2">
        <v>45961</v>
      </c>
      <c r="G106" s="2">
        <v>45964</v>
      </c>
      <c r="H106" s="2">
        <v>45966</v>
      </c>
      <c r="I106" s="2">
        <f>WORKDAY.INTL(F106,IF(OR(C106="MELHORIA PEQUENA",C106="MELHORIA MÉDIA"),3,1),1,ListaFeriados)</f>
        <v>45966</v>
      </c>
      <c r="J106" s="2">
        <f>WORKDAY.INTL(I106,IF(C106="MELHORIA MÉDIA",20,IF(OR(C106="MELHORIA PEQUENA",C106="BUG NÃO IMPEDITIVO"),5,2)),1,$X:$X)</f>
        <v>45973</v>
      </c>
      <c r="K106" t="str">
        <f>IF(H106&gt;J106,"ATRASO","NO PRAZO")</f>
        <v>NO PRAZO</v>
      </c>
    </row>
    <row r="107" spans="1:11">
      <c r="A107" s="1">
        <v>20151</v>
      </c>
      <c r="B107" t="s">
        <v>13</v>
      </c>
      <c r="C107" t="s">
        <v>7</v>
      </c>
      <c r="D107" s="1">
        <v>1063</v>
      </c>
      <c r="E107" s="1">
        <v>2025</v>
      </c>
      <c r="F107" s="2">
        <v>45831</v>
      </c>
      <c r="G107" s="2">
        <v>45831</v>
      </c>
      <c r="H107" s="2">
        <v>45831</v>
      </c>
      <c r="I107" s="2">
        <f>WORKDAY.INTL(F107,IF(OR(C107="MELHORIA PEQUENA",C107="MELHORIA MÉDIA"),3,1),1,ListaFeriados)</f>
        <v>45834</v>
      </c>
      <c r="J107" s="2">
        <f>WORKDAY.INTL(I107,IF(C107="MELHORIA MÉDIA",20,IF(OR(C107="MELHORIA PEQUENA",C107="BUG NÃO IMPEDITIVO"),5,2)),1,$X:$X)</f>
        <v>45841</v>
      </c>
      <c r="K107" t="str">
        <f>IF(H107&gt;J107,"ATRASO","NO PRAZO")</f>
        <v>NO PRAZO</v>
      </c>
    </row>
    <row r="108" spans="1:11">
      <c r="A108" s="1">
        <v>21132</v>
      </c>
      <c r="B108" t="s">
        <v>9</v>
      </c>
      <c r="C108" t="s">
        <v>7</v>
      </c>
      <c r="D108" s="1">
        <v>2044</v>
      </c>
      <c r="E108" s="1">
        <v>2025</v>
      </c>
      <c r="F108" s="2">
        <v>45939</v>
      </c>
      <c r="G108" s="2">
        <v>45946</v>
  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WORKDAY.INTL(I108,IF(C108="MELHORIA MÉDIA",20,IF(OR(C108="MELHORIA PEQUENA",C108="BUG NÃO IMPEDITIVO"),5,2)),1,$X:$X)</f>
        <v>45952</v>
      </c>
      <c r="K108" t="str">
        <f>IF(H108&gt;J108,"ATRASO","NO PRAZO")</f>
        <v>NO PRAZO</v>
      </c>
    </row>
    <row r="109" spans="1:11">
      <c r="A109" s="1">
        <v>19937</v>
      </c>
      <c r="B109" t="s">
        <v>6</v>
      </c>
      <c r="C109" t="s">
        <v>7</v>
      </c>
      <c r="D109" s="1">
        <v>849</v>
      </c>
      <c r="E109" s="1">
        <v>2025</v>
      </c>
      <c r="F109" s="2">
        <v>45796</v>
      </c>
      <c r="G109" s="2">
        <v>45797</v>
      </c>
      <c r="H109" s="2">
        <v>45798</v>
      </c>
      <c r="I109" s="2">
        <f>WORKDAY.INTL(F109,IF(OR(C109="MELHORIA PEQUENA",C109="MELHORIA MÉDIA"),3,1),1,ListaFeriados)</f>
        <v>45799</v>
      </c>
      <c r="J109" s="2">
        <f>WORKDAY.INTL(I109,IF(C109="MELHORIA MÉDIA",20,IF(OR(C109="MELHORIA PEQUENA",C109="BUG NÃO IMPEDITIVO"),5,2)),1,$X:$X)</f>
        <v>45806</v>
      </c>
      <c r="K109" t="str">
        <f>IF(H109&gt;J109,"ATRASO","NO PRAZO")</f>
        <v>NO PRAZO</v>
      </c>
    </row>
    <row r="110" spans="1:11">
      <c r="A110" s="1">
        <v>21846</v>
      </c>
      <c r="B110" t="s">
        <v>6</v>
      </c>
      <c r="C110" t="s">
        <v>7</v>
      </c>
      <c r="D110" s="1">
        <v>252</v>
      </c>
      <c r="E110" s="1">
        <v>2026</v>
      </c>
      <c r="F110" s="2">
        <v>46076</v>
      </c>
      <c r="G110" s="2">
        <v>46077</v>
      </c>
      <c r="H110" s="2">
        <v>46078</v>
      </c>
      <c r="I110" s="2">
        <f>WORKDAY.INTL(F110,IF(OR(C110="MELHORIA PEQUENA",C110="MELHORIA MÉDIA"),3,1),1,ListaFeriados)</f>
        <v>46079</v>
      </c>
      <c r="J110" s="2">
        <f>WORKDAY.INTL(I110,IF(C110="MELHORIA MÉDIA",20,IF(OR(C110="MELHORIA PEQUENA",C110="BUG NÃO IMPEDITIVO"),5,2)),1,$X:$X)</f>
        <v>46086</v>
      </c>
      <c r="K110" t="str">
        <f>IF(H110&gt;J110,"ATRASO","NO PRAZO")</f>
        <v>NO PRAZO</v>
      </c>
    </row>
    <row r="111" spans="1:11">
      <c r="A111" s="1">
        <v>21907</v>
      </c>
      <c r="B111" t="s">
        <v>9</v>
      </c>
      <c r="C111" t="s">
        <v>7</v>
      </c>
      <c r="D111" s="1">
        <v>313</v>
      </c>
      <c r="E111" s="1">
        <v>2026</v>
      </c>
      <c r="F111" s="2">
        <v>46083</v>
      </c>
      <c r="G111" s="2">
        <v>46090</v>
      </c>
      <c r="H111" s="2">
        <v>46090</v>
      </c>
      <c r="I111" s="2">
        <f>WORKDAY.INTL(F111,IF(OR(C111="MELHORIA PEQUENA",C111="MELHORIA MÉDIA"),3,1),1,ListaFeriados)</f>
        <v>46086</v>
      </c>
      <c r="J111" s="2">
        <f>WORKDAY.INTL(I111,IF(C111="MELHORIA MÉDIA",20,IF(OR(C111="MELHORIA PEQUENA",C111="BUG NÃO IMPEDITIVO"),5,2)),1,$X:$X)</f>
        <v>46093</v>
      </c>
      <c r="K111" t="str">
        <f>IF(H111&gt;J111,"ATRASO","NO PRAZO")</f>
        <v>NO PRAZO</v>
      </c>
    </row>
    <row r="112" spans="1:11">
      <c r="A112" s="1">
        <v>21312</v>
      </c>
      <c r="B112" t="s">
        <v>9</v>
      </c>
      <c r="C112" t="s">
        <v>7</v>
      </c>
      <c r="D112" s="1">
        <v>2224</v>
      </c>
      <c r="E112" s="1">
        <v>2025</v>
      </c>
      <c r="F112" s="2">
        <v>45968</v>
      </c>
      <c r="G112" s="2">
        <v>45973</v>
      </c>
      <c r="H112" s="2">
        <v>45973</v>
      </c>
      <c r="I112" s="2">
        <f>WORKDAY.INTL(F112,IF(OR(C112="MELHORIA PEQUENA",C112="MELHORIA MÉDIA"),3,1),1,ListaFeriados)</f>
        <v>45973</v>
      </c>
      <c r="J112" s="2">
        <f>WORKDAY.INTL(I112,IF(C112="MELHORIA MÉDIA",20,IF(OR(C112="MELHORIA PEQUENA",C112="BUG NÃO IMPEDITIVO"),5,2)),1,$X:$X)</f>
        <v>45980</v>
      </c>
      <c r="K112" t="str">
        <f>IF(H112&gt;J112,"ATRASO","NO PRAZO")</f>
        <v>NO PRAZO</v>
      </c>
    </row>
    <row r="113" spans="1:11">
      <c r="A113" s="1">
        <v>21482</v>
      </c>
      <c r="B113" t="s">
        <v>6</v>
      </c>
      <c r="C113" t="s">
        <v>7</v>
      </c>
      <c r="D113" s="1">
        <v>2394</v>
      </c>
      <c r="E113" s="1">
        <v>2025</v>
      </c>
      <c r="F113" s="2">
        <v>45996</v>
      </c>
      <c r="G113" s="2">
        <v>45999</v>
      </c>
      <c r="H113" s="2">
        <v>45999</v>
      </c>
      <c r="I113" s="2">
        <f>WORKDAY.INTL(F113,IF(OR(C113="MELHORIA PEQUENA",C113="MELHORIA MÉDIA"),3,1),1,ListaFeriados)</f>
        <v>46001</v>
      </c>
      <c r="J113" s="2">
        <f>WORKDAY.INTL(I113,IF(C113="MELHORIA MÉDIA",20,IF(OR(C113="MELHORIA PEQUENA",C113="BUG NÃO IMPEDITIVO"),5,2)),1,$X:$X)</f>
        <v>46008</v>
      </c>
      <c r="K113" t="str">
        <f>IF(H113&gt;J113,"ATRASO","NO PRAZO")</f>
        <v>NO PRAZO</v>
      </c>
    </row>
    <row r="114" spans="1:11">
      <c r="A114" s="1">
        <v>21864</v>
      </c>
      <c r="B114" t="s">
        <v>9</v>
      </c>
      <c r="C114" t="s">
        <v>7</v>
      </c>
      <c r="D114" s="1">
        <v>270</v>
      </c>
      <c r="E114" s="1">
        <v>2026</v>
      </c>
      <c r="F114" s="2">
        <v>46077</v>
      </c>
      <c r="G114" s="2">
        <v>46099</v>
      </c>
      <c r="H114" s="2">
        <v>46099</v>
      </c>
      <c r="I114" s="2">
        <f>WORKDAY.INTL(F114,IF(OR(C114="MELHORIA PEQUENA",C114="MELHORIA MÉDIA"),3,1),1,ListaFeriados)</f>
        <v>46080</v>
      </c>
      <c r="J114" s="2">
        <f>WORKDAY.INTL(I114,IF(C114="MELHORIA MÉDIA",20,IF(OR(C114="MELHORIA PEQUENA",C114="BUG NÃO IMPEDITIVO"),5,2)),1,$X:$X)</f>
        <v>46087</v>
      </c>
      <c r="K114" t="str">
        <f>IF(H114&gt;J114,"ATRASO","NO PRAZO")</f>
        <v>ATRASO</v>
      </c>
    </row>
    <row r="115" spans="1:11">
      <c r="A115" s="1">
        <v>21367</v>
      </c>
      <c r="B115" t="s">
        <v>6</v>
      </c>
      <c r="C115" t="s">
        <v>7</v>
      </c>
      <c r="D115" s="1">
        <v>2279</v>
      </c>
      <c r="E115" s="1">
        <v>2025</v>
      </c>
      <c r="F115" s="2">
        <v>45978</v>
      </c>
      <c r="G115" s="2">
        <v>45979</v>
      </c>
      <c r="H115" s="2">
        <v>45985</v>
      </c>
      <c r="I115" s="2">
        <f>WORKDAY.INTL(F115,IF(OR(C115="MELHORIA PEQUENA",C115="MELHORIA MÉDIA"),3,1),1,ListaFeriados)</f>
        <v>45982</v>
      </c>
      <c r="J115" s="2">
        <f>WORKDAY.INTL(I115,IF(C115="MELHORIA MÉDIA",20,IF(OR(C115="MELHORIA PEQUENA",C115="BUG NÃO IMPEDITIVO"),5,2)),1,$X:$X)</f>
        <v>45989</v>
      </c>
      <c r="K115" t="str">
        <f>IF(H115&gt;J115,"ATRASO","NO PRAZO")</f>
        <v>NO PRAZO</v>
      </c>
    </row>
    <row r="116" spans="1:11">
      <c r="A116" s="1">
        <v>21368</v>
      </c>
      <c r="B116" t="s">
        <v>6</v>
      </c>
      <c r="C116" t="s">
        <v>7</v>
      </c>
      <c r="D116" s="1">
        <v>2280</v>
      </c>
      <c r="E116" s="1">
        <v>2025</v>
      </c>
      <c r="F116" s="2">
        <v>45978</v>
      </c>
      <c r="G116" s="2">
        <v>45979</v>
      </c>
      <c r="H116" s="2">
        <v>45985</v>
      </c>
      <c r="I116" s="2">
        <f>WORKDAY.INTL(F116,IF(OR(C116="MELHORIA PEQUENA",C116="MELHORIA MÉDIA"),3,1),1,ListaFeriados)</f>
        <v>45982</v>
      </c>
      <c r="J116" s="2">
        <f>WORKDAY.INTL(I116,IF(C116="MELHORIA MÉDIA",20,IF(OR(C116="MELHORIA PEQUENA",C116="BUG NÃO IMPEDITIVO"),5,2)),1,$X:$X)</f>
        <v>45989</v>
      </c>
      <c r="K116" t="str">
        <f>IF(H116&gt;J116,"ATRASO","NO PRAZO")</f>
        <v>NO PRAZO</v>
      </c>
    </row>
    <row r="117" spans="1:11">
      <c r="A117" s="1">
        <v>21429</v>
      </c>
      <c r="B117" t="s">
        <v>6</v>
      </c>
      <c r="C117" t="s">
        <v>7</v>
      </c>
      <c r="D117" s="1">
        <v>2341</v>
      </c>
      <c r="E117" s="1">
        <v>2025</v>
      </c>
      <c r="F117" s="2">
        <v>45989</v>
      </c>
      <c r="G117" s="2">
        <v>45992</v>
      </c>
      <c r="H117" s="2">
        <v>45992</v>
      </c>
      <c r="I117" s="2">
        <f>WORKDAY.INTL(F117,IF(OR(C117="MELHORIA PEQUENA",C117="MELHORIA MÉDIA"),3,1),1,ListaFeriados)</f>
        <v>45994</v>
      </c>
      <c r="J117" s="2">
        <f>WORKDAY.INTL(I117,IF(C117="MELHORIA MÉDIA",20,IF(OR(C117="MELHORIA PEQUENA",C117="BUG NÃO IMPEDITIVO"),5,2)),1,$X:$X)</f>
        <v>46001</v>
      </c>
      <c r="K117" t="str">
        <f>IF(H117&gt;J117,"ATRASO","NO PRAZO")</f>
        <v>NO PRAZO</v>
      </c>
    </row>
    <row r="118" spans="1:11">
      <c r="A118" s="1">
        <v>21530</v>
      </c>
      <c r="B118" t="s">
        <v>6</v>
      </c>
      <c r="C118" t="s">
        <v>7</v>
      </c>
      <c r="D118" s="1">
        <v>2442</v>
      </c>
      <c r="E118" s="1">
        <v>2025</v>
      </c>
      <c r="F118" s="2">
        <v>46007</v>
      </c>
      <c r="G118" s="2">
        <v>46009</v>
      </c>
      <c r="H118" s="2">
        <v>46009</v>
      </c>
      <c r="I118" s="2">
        <f>WORKDAY.INTL(F118,IF(OR(C118="MELHORIA PEQUENA",C118="MELHORIA MÉDIA"),3,1),1,ListaFeriados)</f>
        <v>46010</v>
      </c>
      <c r="J118" s="2">
        <f>WORKDAY.INTL(I118,IF(C118="MELHORIA MÉDIA",20,IF(OR(C118="MELHORIA PEQUENA",C118="BUG NÃO IMPEDITIVO"),5,2)),1,$X:$X)</f>
        <v>46020</v>
      </c>
      <c r="K118" t="str">
        <f>IF(H118&gt;J118,"ATRASO","NO PRAZO")</f>
        <v>NO PRAZO</v>
      </c>
    </row>
    <row r="119" spans="1:11">
      <c r="A119" s="1">
        <v>21691</v>
      </c>
      <c r="B119" t="s">
        <v>6</v>
      </c>
      <c r="C119" t="s">
        <v>7</v>
      </c>
      <c r="D119" s="1">
        <v>97</v>
      </c>
      <c r="E119" s="1">
        <v>2026</v>
      </c>
      <c r="F119" s="2">
        <v>46044</v>
      </c>
      <c r="G119" s="2">
        <v>46073</v>
      </c>
      <c r="H119" s="2">
        <v>46076</v>
      </c>
      <c r="I119" s="2">
        <f>WORKDAY.INTL(F119,IF(OR(C119="MELHORIA PEQUENA",C119="MELHORIA MÉDIA"),3,1),1,ListaFeriados)</f>
        <v>46049</v>
      </c>
      <c r="J119" s="2">
        <f>WORKDAY.INTL(I119,IF(C119="MELHORIA MÉDIA",20,IF(OR(C119="MELHORIA PEQUENA",C119="BUG NÃO IMPEDITIVO"),5,2)),1,$X:$X)</f>
        <v>46056</v>
      </c>
      <c r="K119" t="str">
        <f>IF(H119&gt;J119,"ATRASO","NO PRAZO")</f>
        <v>ATRASO</v>
      </c>
    </row>
    <row r="120" spans="1:11">
      <c r="A120" s="1">
        <v>21828</v>
      </c>
      <c r="B120" t="s">
        <v>6</v>
      </c>
      <c r="C120" t="s">
        <v>7</v>
      </c>
      <c r="D120" s="1">
        <v>234</v>
      </c>
      <c r="E120" s="1">
        <v>2026</v>
      </c>
      <c r="F120" s="2">
        <v>46071</v>
      </c>
      <c r="G120" s="2">
        <v>46071</v>
      </c>
      <c r="H120" s="2">
        <v>46071</v>
      </c>
      <c r="I120" s="2">
        <f>WORKDAY.INTL(F120,IF(OR(C120="MELHORIA PEQUENA",C120="MELHORIA MÉDIA"),3,1),1,ListaFeriados)</f>
        <v>46076</v>
      </c>
      <c r="J120" s="2">
        <f>WORKDAY.INTL(I120,IF(C120="MELHORIA MÉDIA",20,IF(OR(C120="MELHORIA PEQUENA",C120="BUG NÃO IMPEDITIVO"),5,2)),1,$X:$X)</f>
        <v>46083</v>
      </c>
      <c r="K120" t="str">
        <f>IF(H120&gt;J120,"ATRASO","NO PRAZO")</f>
        <v>NO PRAZO</v>
      </c>
    </row>
    <row r="121" spans="1:11">
      <c r="A121" s="1">
        <v>21271</v>
      </c>
      <c r="B121" t="s">
        <v>6</v>
      </c>
      <c r="C121" t="s">
        <v>7</v>
      </c>
      <c r="D121" s="1">
        <v>2183</v>
      </c>
      <c r="E121" s="1">
        <v>2025</v>
      </c>
      <c r="F121" s="2">
        <v>45964</v>
      </c>
      <c r="G121" s="2">
        <v>45966</v>
      </c>
      <c r="H121" s="2">
        <v>45967</v>
      </c>
      <c r="I121" s="2">
        <f>WORKDAY.INTL(F121,IF(OR(C121="MELHORIA PEQUENA",C121="MELHORIA MÉDIA"),3,1),1,ListaFeriados)</f>
        <v>45967</v>
      </c>
      <c r="J121" s="2">
        <f>WORKDAY.INTL(I121,IF(C121="MELHORIA MÉDIA",20,IF(OR(C121="MELHORIA PEQUENA",C121="BUG NÃO IMPEDITIVO"),5,2)),1,$X:$X)</f>
        <v>45974</v>
      </c>
      <c r="K121" t="str">
        <f>IF(H121&gt;J121,"ATRASO","NO PRAZO")</f>
        <v>NO PRAZO</v>
      </c>
    </row>
    <row r="122" spans="1:11">
      <c r="A122" s="1">
        <v>21349</v>
      </c>
      <c r="B122" t="s">
        <v>8</v>
      </c>
      <c r="C122" t="s">
        <v>7</v>
      </c>
      <c r="D122" s="1">
        <v>2261</v>
      </c>
      <c r="E122" s="1">
        <v>2025</v>
      </c>
      <c r="F122" s="2">
        <v>45975</v>
      </c>
      <c r="G122" s="2">
        <v>45978</v>
      </c>
      <c r="H122" s="2">
        <v>45980</v>
      </c>
      <c r="I122" s="2">
        <f>WORKDAY.INTL(F122,IF(OR(C122="MELHORIA PEQUENA",C122="MELHORIA MÉDIA"),3,1),1,ListaFeriados)</f>
        <v>45980</v>
      </c>
      <c r="J122" s="2">
        <f>WORKDAY.INTL(I122,IF(C122="MELHORIA MÉDIA",20,IF(OR(C122="MELHORIA PEQUENA",C122="BUG NÃO IMPEDITIVO"),5,2)),1,$X:$X)</f>
        <v>45988</v>
      </c>
      <c r="K122" t="str">
        <f>IF(H122&gt;J122,"ATRASO","NO PRAZO")</f>
        <v>NO PRAZO</v>
      </c>
    </row>
    <row r="123" spans="1:11">
      <c r="A123" s="1">
        <v>21301</v>
      </c>
      <c r="B123" t="s">
        <v>6</v>
      </c>
      <c r="C123" t="s">
        <v>7</v>
      </c>
      <c r="D123" s="1">
        <v>2213</v>
      </c>
      <c r="E123" s="1">
        <v>2025</v>
      </c>
      <c r="F123" s="2">
        <v>45968</v>
      </c>
      <c r="G123" s="2">
        <v>45968</v>
      </c>
      <c r="H123" s="2">
        <v>45968</v>
      </c>
      <c r="I123" s="2">
        <f>WORKDAY.INTL(F123,IF(OR(C123="MELHORIA PEQUENA",C123="MELHORIA MÉDIA"),3,1),1,ListaFeriados)</f>
        <v>45973</v>
      </c>
      <c r="J123" s="2">
        <f>WORKDAY.INTL(I123,IF(C123="MELHORIA MÉDIA",20,IF(OR(C123="MELHORIA PEQUENA",C123="BUG NÃO IMPEDITIVO"),5,2)),1,$X:$X)</f>
        <v>45980</v>
      </c>
      <c r="K123" t="str">
        <f>IF(H123&gt;J123,"ATRASO","NO PRAZO")</f>
        <v>NO PRAZO</v>
      </c>
    </row>
    <row r="124" spans="1:11">
      <c r="A124" s="1">
        <v>21894</v>
      </c>
      <c r="B124" t="s">
        <v>8</v>
      </c>
      <c r="C124" t="s">
        <v>7</v>
      </c>
      <c r="D124" s="1">
        <v>300</v>
      </c>
      <c r="E124" s="1">
        <v>2026</v>
      </c>
      <c r="F124" s="2">
        <v>46080</v>
      </c>
      <c r="G124" s="2">
        <v>46084</v>
      </c>
      <c r="H124" s="2">
        <v>46085</v>
      </c>
      <c r="I124" s="2">
        <f>WORKDAY.INTL(F124,IF(OR(C124="MELHORIA PEQUENA",C124="MELHORIA MÉDIA"),3,1),1,ListaFeriados)</f>
        <v>46085</v>
      </c>
      <c r="J124" s="2">
        <f>WORKDAY.INTL(I124,IF(C124="MELHORIA MÉDIA",20,IF(OR(C124="MELHORIA PEQUENA",C124="BUG NÃO IMPEDITIVO"),5,2)),1,$X:$X)</f>
        <v>46092</v>
      </c>
      <c r="K124" t="str">
        <f>IF(H124&gt;J124,"ATRASO","NO PRAZO")</f>
        <v>NO PRAZO</v>
      </c>
    </row>
    <row r="125" spans="1:11">
      <c r="A125" s="1">
        <v>22076</v>
      </c>
      <c r="B125" t="s">
        <v>13</v>
      </c>
      <c r="C125" t="s">
        <v>7</v>
      </c>
      <c r="D125" s="1">
        <v>482</v>
      </c>
      <c r="E125" s="1">
        <v>2026</v>
      </c>
      <c r="F125" s="2">
        <v>46107</v>
      </c>
      <c r="G125" s="2">
        <v>46107</v>
      </c>
      <c r="H125" s="2">
        <v>46108</v>
      </c>
      <c r="I125" s="2">
        <f>WORKDAY.INTL(F125,IF(OR(C125="MELHORIA PEQUENA",C125="MELHORIA MÉDIA"),3,1),1,ListaFeriados)</f>
        <v>46112</v>
      </c>
      <c r="J125" s="2">
        <f>WORKDAY.INTL(I125,IF(C125="MELHORIA MÉDIA",20,IF(OR(C125="MELHORIA PEQUENA",C125="BUG NÃO IMPEDITIVO"),5,2)),1,$X:$X)</f>
        <v>46120</v>
      </c>
      <c r="K125" t="str">
        <f>IF(H125&gt;J125,"ATRASO","NO PRAZO")</f>
        <v>NO PRAZO</v>
      </c>
    </row>
    <row r="126" spans="1:11">
      <c r="A126" s="1">
        <v>21831</v>
      </c>
      <c r="B126" t="s">
        <v>6</v>
      </c>
      <c r="C126" t="s">
        <v>7</v>
      </c>
      <c r="D126" s="1">
        <v>237</v>
      </c>
      <c r="E126" s="1">
        <v>2026</v>
      </c>
      <c r="F126" s="2">
        <v>46072</v>
      </c>
      <c r="G126" s="2">
        <v>46073</v>
      </c>
      <c r="H126" s="2">
        <v>46076</v>
      </c>
      <c r="I126" s="2">
        <f>WORKDAY.INTL(F126,IF(OR(C126="MELHORIA PEQUENA",C126="MELHORIA MÉDIA"),3,1),1,ListaFeriados)</f>
        <v>46077</v>
      </c>
      <c r="J126" s="2">
        <f>WORKDAY.INTL(I126,IF(C126="MELHORIA MÉDIA",20,IF(OR(C126="MELHORIA PEQUENA",C126="BUG NÃO IMPEDITIVO"),5,2)),1,$X:$X)</f>
        <v>46084</v>
      </c>
      <c r="K126" t="str">
        <f>IF(H126&gt;J126,"ATRASO","NO PRAZO")</f>
        <v>NO PRAZO</v>
      </c>
    </row>
    <row r="127" spans="1:11">
      <c r="A127" s="1">
        <v>21964</v>
      </c>
      <c r="B127" t="s">
        <v>6</v>
      </c>
      <c r="C127" t="s">
        <v>7</v>
      </c>
      <c r="D127" s="1">
        <v>370</v>
      </c>
      <c r="E127" s="1">
        <v>2026</v>
      </c>
      <c r="F127" s="2">
        <v>46092</v>
      </c>
      <c r="G127" s="2">
        <v>46093</v>
      </c>
      <c r="H127" s="2">
        <v>46098</v>
      </c>
      <c r="I127" s="2">
        <f>WORKDAY.INTL(F127,IF(OR(C127="MELHORIA PEQUENA",C127="MELHORIA MÉDIA"),3,1),1,ListaFeriados)</f>
        <v>46097</v>
      </c>
      <c r="J127" s="2">
        <f>WORKDAY.INTL(I127,IF(C127="MELHORIA MÉDIA",20,IF(OR(C127="MELHORIA PEQUENA",C127="BUG NÃO IMPEDITIVO"),5,2)),1,$X:$X)</f>
        <v>46104</v>
      </c>
      <c r="K127" t="str">
        <f>IF(H127&gt;J127,"ATRASO","NO PRAZO")</f>
        <v>NO PRAZO</v>
      </c>
    </row>
    <row r="128" spans="1:11">
      <c r="A128" s="1">
        <v>21062</v>
      </c>
      <c r="B128" t="s">
        <v>9</v>
      </c>
      <c r="C128" t="s">
        <v>7</v>
      </c>
      <c r="D128" s="1">
        <v>1974</v>
      </c>
      <c r="E128" s="1">
        <v>2025</v>
      </c>
      <c r="F128" s="2">
        <v>45930</v>
      </c>
      <c r="G128" s="2">
        <v>45930</v>
      </c>
      <c r="H128" s="2">
        <v>45931</v>
      </c>
      <c r="I128" s="2">
        <f>WORKDAY.INTL(F128,IF(OR(C128="MELHORIA PEQUENA",C128="MELHORIA MÉDIA"),3,1),1,ListaFeriados)</f>
        <v>45933</v>
      </c>
      <c r="J128" s="2">
        <f>WORKDAY.INTL(I128,IF(C128="MELHORIA MÉDIA",20,IF(OR(C128="MELHORIA PEQUENA",C128="BUG NÃO IMPEDITIVO"),5,2)),1,$X:$X)</f>
        <v>45940</v>
      </c>
      <c r="K128" t="str">
        <f>IF(H128&gt;J128,"ATRASO","NO PRAZO")</f>
        <v>NO PRAZO</v>
      </c>
    </row>
    <row r="129" spans="1:11">
      <c r="A129" s="1">
        <v>21462</v>
      </c>
      <c r="B129" t="s">
        <v>8</v>
      </c>
      <c r="C129" t="s">
        <v>7</v>
      </c>
      <c r="D129" s="1">
        <v>2374</v>
      </c>
      <c r="E129" s="1">
        <v>2025</v>
      </c>
      <c r="F129" s="2">
        <v>45995</v>
      </c>
      <c r="G129" s="2">
        <v>46001</v>
      </c>
      <c r="H129" s="2">
        <v>46002</v>
      </c>
      <c r="I129" s="2">
        <f>WORKDAY.INTL(F129,IF(OR(C129="MELHORIA PEQUENA",C129="MELHORIA MÉDIA"),3,1),1,ListaFeriados)</f>
        <v>46000</v>
      </c>
      <c r="J129" s="2">
        <f>WORKDAY.INTL(I129,IF(C129="MELHORIA MÉDIA",20,IF(OR(C129="MELHORIA PEQUENA",C129="BUG NÃO IMPEDITIVO"),5,2)),1,$X:$X)</f>
        <v>46007</v>
      </c>
      <c r="K129" t="str">
        <f>IF(H129&gt;J129,"ATRASO","NO PRAZO")</f>
        <v>NO PRAZO</v>
      </c>
    </row>
    <row r="130" spans="1:11">
      <c r="A130" s="1">
        <v>22005</v>
      </c>
      <c r="B130" t="s">
        <v>6</v>
      </c>
      <c r="C130" t="s">
        <v>7</v>
      </c>
      <c r="D130" s="1">
        <v>411</v>
      </c>
      <c r="E130" s="1">
        <v>2026</v>
      </c>
      <c r="F130" s="2">
        <v>46098</v>
      </c>
      <c r="G130" s="2">
        <v>46105</v>
      </c>
      <c r="H130" s="2">
        <v>46106</v>
      </c>
      <c r="I130" s="2">
        <f>WORKDAY.INTL(F130,IF(OR(C130="MELHORIA PEQUENA",C130="MELHORIA MÉDIA"),3,1),1,ListaFeriados)</f>
        <v>46101</v>
      </c>
      <c r="J130" s="2">
        <f>WORKDAY.INTL(I130,IF(C130="MELHORIA MÉDIA",20,IF(OR(C130="MELHORIA PEQUENA",C130="BUG NÃO IMPEDITIVO"),5,2)),1,$X:$X)</f>
        <v>46108</v>
      </c>
      <c r="K130" t="str">
        <f>IF(H130&gt;J130,"ATRASO","NO PRAZO")</f>
        <v>NO PRAZO</v>
      </c>
    </row>
    <row r="131" spans="1:11">
      <c r="A131" s="1">
        <v>21893</v>
      </c>
      <c r="B131" t="s">
        <v>6</v>
      </c>
      <c r="C131" t="s">
        <v>7</v>
      </c>
      <c r="D131" s="1">
        <v>299</v>
      </c>
      <c r="E131" s="1">
        <v>2026</v>
      </c>
      <c r="F131" s="2">
        <v>46080</v>
      </c>
      <c r="G131" s="2">
        <v>46083</v>
      </c>
      <c r="H131" s="2">
        <v>46086</v>
      </c>
      <c r="I131" s="2">
        <f>WORKDAY.INTL(F131,IF(OR(C131="MELHORIA PEQUENA",C131="MELHORIA MÉDIA"),3,1),1,ListaFeriados)</f>
        <v>46085</v>
      </c>
      <c r="J131" s="2">
        <f>WORKDAY.INTL(I131,IF(C131="MELHORIA MÉDIA",20,IF(OR(C131="MELHORIA PEQUENA",C131="BUG NÃO IMPEDITIVO"),5,2)),1,$X:$X)</f>
        <v>46092</v>
      </c>
      <c r="K131" t="str">
        <f>IF(H131&gt;J131,"ATRASO","NO PRAZO")</f>
        <v>NO PRAZO</v>
      </c>
    </row>
    <row r="132" spans="1:11">
      <c r="A132" s="1">
        <v>21474</v>
      </c>
      <c r="B132" t="s">
        <v>8</v>
      </c>
      <c r="C132" t="s">
        <v>7</v>
      </c>
      <c r="D132" s="1">
        <v>2386</v>
      </c>
      <c r="E132" s="1">
        <v>2025</v>
      </c>
      <c r="F132" s="2">
        <v>45996</v>
      </c>
      <c r="G132" s="2">
        <v>46001</v>
      </c>
      <c r="H132" s="2">
        <v>46002</v>
      </c>
      <c r="I132" s="2">
        <f>WORKDAY.INTL(F132,IF(OR(C132="MELHORIA PEQUENA",C132="MELHORIA MÉDIA"),3,1),1,ListaFeriados)</f>
        <v>46001</v>
      </c>
      <c r="J132" s="2">
        <f>WORKDAY.INTL(I132,IF(C132="MELHORIA MÉDIA",20,IF(OR(C132="MELHORIA PEQUENA",C132="BUG NÃO IMPEDITIVO"),5,2)),1,$X:$X)</f>
        <v>46008</v>
      </c>
      <c r="K132" t="str">
        <f>IF(H132&gt;J132,"ATRASO","NO PRAZO")</f>
        <v>NO PRAZO</v>
      </c>
    </row>
    <row r="133" spans="1:11">
      <c r="A133" s="1">
        <v>22006</v>
      </c>
      <c r="B133" t="s">
        <v>6</v>
      </c>
      <c r="C133" t="s">
        <v>7</v>
      </c>
      <c r="D133" s="1">
        <v>412</v>
      </c>
      <c r="E133" s="1">
        <v>2026</v>
      </c>
      <c r="F133" s="2">
        <v>46098</v>
      </c>
      <c r="G133" s="2">
        <v>46100</v>
      </c>
      <c r="H133" s="2">
        <v>46100</v>
      </c>
      <c r="I133" s="2">
        <f>WORKDAY.INTL(F133,IF(OR(C133="MELHORIA PEQUENA",C133="MELHORIA MÉDIA"),3,1),1,ListaFeriados)</f>
        <v>46101</v>
      </c>
      <c r="J133" s="2">
        <f>WORKDAY.INTL(I133,IF(C133="MELHORIA MÉDIA",20,IF(OR(C133="MELHORIA PEQUENA",C133="BUG NÃO IMPEDITIVO"),5,2)),1,$X:$X)</f>
        <v>46108</v>
      </c>
      <c r="K133" t="str">
        <f>IF(H133&gt;J133,"ATRASO","NO PRAZO")</f>
        <v>NO PRAZO</v>
      </c>
    </row>
    <row r="134" spans="1:11">
      <c r="A134" s="1">
        <v>19246</v>
      </c>
      <c r="B134" t="s">
        <v>6</v>
      </c>
      <c r="C134" t="s">
        <v>7</v>
      </c>
      <c r="D134" s="1">
        <v>158</v>
      </c>
      <c r="E134" s="1">
        <v>2025</v>
      </c>
      <c r="F134" s="2">
        <v>45685</v>
      </c>
      <c r="G134" s="2">
        <v>45685</v>
      </c>
      <c r="H134" s="2">
        <v>45691</v>
      </c>
      <c r="I134" s="2">
        <f>WORKDAY.INTL(F134,IF(OR(C134="MELHORIA PEQUENA",C134="MELHORIA MÉDIA"),3,1),1,ListaFeriados)</f>
        <v>45688</v>
      </c>
      <c r="J134" s="2">
        <f>WORKDAY.INTL(I134,IF(C134="MELHORIA MÉDIA",20,IF(OR(C134="MELHORIA PEQUENA",C134="BUG NÃO IMPEDITIVO"),5,2)),1,$X:$X)</f>
        <v>45695</v>
      </c>
      <c r="K134" t="str">
        <f>IF(H134&gt;J134,"ATRASO","NO PRAZO")</f>
        <v>NO PRAZO</v>
      </c>
    </row>
    <row r="135" spans="1:11">
      <c r="A135" s="1">
        <v>18835</v>
      </c>
      <c r="B135" t="s">
        <v>9</v>
      </c>
      <c r="C135" t="s">
        <v>7</v>
      </c>
      <c r="D135" s="1">
        <v>3022</v>
      </c>
      <c r="E135" s="1">
        <v>2024</v>
      </c>
      <c r="F135" s="2">
        <v>45607</v>
      </c>
      <c r="G135" s="2">
        <v>45610</v>
      </c>
      <c r="H135" s="2">
        <v>45618</v>
      </c>
      <c r="I135" s="2">
        <f>WORKDAY.INTL(F135,IF(OR(C135="MELHORIA PEQUENA",C135="MELHORIA MÉDIA"),3,1),1,ListaFeriados)</f>
        <v>45610</v>
      </c>
      <c r="J135" s="2">
        <f>WORKDAY.INTL(I135,IF(C135="MELHORIA MÉDIA",20,IF(OR(C135="MELHORIA PEQUENA",C135="BUG NÃO IMPEDITIVO"),5,2)),1,$X:$X)</f>
        <v>45621</v>
      </c>
      <c r="K135" t="str">
        <f>IF(H135&gt;J135,"ATRASO","NO PRAZO")</f>
        <v>NO PRAZO</v>
      </c>
    </row>
    <row r="136" spans="1:11">
      <c r="A136" s="1">
        <v>17332</v>
      </c>
      <c r="B136" t="s">
        <v>6</v>
      </c>
      <c r="C136" t="s">
        <v>7</v>
      </c>
      <c r="D136" s="1">
        <v>1519</v>
      </c>
      <c r="E136" s="1">
        <v>2024</v>
      </c>
      <c r="F136" s="2">
        <v>45415</v>
      </c>
      <c r="G136" s="2">
        <v>45419</v>
      </c>
      <c r="H136" s="2">
        <v>45419</v>
      </c>
      <c r="I136" s="2">
        <f>WORKDAY.INTL(F136,IF(OR(C136="MELHORIA PEQUENA",C136="MELHORIA MÉDIA"),3,1),1,ListaFeriados)</f>
        <v>45420</v>
      </c>
      <c r="J136" s="2">
        <f>WORKDAY.INTL(I136,IF(C136="MELHORIA MÉDIA",20,IF(OR(C136="MELHORIA PEQUENA",C136="BUG NÃO IMPEDITIVO"),5,2)),1,$X:$X)</f>
        <v>45427</v>
      </c>
      <c r="K136" t="str">
        <f>IF(H136&gt;J136,"ATRASO","NO PRAZO")</f>
        <v>NO PRAZO</v>
      </c>
    </row>
    <row r="137" spans="1:11">
      <c r="A137" s="1">
        <v>18753</v>
      </c>
      <c r="B137" t="s">
        <v>6</v>
      </c>
      <c r="C137" t="s">
        <v>7</v>
      </c>
      <c r="D137" s="1">
        <v>2940</v>
      </c>
      <c r="E137" s="1">
        <v>2024</v>
      </c>
      <c r="F137" s="2">
        <v>45587</v>
      </c>
      <c r="G137" s="2">
        <v>45588</v>
      </c>
      <c r="H137" s="2">
        <v>45590</v>
      </c>
      <c r="I137" s="2">
        <f>WORKDAY.INTL(F137,IF(OR(C137="MELHORIA PEQUENA",C137="MELHORIA MÉDIA"),3,1),1,ListaFeriados)</f>
        <v>45590</v>
      </c>
      <c r="J137" s="2">
        <f>WORKDAY.INTL(I137,IF(C137="MELHORIA MÉDIA",20,IF(OR(C137="MELHORIA PEQUENA",C137="BUG NÃO IMPEDITIVO"),5,2)),1,$X:$X)</f>
        <v>45600</v>
      </c>
      <c r="K137" t="str">
        <f>IF(H137&gt;J137,"ATRASO","NO PRAZO")</f>
        <v>NO PRAZO</v>
      </c>
    </row>
    <row r="138" spans="1:11">
      <c r="A138" s="1">
        <v>18735</v>
      </c>
      <c r="B138" t="s">
        <v>9</v>
      </c>
      <c r="C138" t="s">
        <v>7</v>
      </c>
      <c r="D138" s="1">
        <v>2922</v>
      </c>
      <c r="E138" s="1">
        <v>2024</v>
      </c>
      <c r="F138" s="2">
        <v>45583</v>
      </c>
      <c r="G138" s="2">
        <v>45586</v>
      </c>
      <c r="H138" s="2">
        <v>45594</v>
      </c>
      <c r="I138" s="2">
        <f>WORKDAY.INTL(F138,IF(OR(C138="MELHORIA PEQUENA",C138="MELHORIA MÉDIA"),3,1),1,ListaFeriados)</f>
        <v>45588</v>
      </c>
      <c r="J138" s="2">
        <f>WORKDAY.INTL(I138,IF(C138="MELHORIA MÉDIA",20,IF(OR(C138="MELHORIA PEQUENA",C138="BUG NÃO IMPEDITIVO"),5,2)),1,$X:$X)</f>
        <v>45596</v>
      </c>
      <c r="K138" t="str">
        <f>IF(H138&gt;J138,"ATRASO","NO PRAZO")</f>
        <v>NO PRAZO</v>
      </c>
    </row>
    <row r="139" spans="1:11">
      <c r="A139" s="1">
        <v>18739</v>
      </c>
      <c r="B139" t="s">
        <v>10</v>
      </c>
      <c r="C139" t="s">
        <v>7</v>
      </c>
      <c r="D139" s="1">
        <v>2926</v>
      </c>
      <c r="E139" s="1">
        <v>2024</v>
      </c>
      <c r="F139" s="2">
        <v>45586</v>
      </c>
      <c r="G139" s="2">
        <v>45587</v>
      </c>
      <c r="H139" s="2">
        <v>45594</v>
      </c>
      <c r="I139" s="2">
        <f>WORKDAY.INTL(F139,IF(OR(C139="MELHORIA PEQUENA",C139="MELHORIA MÉDIA"),3,1),1,ListaFeriados)</f>
        <v>45589</v>
      </c>
      <c r="J139" s="2">
        <f>WORKDAY.INTL(I139,IF(C139="MELHORIA MÉDIA",20,IF(OR(C139="MELHORIA PEQUENA",C139="BUG NÃO IMPEDITIVO"),5,2)),1,$X:$X)</f>
        <v>45597</v>
      </c>
      <c r="K139" t="str">
        <f>IF(H139&gt;J139,"ATRASO","NO PRAZO")</f>
        <v>NO PRAZO</v>
      </c>
    </row>
    <row r="140" spans="1:11">
      <c r="A140" s="1">
        <v>19925</v>
      </c>
      <c r="B140" t="s">
        <v>6</v>
      </c>
      <c r="C140" t="s">
        <v>7</v>
      </c>
      <c r="D140" s="1">
        <v>837</v>
      </c>
      <c r="E140" s="1">
        <v>2025</v>
      </c>
      <c r="F140" s="2">
        <v>45793</v>
      </c>
      <c r="G140" s="2">
        <v>45796</v>
      </c>
      <c r="H140" s="2">
        <v>45798</v>
      </c>
      <c r="I140" s="2">
        <f>WORKDAY.INTL(F140,IF(OR(C140="MELHORIA PEQUENA",C140="MELHORIA MÉDIA"),3,1),1,ListaFeriados)</f>
        <v>45798</v>
      </c>
      <c r="J140" s="2">
        <f>WORKDAY.INTL(I140,IF(C140="MELHORIA MÉDIA",20,IF(OR(C140="MELHORIA PEQUENA",C140="BUG NÃO IMPEDITIVO"),5,2)),1,$X:$X)</f>
        <v>45805</v>
      </c>
      <c r="K140" t="str">
        <f>IF(H140&gt;J140,"ATRASO","NO PRAZO")</f>
        <v>NO PRAZO</v>
      </c>
    </row>
    <row r="141" spans="1:11">
      <c r="A141" s="1">
        <v>19967</v>
      </c>
      <c r="B141" t="s">
        <v>6</v>
      </c>
      <c r="C141" t="s">
        <v>7</v>
      </c>
      <c r="D141" s="1">
        <v>879</v>
      </c>
      <c r="E141" s="1">
        <v>2025</v>
      </c>
      <c r="F141" s="2">
        <v>45799</v>
      </c>
      <c r="G141" s="2">
        <v>45800</v>
      </c>
      <c r="H141" s="2">
        <v>45800</v>
      </c>
      <c r="I141" s="2">
        <f>WORKDAY.INTL(F141,IF(OR(C141="MELHORIA PEQUENA",C141="MELHORIA MÉDIA"),3,1),1,ListaFeriados)</f>
        <v>45804</v>
      </c>
      <c r="J141" s="2">
        <f>WORKDAY.INTL(I141,IF(C141="MELHORIA MÉDIA",20,IF(OR(C141="MELHORIA PEQUENA",C141="BUG NÃO IMPEDITIVO"),5,2)),1,$X:$X)</f>
        <v>45811</v>
      </c>
      <c r="K141" t="str">
        <f>IF(H141&gt;J141,"ATRASO","NO PRAZO")</f>
        <v>NO PRAZO</v>
      </c>
    </row>
    <row r="142" spans="1:11">
      <c r="A142" s="1">
        <v>20084</v>
      </c>
      <c r="B142" t="s">
        <v>6</v>
      </c>
      <c r="C142" t="s">
        <v>7</v>
      </c>
      <c r="D142" s="1">
        <v>996</v>
      </c>
      <c r="E142" s="1">
        <v>2025</v>
      </c>
      <c r="F142" s="2">
        <v>45818</v>
      </c>
      <c r="G142" s="2">
        <v>45819</v>
      </c>
      <c r="H142" s="2">
        <v>45824</v>
      </c>
      <c r="I142" s="2">
        <f>WORKDAY.INTL(F142,IF(OR(C142="MELHORIA PEQUENA",C142="MELHORIA MÉDIA"),3,1),1,ListaFeriados)</f>
        <v>45821</v>
      </c>
      <c r="J142" s="2">
        <f>WORKDAY.INTL(I142,IF(C142="MELHORIA MÉDIA",20,IF(OR(C142="MELHORIA PEQUENA",C142="BUG NÃO IMPEDITIVO"),5,2)),1,$X:$X)</f>
        <v>45831</v>
      </c>
      <c r="K142" t="str">
        <f>IF(H142&gt;J142,"ATRASO","NO PRAZO")</f>
        <v>NO PRAZO</v>
      </c>
    </row>
    <row r="143" spans="1:11">
      <c r="A143" s="1">
        <v>19953</v>
      </c>
      <c r="B143" t="s">
        <v>6</v>
      </c>
      <c r="C143" t="s">
        <v>7</v>
      </c>
      <c r="D143" s="1">
        <v>865</v>
      </c>
      <c r="E143" s="1">
        <v>2025</v>
      </c>
      <c r="F143" s="2">
        <v>45798</v>
      </c>
      <c r="G143" s="2">
        <v>45799</v>
      </c>
      <c r="H143" s="2">
        <v>45803</v>
      </c>
      <c r="I143" s="2">
        <f>WORKDAY.INTL(F143,IF(OR(C143="MELHORIA PEQUENA",C143="MELHORIA MÉDIA"),3,1),1,ListaFeriados)</f>
        <v>45803</v>
      </c>
      <c r="J143" s="2">
        <f>WORKDAY.INTL(I143,IF(C143="MELHORIA MÉDIA",20,IF(OR(C143="MELHORIA PEQUENA",C143="BUG NÃO IMPEDITIVO"),5,2)),1,$X:$X)</f>
        <v>45810</v>
      </c>
      <c r="K143" t="str">
        <f>IF(H143&gt;J143,"ATRASO","NO PRAZO")</f>
        <v>NO PRAZO</v>
      </c>
    </row>
    <row r="144" spans="1:11">
      <c r="A144" s="1">
        <v>20148</v>
      </c>
      <c r="B144" t="s">
        <v>10</v>
      </c>
      <c r="C144" t="s">
        <v>7</v>
      </c>
      <c r="D144" s="1">
        <v>1060</v>
      </c>
      <c r="E144" s="1">
        <v>2025</v>
      </c>
      <c r="F144" s="2">
        <v>45831</v>
      </c>
      <c r="G144" s="2">
        <v>45831</v>
      </c>
      <c r="H144" s="2">
        <v>45832</v>
      </c>
      <c r="I144" s="2">
        <f>WORKDAY.INTL(F144,IF(OR(C144="MELHORIA PEQUENA",C144="MELHORIA MÉDIA"),3,1),1,ListaFeriados)</f>
        <v>45834</v>
      </c>
      <c r="J144" s="2">
        <f>WORKDAY.INTL(I144,IF(C144="MELHORIA MÉDIA",20,IF(OR(C144="MELHORIA PEQUENA",C144="BUG NÃO IMPEDITIVO"),5,2)),1,$X:$X)</f>
        <v>45841</v>
      </c>
      <c r="K144" t="str">
        <f>IF(H144&gt;J144,"ATRASO","NO PRAZO")</f>
        <v>NO PRAZO</v>
      </c>
    </row>
    <row r="145" spans="1:11">
      <c r="A145" s="1">
        <v>20128</v>
      </c>
      <c r="B145" t="s">
        <v>6</v>
      </c>
      <c r="C145" t="s">
        <v>7</v>
      </c>
      <c r="D145" s="1">
        <v>1040</v>
      </c>
      <c r="E145" s="1">
        <v>2025</v>
      </c>
      <c r="F145" s="2">
        <v>45825</v>
      </c>
      <c r="G145" s="2">
        <v>45826</v>
      </c>
      <c r="H145" s="2">
        <v>45832</v>
      </c>
      <c r="I145" s="2">
        <f>WORKDAY.INTL(F145,IF(OR(C145="MELHORIA PEQUENA",C145="MELHORIA MÉDIA"),3,1),1,ListaFeriados)</f>
        <v>45831</v>
      </c>
      <c r="J145" s="2">
        <f>WORKDAY.INTL(I145,IF(C145="MELHORIA MÉDIA",20,IF(OR(C145="MELHORIA PEQUENA",C145="BUG NÃO IMPEDITIVO"),5,2)),1,$X:$X)</f>
        <v>45838</v>
      </c>
      <c r="K145" t="str">
        <f>IF(H145&gt;J145,"ATRASO","NO PRAZO")</f>
        <v>NO PRAZO</v>
      </c>
    </row>
    <row r="146" spans="1:11">
      <c r="A146" s="1">
        <v>20230</v>
      </c>
      <c r="B146" t="s">
        <v>13</v>
      </c>
      <c r="C146" t="s">
        <v>7</v>
      </c>
      <c r="D146" s="1">
        <v>1142</v>
      </c>
      <c r="E146" s="1">
        <v>2025</v>
      </c>
      <c r="F146" s="2">
        <v>45841</v>
      </c>
      <c r="G146" s="2">
        <v>45842</v>
      </c>
      <c r="H146" s="2">
        <v>45846</v>
      </c>
      <c r="I146" s="2">
        <f>WORKDAY.INTL(F146,IF(OR(C146="MELHORIA PEQUENA",C146="MELHORIA MÉDIA"),3,1),1,ListaFeriados)</f>
        <v>45846</v>
      </c>
      <c r="J146" s="2">
        <f>WORKDAY.INTL(I146,IF(C146="MELHORIA MÉDIA",20,IF(OR(C146="MELHORIA PEQUENA",C146="BUG NÃO IMPEDITIVO"),5,2)),1,$X:$X)</f>
        <v>45853</v>
      </c>
      <c r="K146" t="str">
        <f>IF(H146&gt;J146,"ATRASO","NO PRAZO")</f>
        <v>NO PRAZO</v>
      </c>
    </row>
    <row r="147" spans="1:11">
      <c r="A147" s="1">
        <v>20430</v>
      </c>
      <c r="B147" t="s">
        <v>9</v>
      </c>
      <c r="C147" t="s">
        <v>7</v>
      </c>
      <c r="D147" s="1">
        <v>1342</v>
      </c>
      <c r="E147" s="1">
        <v>2025</v>
      </c>
      <c r="F147" s="2">
        <v>45869</v>
      </c>
      <c r="G147" s="2">
        <v>45869</v>
      </c>
      <c r="H147" s="2">
        <v>45875</v>
      </c>
      <c r="I147" s="2">
        <f>WORKDAY.INTL(F147,IF(OR(C147="MELHORIA PEQUENA",C147="MELHORIA MÉDIA"),3,1),1,ListaFeriados)</f>
        <v>45874</v>
      </c>
      <c r="J147" s="2">
        <f>WORKDAY.INTL(I147,IF(C147="MELHORIA MÉDIA",20,IF(OR(C147="MELHORIA PEQUENA",C147="BUG NÃO IMPEDITIVO"),5,2)),1,$X:$X)</f>
        <v>45881</v>
      </c>
      <c r="K147" t="str">
        <f>IF(H147&gt;J147,"ATRASO","NO PRAZO")</f>
        <v>NO PRAZO</v>
      </c>
    </row>
    <row r="148" spans="1:11">
      <c r="A148" s="1">
        <v>20280</v>
      </c>
      <c r="B148" t="s">
        <v>6</v>
      </c>
      <c r="C148" t="s">
        <v>7</v>
      </c>
      <c r="D148" s="1">
        <v>1192</v>
      </c>
      <c r="E148" s="1">
        <v>2025</v>
      </c>
      <c r="F148" s="2">
        <v>45849</v>
      </c>
      <c r="G148" s="2">
        <v>45852</v>
      </c>
      <c r="H148" s="2">
        <v>45853</v>
      </c>
      <c r="I148" s="2">
        <f>WORKDAY.INTL(F148,IF(OR(C148="MELHORIA PEQUENA",C148="MELHORIA MÉDIA"),3,1),1,ListaFeriados)</f>
        <v>45854</v>
      </c>
      <c r="J148" s="2">
        <f>WORKDAY.INTL(I148,IF(C148="MELHORIA MÉDIA",20,IF(OR(C148="MELHORIA PEQUENA",C148="BUG NÃO IMPEDITIVO"),5,2)),1,$X:$X)</f>
        <v>45861</v>
      </c>
      <c r="K148" t="str">
        <f>IF(H148&gt;J148,"ATRASO","NO PRAZO")</f>
        <v>NO PRAZO</v>
      </c>
    </row>
    <row r="149" spans="1:11">
      <c r="A149" s="1">
        <v>20579</v>
      </c>
      <c r="B149" t="s">
        <v>6</v>
      </c>
      <c r="C149" t="s">
        <v>7</v>
      </c>
      <c r="D149" s="1">
        <v>1491</v>
      </c>
      <c r="E149" s="1">
        <v>2025</v>
      </c>
      <c r="F149" s="2">
        <v>45889</v>
      </c>
      <c r="G149" s="2">
        <v>45890</v>
      </c>
      <c r="H149" s="2">
        <v>45891</v>
      </c>
      <c r="I149" s="2">
        <f>WORKDAY.INTL(F149,IF(OR(C149="MELHORIA PEQUENA",C149="MELHORIA MÉDIA"),3,1),1,ListaFeriados)</f>
        <v>45894</v>
      </c>
      <c r="J149" s="2">
        <f>WORKDAY.INTL(I149,IF(C149="MELHORIA MÉDIA",20,IF(OR(C149="MELHORIA PEQUENA",C149="BUG NÃO IMPEDITIVO"),5,2)),1,$X:$X)</f>
        <v>45901</v>
      </c>
      <c r="K149" t="str">
        <f>IF(H149&gt;J149,"ATRASO","NO PRAZO")</f>
        <v>NO PRAZO</v>
      </c>
    </row>
    <row r="150" spans="1:11">
      <c r="A150" s="1">
        <v>20687</v>
      </c>
      <c r="B150" t="s">
        <v>6</v>
      </c>
      <c r="C150" t="s">
        <v>7</v>
      </c>
      <c r="D150" s="1">
        <v>1599</v>
      </c>
      <c r="E150" s="1">
        <v>2025</v>
      </c>
      <c r="F150" s="2">
        <v>45904</v>
      </c>
      <c r="G150" s="2">
        <v>45905</v>
      </c>
      <c r="H150" s="2">
        <v>45905</v>
      </c>
      <c r="I150" s="2">
        <f>WORKDAY.INTL(F150,IF(OR(C150="MELHORIA PEQUENA",C150="MELHORIA MÉDIA"),3,1),1,ListaFeriados)</f>
        <v>45909</v>
      </c>
      <c r="J150" s="2">
        <f>WORKDAY.INTL(I150,IF(C150="MELHORIA MÉDIA",20,IF(OR(C150="MELHORIA PEQUENA",C150="BUG NÃO IMPEDITIVO"),5,2)),1,$X:$X)</f>
        <v>45916</v>
      </c>
      <c r="K150" t="str">
        <f>IF(H150&gt;J150,"ATRASO","NO PRAZO")</f>
        <v>NO PRAZO</v>
      </c>
    </row>
    <row r="151" spans="1:11">
      <c r="A151" s="1">
        <v>20197</v>
      </c>
      <c r="B151" t="s">
        <v>6</v>
      </c>
      <c r="C151" t="s">
        <v>7</v>
      </c>
      <c r="D151" s="1">
        <v>1109</v>
      </c>
      <c r="E151" s="1">
        <v>2025</v>
      </c>
      <c r="F151" s="2">
        <v>45838</v>
      </c>
      <c r="G151" s="2">
        <v>45838</v>
      </c>
      <c r="H151" s="2">
        <v>45838</v>
      </c>
      <c r="I151" s="2">
        <f>WORKDAY.INTL(F151,IF(OR(C151="MELHORIA PEQUENA",C151="MELHORIA MÉDIA"),3,1),1,ListaFeriados)</f>
        <v>45841</v>
      </c>
      <c r="J151" s="2">
        <f>WORKDAY.INTL(I151,IF(C151="MELHORIA MÉDIA",20,IF(OR(C151="MELHORIA PEQUENA",C151="BUG NÃO IMPEDITIVO"),5,2)),1,$X:$X)</f>
        <v>45848</v>
      </c>
      <c r="K151" t="str">
        <f>IF(H151&gt;J151,"ATRASO","NO PRAZO")</f>
        <v>NO PRAZO</v>
      </c>
    </row>
    <row r="152" spans="1:11">
      <c r="A152" s="1">
        <v>20388</v>
      </c>
      <c r="B152" t="s">
        <v>6</v>
      </c>
      <c r="C152" t="s">
        <v>7</v>
      </c>
      <c r="D152" s="1">
        <v>1300</v>
      </c>
      <c r="E152" s="1">
        <v>2025</v>
      </c>
      <c r="F152" s="2">
        <v>45861</v>
      </c>
      <c r="G152" s="2">
        <v>45862</v>
      </c>
      <c r="H152" s="2">
        <v>45863</v>
      </c>
      <c r="I152" s="2">
        <f>WORKDAY.INTL(F152,IF(OR(C152="MELHORIA PEQUENA",C152="MELHORIA MÉDIA"),3,1),1,ListaFeriados)</f>
        <v>45866</v>
      </c>
      <c r="J152" s="2">
        <f>WORKDAY.INTL(I152,IF(C152="MELHORIA MÉDIA",20,IF(OR(C152="MELHORIA PEQUENA",C152="BUG NÃO IMPEDITIVO"),5,2)),1,$X:$X)</f>
        <v>45873</v>
      </c>
      <c r="K152" t="str">
        <f>IF(H152&gt;J152,"ATRASO","NO PRAZO")</f>
        <v>NO PRAZO</v>
      </c>
    </row>
    <row r="153" spans="1:11">
      <c r="A153" s="1">
        <v>20056</v>
      </c>
      <c r="B153" t="s">
        <v>8</v>
      </c>
      <c r="C153" t="s">
        <v>7</v>
      </c>
      <c r="D153" s="1">
        <v>968</v>
      </c>
      <c r="E153" s="1">
        <v>2025</v>
      </c>
      <c r="F153" s="2">
        <v>45813</v>
      </c>
      <c r="G153" s="2">
        <v>45813</v>
      </c>
      <c r="H153" s="2">
        <v>45814</v>
      </c>
      <c r="I153" s="2">
        <f>WORKDAY.INTL(F153,IF(OR(C153="MELHORIA PEQUENA",C153="MELHORIA MÉDIA"),3,1),1,ListaFeriados)</f>
        <v>45818</v>
      </c>
      <c r="J153" s="2">
        <f>WORKDAY.INTL(I153,IF(C153="MELHORIA MÉDIA",20,IF(OR(C153="MELHORIA PEQUENA",C153="BUG NÃO IMPEDITIVO"),5,2)),1,$X:$X)</f>
        <v>45825</v>
      </c>
      <c r="K153" t="str">
        <f>IF(H153&gt;J153,"ATRASO","NO PRAZO")</f>
        <v>NO PRAZO</v>
      </c>
    </row>
    <row r="154" spans="1:11">
      <c r="A154" s="1">
        <v>20352</v>
      </c>
      <c r="B154" t="s">
        <v>12</v>
      </c>
      <c r="C154" t="s">
        <v>7</v>
      </c>
      <c r="D154" s="1">
        <v>1264</v>
      </c>
      <c r="E154" s="1">
        <v>2025</v>
      </c>
      <c r="F154" s="2">
        <v>45856</v>
      </c>
      <c r="G154" s="2">
        <v>45859</v>
      </c>
      <c r="H154" s="2">
        <v>45859</v>
      </c>
      <c r="I154" s="2">
        <f>WORKDAY.INTL(F154,IF(OR(C154="MELHORIA PEQUENA",C154="MELHORIA MÉDIA"),3,1),1,ListaFeriados)</f>
        <v>45861</v>
      </c>
      <c r="J154" s="2">
        <f>WORKDAY.INTL(I154,IF(C154="MELHORIA MÉDIA",20,IF(OR(C154="MELHORIA PEQUENA",C154="BUG NÃO IMPEDITIVO"),5,2)),1,$X:$X)</f>
        <v>45868</v>
      </c>
      <c r="K154" t="str">
        <f>IF(H154&gt;J154,"ATRASO","NO PRAZO")</f>
        <v>NO PRAZO</v>
      </c>
    </row>
    <row r="155" spans="1:11">
      <c r="A155" s="1">
        <v>20778</v>
      </c>
      <c r="B155" t="s">
        <v>6</v>
      </c>
      <c r="C155" t="s">
        <v>7</v>
      </c>
      <c r="D155" s="1">
        <v>1690</v>
      </c>
      <c r="E155" s="1">
        <v>2025</v>
      </c>
      <c r="F155" s="2">
        <v>45908</v>
      </c>
      <c r="G155" s="2">
        <v>45909</v>
      </c>
      <c r="H155" s="2">
        <v>45910</v>
      </c>
      <c r="I155" s="2">
        <f>WORKDAY.INTL(F155,IF(OR(C155="MELHORIA PEQUENA",C155="MELHORIA MÉDIA"),3,1),1,ListaFeriados)</f>
        <v>45911</v>
      </c>
      <c r="J155" s="2">
        <f>WORKDAY.INTL(I155,IF(C155="MELHORIA MÉDIA",20,IF(OR(C155="MELHORIA PEQUENA",C155="BUG NÃO IMPEDITIVO"),5,2)),1,$X:$X)</f>
        <v>45918</v>
      </c>
      <c r="K155" t="str">
        <f>IF(H155&gt;J155,"ATRASO","NO PRAZO")</f>
        <v>NO PRAZO</v>
      </c>
    </row>
    <row r="156" spans="1:11">
      <c r="A156" s="1">
        <v>20765</v>
      </c>
      <c r="B156" t="s">
        <v>6</v>
      </c>
      <c r="C156" t="s">
        <v>7</v>
      </c>
      <c r="D156" s="1">
        <v>1677</v>
      </c>
      <c r="E156" s="1">
        <v>2025</v>
      </c>
      <c r="F156" s="2">
        <v>45908</v>
      </c>
      <c r="G156" s="2">
        <v>45909</v>
      </c>
      <c r="H156" s="2">
        <v>45910</v>
      </c>
      <c r="I156" s="2">
        <f>WORKDAY.INTL(F156,IF(OR(C156="MELHORIA PEQUENA",C156="MELHORIA MÉDIA"),3,1),1,ListaFeriados)</f>
        <v>45911</v>
      </c>
      <c r="J156" s="2">
        <f>WORKDAY.INTL(I156,IF(C156="MELHORIA MÉDIA",20,IF(OR(C156="MELHORIA PEQUENA",C156="BUG NÃO IMPEDITIVO"),5,2)),1,$X:$X)</f>
        <v>45918</v>
      </c>
      <c r="K156" t="str">
        <f>IF(H156&gt;J156,"ATRASO","NO PRAZO")</f>
        <v>NO PRAZO</v>
      </c>
    </row>
    <row r="157" spans="1:11">
      <c r="A157" s="1">
        <v>19968</v>
      </c>
      <c r="B157" t="s">
        <v>13</v>
      </c>
      <c r="C157" t="s">
        <v>7</v>
      </c>
      <c r="D157" s="1">
        <v>880</v>
      </c>
      <c r="E157" s="1">
        <v>2025</v>
      </c>
      <c r="F157" s="2">
        <v>45799</v>
      </c>
      <c r="G157" s="2">
        <v>45800</v>
      </c>
      <c r="H157" s="2">
        <v>45803</v>
      </c>
      <c r="I157" s="2">
        <f>WORKDAY.INTL(F157,IF(OR(C157="MELHORIA PEQUENA",C157="MELHORIA MÉDIA"),3,1),1,ListaFeriados)</f>
        <v>45804</v>
      </c>
      <c r="J157" s="2">
        <f>WORKDAY.INTL(I157,IF(C157="MELHORIA MÉDIA",20,IF(OR(C157="MELHORIA PEQUENA",C157="BUG NÃO IMPEDITIVO"),5,2)),1,$X:$X)</f>
        <v>45811</v>
      </c>
      <c r="K157" t="str">
        <f>IF(H157&gt;J157,"ATRASO","NO PRAZO")</f>
        <v>NO PRAZO</v>
      </c>
    </row>
    <row r="158" spans="1:11">
      <c r="A158" s="1">
        <v>19969</v>
      </c>
      <c r="B158" t="s">
        <v>13</v>
      </c>
      <c r="C158" t="s">
        <v>7</v>
      </c>
      <c r="D158" s="1">
        <v>881</v>
      </c>
      <c r="E158" s="1">
        <v>2025</v>
      </c>
      <c r="F158" s="2">
        <v>45799</v>
      </c>
      <c r="G158" s="2">
        <v>45800</v>
      </c>
      <c r="H158" s="2">
        <v>45803</v>
      </c>
      <c r="I158" s="2">
        <f>WORKDAY.INTL(F158,IF(OR(C158="MELHORIA PEQUENA",C158="MELHORIA MÉDIA"),3,1),1,ListaFeriados)</f>
        <v>45804</v>
      </c>
      <c r="J158" s="2">
        <f>WORKDAY.INTL(I158,IF(C158="MELHORIA MÉDIA",20,IF(OR(C158="MELHORIA PEQUENA",C158="BUG NÃO IMPEDITIVO"),5,2)),1,$X:$X)</f>
        <v>45811</v>
      </c>
      <c r="K158" t="str">
        <f>IF(H158&gt;J158,"ATRASO","NO PRAZO")</f>
        <v>NO PRAZO</v>
      </c>
    </row>
    <row r="159" spans="1:11">
      <c r="A159" s="1">
        <v>19973</v>
      </c>
      <c r="B159" t="s">
        <v>9</v>
      </c>
      <c r="C159" t="s">
        <v>7</v>
      </c>
      <c r="D159" s="1">
        <v>885</v>
      </c>
      <c r="E159" s="1">
        <v>2025</v>
      </c>
      <c r="F159" s="2">
        <v>45800</v>
      </c>
      <c r="G159" s="2">
        <v>45812</v>
      </c>
      <c r="H159" s="2">
        <v>45835</v>
      </c>
      <c r="I159" s="2">
        <f>WORKDAY.INTL(F159,IF(OR(C159="MELHORIA PEQUENA",C159="MELHORIA MÉDIA"),3,1),1,ListaFeriados)</f>
        <v>45805</v>
      </c>
      <c r="J159" s="2">
        <f>WORKDAY.INTL(I159,IF(C159="MELHORIA MÉDIA",20,IF(OR(C159="MELHORIA PEQUENA",C159="BUG NÃO IMPEDITIVO"),5,2)),1,$X:$X)</f>
        <v>45812</v>
      </c>
      <c r="K159" t="str">
        <f>IF(H159&gt;J159,"ATRASO","NO PRAZO")</f>
        <v>ATRASO</v>
      </c>
    </row>
    <row r="160" spans="1:11">
      <c r="A160" s="1">
        <v>19777</v>
      </c>
      <c r="B160" t="s">
        <v>9</v>
      </c>
      <c r="C160" t="s">
        <v>7</v>
      </c>
      <c r="D160" s="1">
        <v>689</v>
      </c>
      <c r="E160" s="1">
        <v>2025</v>
      </c>
      <c r="F160" s="2">
        <v>45771</v>
      </c>
      <c r="G160" s="2">
        <v>45777</v>
      </c>
      <c r="H160" s="2">
        <v>45793</v>
      </c>
      <c r="I160" s="2">
        <f>WORKDAY.INTL(F160,IF(OR(C160="MELHORIA PEQUENA",C160="MELHORIA MÉDIA"),3,1),1,ListaFeriados)</f>
        <v>45776</v>
      </c>
      <c r="J160" s="2">
        <f>WORKDAY.INTL(I160,IF(C160="MELHORIA MÉDIA",20,IF(OR(C160="MELHORIA PEQUENA",C160="BUG NÃO IMPEDITIVO"),5,2)),1,$X:$X)</f>
        <v>45784</v>
      </c>
      <c r="K160" t="str">
        <f>IF(H160&gt;J160,"ATRASO","NO PRAZO")</f>
        <v>ATRASO</v>
      </c>
    </row>
    <row r="161" spans="1:11">
      <c r="A161" s="1">
        <v>20142</v>
      </c>
      <c r="B161" t="s">
        <v>6</v>
      </c>
      <c r="C161" t="s">
        <v>7</v>
      </c>
      <c r="D161" s="1">
        <v>1054</v>
      </c>
      <c r="E161" s="1">
        <v>2025</v>
      </c>
      <c r="F161" s="2">
        <v>45826</v>
      </c>
      <c r="G161" s="2">
        <v>45826</v>
      </c>
      <c r="H161" s="2">
        <v>45832</v>
      </c>
      <c r="I161" s="2">
        <f>WORKDAY.INTL(F161,IF(OR(C161="MELHORIA PEQUENA",C161="MELHORIA MÉDIA"),3,1),1,ListaFeriados)</f>
        <v>45832</v>
      </c>
      <c r="J161" s="2">
        <f>WORKDAY.INTL(I161,IF(C161="MELHORIA MÉDIA",20,IF(OR(C161="MELHORIA PEQUENA",C161="BUG NÃO IMPEDITIVO"),5,2)),1,$X:$X)</f>
        <v>45839</v>
      </c>
      <c r="K161" t="str">
        <f>IF(H161&gt;J161,"ATRASO","NO PRAZO")</f>
        <v>NO PRAZO</v>
      </c>
    </row>
    <row r="162" spans="1:11">
      <c r="A162" s="1">
        <v>20039</v>
      </c>
      <c r="B162" t="s">
        <v>10</v>
      </c>
      <c r="C162" t="s">
        <v>7</v>
      </c>
      <c r="D162" s="1">
        <v>951</v>
      </c>
      <c r="E162" s="1">
        <v>2025</v>
      </c>
      <c r="F162" s="2">
        <v>45811</v>
      </c>
      <c r="G162" s="2">
        <v>45811</v>
      </c>
      <c r="H162" s="2">
        <v>45818</v>
      </c>
      <c r="I162" s="2">
        <f>WORKDAY.INTL(F162,IF(OR(C162="MELHORIA PEQUENA",C162="MELHORIA MÉDIA"),3,1),1,ListaFeriados)</f>
        <v>45814</v>
      </c>
      <c r="J162" s="2">
        <f>WORKDAY.INTL(I162,IF(C162="MELHORIA MÉDIA",20,IF(OR(C162="MELHORIA PEQUENA",C162="BUG NÃO IMPEDITIVO"),5,2)),1,$X:$X)</f>
        <v>45821</v>
      </c>
      <c r="K162" t="str">
        <f>IF(H162&gt;J162,"ATRASO","NO PRAZO")</f>
        <v>NO PRAZO</v>
      </c>
    </row>
    <row r="163" spans="1:11">
      <c r="A163" s="1">
        <v>20281</v>
      </c>
      <c r="B163" t="s">
        <v>6</v>
      </c>
      <c r="C163" t="s">
        <v>7</v>
      </c>
      <c r="D163" s="1">
        <v>1193</v>
      </c>
      <c r="E163" s="1">
        <v>2025</v>
      </c>
      <c r="F163" s="2">
        <v>45849</v>
      </c>
      <c r="G163" s="2">
        <v>45852</v>
      </c>
      <c r="H163" s="2">
        <v>45853</v>
      </c>
      <c r="I163" s="2">
        <f>WORKDAY.INTL(F163,IF(OR(C163="MELHORIA PEQUENA",C163="MELHORIA MÉDIA"),3,1),1,ListaFeriados)</f>
        <v>45854</v>
      </c>
      <c r="J163" s="2">
        <f>WORKDAY.INTL(I163,IF(C163="MELHORIA MÉDIA",20,IF(OR(C163="MELHORIA PEQUENA",C163="BUG NÃO IMPEDITIVO"),5,2)),1,$X:$X)</f>
        <v>45861</v>
      </c>
      <c r="K163" t="str">
        <f>IF(H163&gt;J163,"ATRASO","NO PRAZO")</f>
        <v>NO PRAZO</v>
      </c>
    </row>
    <row r="164" spans="1:11">
      <c r="A164" s="1">
        <v>20009</v>
      </c>
      <c r="B164" t="s">
        <v>6</v>
      </c>
      <c r="C164" t="s">
        <v>7</v>
      </c>
      <c r="D164" s="1">
        <v>921</v>
      </c>
      <c r="E164" s="1">
        <v>2025</v>
      </c>
      <c r="F164" s="2">
        <v>45806</v>
      </c>
      <c r="G164" s="2">
        <v>45810</v>
      </c>
      <c r="H164" s="2">
        <v>45811</v>
      </c>
      <c r="I164" s="2">
        <f>WORKDAY.INTL(F164,IF(OR(C164="MELHORIA PEQUENA",C164="MELHORIA MÉDIA"),3,1),1,ListaFeriados)</f>
        <v>45811</v>
      </c>
      <c r="J164" s="2">
        <f>WORKDAY.INTL(I164,IF(C164="MELHORIA MÉDIA",20,IF(OR(C164="MELHORIA PEQUENA",C164="BUG NÃO IMPEDITIVO"),5,2)),1,$X:$X)</f>
        <v>45818</v>
      </c>
      <c r="K164" t="str">
        <f>IF(H164&gt;J164,"ATRASO","NO PRAZO")</f>
        <v>NO PRAZO</v>
      </c>
    </row>
    <row r="165" spans="1:11">
      <c r="A165" s="1">
        <v>20017</v>
      </c>
      <c r="B165" t="s">
        <v>6</v>
      </c>
      <c r="C165" t="s">
        <v>7</v>
      </c>
      <c r="D165" s="1">
        <v>929</v>
      </c>
      <c r="E165" s="1">
        <v>2025</v>
      </c>
      <c r="F165" s="2">
        <v>45807</v>
      </c>
      <c r="G165" s="2">
        <v>45810</v>
      </c>
      <c r="H165" s="2">
        <v>45811</v>
      </c>
      <c r="I165" s="2">
        <f>WORKDAY.INTL(F165,IF(OR(C165="MELHORIA PEQUENA",C165="MELHORIA MÉDIA"),3,1),1,ListaFeriados)</f>
        <v>45812</v>
      </c>
      <c r="J165" s="2">
        <f>WORKDAY.INTL(I165,IF(C165="MELHORIA MÉDIA",20,IF(OR(C165="MELHORIA PEQUENA",C165="BUG NÃO IMPEDITIVO"),5,2)),1,$X:$X)</f>
        <v>45819</v>
      </c>
      <c r="K165" t="str">
        <f>IF(H165&gt;J165,"ATRASO","NO PRAZO")</f>
        <v>NO PRAZO</v>
      </c>
    </row>
    <row r="166" spans="1:11">
      <c r="A166" s="1">
        <v>20237</v>
      </c>
      <c r="B166" t="s">
        <v>9</v>
      </c>
      <c r="C166" t="s">
        <v>7</v>
      </c>
      <c r="D166" s="1">
        <v>1149</v>
      </c>
      <c r="E166" s="1">
        <v>2025</v>
      </c>
      <c r="F166" s="2">
        <v>45841</v>
      </c>
      <c r="G166" s="2">
        <v>45842</v>
      </c>
      <c r="H166" s="2">
        <v>45847</v>
      </c>
      <c r="I166" s="2">
        <f>WORKDAY.INTL(F166,IF(OR(C166="MELHORIA PEQUENA",C166="MELHORIA MÉDIA"),3,1),1,ListaFeriados)</f>
        <v>45846</v>
      </c>
      <c r="J166" s="2">
        <f>WORKDAY.INTL(I166,IF(C166="MELHORIA MÉDIA",20,IF(OR(C166="MELHORIA PEQUENA",C166="BUG NÃO IMPEDITIVO"),5,2)),1,$X:$X)</f>
        <v>45853</v>
      </c>
      <c r="K166" t="str">
        <f>IF(H166&gt;J166,"ATRASO","NO PRAZO")</f>
        <v>NO PRAZO</v>
      </c>
    </row>
    <row r="167" spans="1:11">
      <c r="A167" s="1">
        <v>20622</v>
      </c>
      <c r="B167" t="s">
        <v>6</v>
      </c>
      <c r="C167" t="s">
        <v>7</v>
      </c>
      <c r="D167" s="1">
        <v>1534</v>
      </c>
      <c r="E167" s="1">
        <v>2025</v>
      </c>
      <c r="F167" s="2">
        <v>45896</v>
      </c>
      <c r="G167" s="2">
        <v>45898</v>
      </c>
      <c r="H167" s="2">
        <v>45902</v>
      </c>
      <c r="I167" s="2">
        <f>WORKDAY.INTL(F167,IF(OR(C167="MELHORIA PEQUENA",C167="MELHORIA MÉDIA"),3,1),1,ListaFeriados)</f>
        <v>45901</v>
      </c>
      <c r="J167" s="2">
        <f>WORKDAY.INTL(I167,IF(C167="MELHORIA MÉDIA",20,IF(OR(C167="MELHORIA PEQUENA",C167="BUG NÃO IMPEDITIVO"),5,2)),1,$X:$X)</f>
        <v>45908</v>
      </c>
      <c r="K167" t="str">
        <f>IF(H167&gt;J167,"ATRASO","NO PRAZO")</f>
        <v>NO PRAZO</v>
      </c>
    </row>
    <row r="168" spans="1:11">
      <c r="A168" s="1">
        <v>20558</v>
      </c>
      <c r="B168" t="s">
        <v>14</v>
      </c>
      <c r="C168" t="s">
        <v>7</v>
      </c>
      <c r="D168" s="1">
        <v>1470</v>
      </c>
      <c r="E168" s="1">
        <v>2025</v>
      </c>
      <c r="F168" s="2">
        <v>45888</v>
      </c>
      <c r="G168" s="2">
        <v>45894</v>
      </c>
      <c r="H168" s="2">
        <v>45897</v>
      </c>
      <c r="I168" s="2">
        <f>WORKDAY.INTL(F168,IF(OR(C168="MELHORIA PEQUENA",C168="MELHORIA MÉDIA"),3,1),1,ListaFeriados)</f>
        <v>45891</v>
      </c>
      <c r="J168" s="2">
        <f>WORKDAY.INTL(I168,IF(C168="MELHORIA MÉDIA",20,IF(OR(C168="MELHORIA PEQUENA",C168="BUG NÃO IMPEDITIVO"),5,2)),1,$X:$X)</f>
        <v>45898</v>
      </c>
      <c r="K168" t="str">
        <f>IF(H168&gt;J168,"ATRASO","NO PRAZO")</f>
        <v>NO PRAZO</v>
      </c>
    </row>
    <row r="169" spans="1:11">
      <c r="A169" s="1">
        <v>20574</v>
      </c>
      <c r="B169" t="s">
        <v>13</v>
      </c>
      <c r="C169" t="s">
        <v>7</v>
      </c>
      <c r="D169" s="1">
        <v>1486</v>
      </c>
      <c r="E169" s="1">
        <v>2025</v>
      </c>
      <c r="F169" s="2">
        <v>45889</v>
      </c>
      <c r="G169" s="2">
        <v>45891</v>
      </c>
      <c r="H169" s="2">
        <v>45897</v>
      </c>
      <c r="I169" s="2">
        <f>WORKDAY.INTL(F169,IF(OR(C169="MELHORIA PEQUENA",C169="MELHORIA MÉDIA"),3,1),1,ListaFeriados)</f>
        <v>45894</v>
      </c>
      <c r="J169" s="2">
        <f>WORKDAY.INTL(I169,IF(C169="MELHORIA MÉDIA",20,IF(OR(C169="MELHORIA PEQUENA",C169="BUG NÃO IMPEDITIVO"),5,2)),1,$X:$X)</f>
        <v>45901</v>
      </c>
      <c r="K169" t="str">
        <f>IF(H169&gt;J169,"ATRASO","NO PRAZO")</f>
        <v>NO PRAZO</v>
      </c>
    </row>
    <row r="170" spans="1:11">
      <c r="A170" s="1">
        <v>20645</v>
      </c>
      <c r="B170" t="s">
        <v>13</v>
      </c>
      <c r="C170" t="s">
        <v>7</v>
      </c>
      <c r="D170" s="1">
        <v>1557</v>
      </c>
      <c r="E170" s="1">
        <v>2025</v>
      </c>
      <c r="F170" s="2">
        <v>45901</v>
      </c>
      <c r="G170" s="2">
        <v>45902</v>
      </c>
      <c r="H170" s="2">
        <v>45904</v>
      </c>
      <c r="I170" s="2">
        <f>WORKDAY.INTL(F170,IF(OR(C170="MELHORIA PEQUENA",C170="MELHORIA MÉDIA"),3,1),1,ListaFeriados)</f>
        <v>45904</v>
      </c>
      <c r="J170" s="2">
        <f>WORKDAY.INTL(I170,IF(C170="MELHORIA MÉDIA",20,IF(OR(C170="MELHORIA PEQUENA",C170="BUG NÃO IMPEDITIVO"),5,2)),1,$X:$X)</f>
        <v>45911</v>
      </c>
      <c r="K170" t="str">
        <f>IF(H170&gt;J170,"ATRASO","NO PRAZO")</f>
        <v>NO PRAZO</v>
      </c>
    </row>
    <row r="171" spans="1:11">
      <c r="A171" s="1">
        <v>21019</v>
      </c>
      <c r="B171" t="s">
        <v>9</v>
      </c>
      <c r="C171" t="s">
        <v>7</v>
      </c>
      <c r="D171" s="1">
        <v>1931</v>
      </c>
      <c r="E171" s="1">
        <v>2025</v>
      </c>
      <c r="F171" s="2">
        <v>45924</v>
      </c>
      <c r="G171" s="2">
        <v>45925</v>
      </c>
      <c r="H171" s="2">
        <v>45926</v>
      </c>
      <c r="I171" s="2">
        <f>WORKDAY.INTL(F171,IF(OR(C171="MELHORIA PEQUENA",C171="MELHORIA MÉDIA"),3,1),1,ListaFeriados)</f>
        <v>45929</v>
      </c>
      <c r="J171" s="2">
        <f>WORKDAY.INTL(I171,IF(C171="MELHORIA MÉDIA",20,IF(OR(C171="MELHORIA PEQUENA",C171="BUG NÃO IMPEDITIVO"),5,2)),1,$X:$X)</f>
        <v>45936</v>
      </c>
      <c r="K171" t="str">
        <f>IF(H171&gt;J171,"ATRASO","NO PRAZO")</f>
        <v>NO PRAZO</v>
      </c>
    </row>
    <row r="172" spans="1:11">
      <c r="A172" s="1">
        <v>19972</v>
      </c>
      <c r="B172" t="s">
        <v>11</v>
      </c>
      <c r="C172" t="s">
        <v>7</v>
      </c>
      <c r="D172" s="1">
        <v>884</v>
      </c>
      <c r="E172" s="1">
        <v>2025</v>
      </c>
      <c r="F172" s="2">
        <v>45800</v>
      </c>
      <c r="G172" s="2">
        <v>45805</v>
      </c>
      <c r="H172" s="2">
        <v>45810</v>
      </c>
      <c r="I172" s="2">
        <f>WORKDAY.INTL(F172,IF(OR(C172="MELHORIA PEQUENA",C172="MELHORIA MÉDIA"),3,1),1,ListaFeriados)</f>
        <v>45805</v>
      </c>
      <c r="J172" s="2">
        <f>WORKDAY.INTL(I172,IF(C172="MELHORIA MÉDIA",20,IF(OR(C172="MELHORIA PEQUENA",C172="BUG NÃO IMPEDITIVO"),5,2)),1,$X:$X)</f>
        <v>45812</v>
      </c>
      <c r="K172" t="str">
        <f>IF(H172&gt;J172,"ATRASO","NO PRAZO")</f>
        <v>NO PRAZO</v>
      </c>
    </row>
    <row r="173" spans="1:11">
      <c r="A173" s="1">
        <v>20411</v>
      </c>
      <c r="B173" t="s">
        <v>12</v>
      </c>
      <c r="C173" t="s">
        <v>7</v>
      </c>
      <c r="D173" s="1">
        <v>1323</v>
      </c>
      <c r="E173" s="1">
        <v>2025</v>
      </c>
      <c r="F173" s="2">
        <v>45866</v>
      </c>
      <c r="G173" s="2">
        <v>45867</v>
      </c>
      <c r="H173" s="2">
        <v>45867</v>
      </c>
      <c r="I173" s="2">
        <f>WORKDAY.INTL(F173,IF(OR(C173="MELHORIA PEQUENA",C173="MELHORIA MÉDIA"),3,1),1,ListaFeriados)</f>
        <v>45869</v>
      </c>
      <c r="J173" s="2">
        <f>WORKDAY.INTL(I173,IF(C173="MELHORIA MÉDIA",20,IF(OR(C173="MELHORIA PEQUENA",C173="BUG NÃO IMPEDITIVO"),5,2)),1,$X:$X)</f>
        <v>45876</v>
      </c>
      <c r="K173" t="str">
        <f>IF(H173&gt;J173,"ATRASO","NO PRAZO")</f>
        <v>NO PRAZO</v>
      </c>
    </row>
    <row r="174" spans="1:11">
      <c r="A174" s="1">
        <v>20293</v>
      </c>
      <c r="B174" t="s">
        <v>10</v>
      </c>
      <c r="C174" t="s">
        <v>7</v>
      </c>
      <c r="D174" s="1">
        <v>1205</v>
      </c>
      <c r="E174" s="1">
        <v>2025</v>
      </c>
      <c r="F174" s="2">
        <v>45852</v>
      </c>
      <c r="G174" s="2">
        <v>45853</v>
      </c>
      <c r="H174" s="2">
        <v>45859</v>
      </c>
      <c r="I174" s="2">
        <f>WORKDAY.INTL(F174,IF(OR(C174="MELHORIA PEQUENA",C174="MELHORIA MÉDIA"),3,1),1,ListaFeriados)</f>
        <v>45855</v>
      </c>
      <c r="J174" s="2">
        <f>WORKDAY.INTL(I174,IF(C174="MELHORIA MÉDIA",20,IF(OR(C174="MELHORIA PEQUENA",C174="BUG NÃO IMPEDITIVO"),5,2)),1,$X:$X)</f>
        <v>45862</v>
      </c>
      <c r="K174" t="str">
        <f>IF(H174&gt;J174,"ATRASO","NO PRAZO")</f>
        <v>NO PRAZO</v>
      </c>
    </row>
    <row r="175" spans="1:11">
      <c r="A175" s="1">
        <v>20439</v>
      </c>
      <c r="B175" t="s">
        <v>9</v>
      </c>
      <c r="C175" t="s">
        <v>7</v>
      </c>
      <c r="D175" s="1">
        <v>1351</v>
      </c>
      <c r="E175" s="1">
        <v>2025</v>
      </c>
      <c r="F175" s="2">
        <v>45869</v>
      </c>
      <c r="G175" s="2">
        <v>45870</v>
      </c>
      <c r="H175" s="2">
        <v>45876</v>
      </c>
      <c r="I175" s="2">
        <f>WORKDAY.INTL(F175,IF(OR(C175="MELHORIA PEQUENA",C175="MELHORIA MÉDIA"),3,1),1,ListaFeriados)</f>
        <v>45874</v>
      </c>
      <c r="J175" s="2">
        <f>WORKDAY.INTL(I175,IF(C175="MELHORIA MÉDIA",20,IF(OR(C175="MELHORIA PEQUENA",C175="BUG NÃO IMPEDITIVO"),5,2)),1,$X:$X)</f>
        <v>45881</v>
      </c>
      <c r="K175" t="str">
        <f>IF(H175&gt;J175,"ATRASO","NO PRAZO")</f>
        <v>NO PRAZO</v>
      </c>
    </row>
    <row r="176" spans="1:11">
      <c r="A176" s="1">
        <v>20014</v>
      </c>
      <c r="B176" t="s">
        <v>9</v>
      </c>
      <c r="C176" t="s">
        <v>7</v>
      </c>
      <c r="D176" s="1">
        <v>926</v>
      </c>
      <c r="E176" s="1">
        <v>2025</v>
      </c>
      <c r="F176" s="2">
        <v>45806</v>
      </c>
      <c r="G176" s="2">
        <v>45812</v>
      </c>
      <c r="H176" s="2">
        <v>45812</v>
      </c>
      <c r="I176" s="2">
        <f>WORKDAY.INTL(F176,IF(OR(C176="MELHORIA PEQUENA",C176="MELHORIA MÉDIA"),3,1),1,ListaFeriados)</f>
        <v>45811</v>
      </c>
      <c r="J176" s="2">
        <f>WORKDAY.INTL(I176,IF(C176="MELHORIA MÉDIA",20,IF(OR(C176="MELHORIA PEQUENA",C176="BUG NÃO IMPEDITIVO"),5,2)),1,$X:$X)</f>
        <v>45818</v>
      </c>
      <c r="K176" t="str">
        <f>IF(H176&gt;J176,"ATRASO","NO PRAZO")</f>
        <v>NO PRAZO</v>
      </c>
    </row>
    <row r="177" spans="1:11">
      <c r="A177" s="1">
        <v>21012</v>
      </c>
      <c r="B177" t="s">
        <v>9</v>
      </c>
      <c r="C177" t="s">
        <v>7</v>
      </c>
      <c r="D177" s="1">
        <v>1924</v>
      </c>
      <c r="E177" s="1">
        <v>2025</v>
      </c>
      <c r="F177" s="2">
        <v>45924</v>
      </c>
      <c r="G177" s="2">
        <v>45926</v>
      </c>
      <c r="H177" s="2">
        <v>45931</v>
      </c>
      <c r="I177" s="2">
        <f>WORKDAY.INTL(F177,IF(OR(C177="MELHORIA PEQUENA",C177="MELHORIA MÉDIA"),3,1),1,ListaFeriados)</f>
        <v>45929</v>
      </c>
      <c r="J177" s="2">
        <f>WORKDAY.INTL(I177,IF(C177="MELHORIA MÉDIA",20,IF(OR(C177="MELHORIA PEQUENA",C177="BUG NÃO IMPEDITIVO"),5,2)),1,$X:$X)</f>
        <v>45936</v>
      </c>
      <c r="K177" t="str">
        <f>IF(H177&gt;J177,"ATRASO","NO PRAZO")</f>
        <v>NO PRAZO</v>
      </c>
    </row>
    <row r="178" spans="1:11">
      <c r="A178" s="1">
        <v>20982</v>
      </c>
      <c r="B178" t="s">
        <v>14</v>
      </c>
      <c r="C178" t="s">
        <v>7</v>
      </c>
      <c r="D178" s="1">
        <v>1894</v>
      </c>
      <c r="E178" s="1">
        <v>2025</v>
      </c>
      <c r="F178" s="2">
        <v>45917</v>
      </c>
      <c r="G178" s="2">
        <v>45924</v>
      </c>
      <c r="H178" s="2">
        <v>45924</v>
      </c>
      <c r="I178" s="2">
        <f>WORKDAY.INTL(F178,IF(OR(C178="MELHORIA PEQUENA",C178="MELHORIA MÉDIA"),3,1),1,ListaFeriados)</f>
        <v>45922</v>
      </c>
      <c r="J178" s="2">
        <f>WORKDAY.INTL(I178,IF(C178="MELHORIA MÉDIA",20,IF(OR(C178="MELHORIA PEQUENA",C178="BUG NÃO IMPEDITIVO"),5,2)),1,$X:$X)</f>
        <v>45929</v>
      </c>
      <c r="K178" t="str">
        <f>IF(H178&gt;J178,"ATRASO","NO PRAZO")</f>
        <v>NO PRAZO</v>
      </c>
    </row>
    <row r="179" spans="1:11">
      <c r="A179" s="1">
        <v>20187</v>
      </c>
      <c r="B179" t="s">
        <v>11</v>
      </c>
      <c r="C179" t="s">
        <v>7</v>
      </c>
      <c r="D179" s="1">
        <v>1099</v>
      </c>
      <c r="E179" s="1">
        <v>2025</v>
      </c>
      <c r="F179" s="2">
        <v>45835</v>
      </c>
      <c r="G179" s="2">
        <v>45835</v>
      </c>
      <c r="H179" s="2">
        <v>45838</v>
      </c>
      <c r="I179" s="2">
        <f>WORKDAY.INTL(F179,IF(OR(C179="MELHORIA PEQUENA",C179="MELHORIA MÉDIA"),3,1),1,ListaFeriados)</f>
        <v>45840</v>
      </c>
      <c r="J179" s="2">
        <f>WORKDAY.INTL(I179,IF(C179="MELHORIA MÉDIA",20,IF(OR(C179="MELHORIA PEQUENA",C179="BUG NÃO IMPEDITIVO"),5,2)),1,$X:$X)</f>
        <v>45847</v>
      </c>
      <c r="K179" t="str">
        <f>IF(H179&gt;J179,"ATRASO","NO PRAZO")</f>
        <v>NO PRAZO</v>
      </c>
    </row>
    <row r="180" spans="1:11">
      <c r="A180" s="1">
        <v>20167</v>
      </c>
      <c r="B180" t="s">
        <v>8</v>
      </c>
      <c r="C180" t="s">
        <v>7</v>
      </c>
      <c r="D180" s="1">
        <v>1079</v>
      </c>
      <c r="E180" s="1">
        <v>2025</v>
      </c>
      <c r="F180" s="2">
        <v>45833</v>
      </c>
      <c r="G180" s="2">
        <v>45835</v>
      </c>
      <c r="H180" s="2">
        <v>45839</v>
      </c>
      <c r="I180" s="2">
        <f>WORKDAY.INTL(F180,IF(OR(C180="MELHORIA PEQUENA",C180="MELHORIA MÉDIA"),3,1),1,ListaFeriados)</f>
        <v>45838</v>
      </c>
      <c r="J180" s="2">
        <f>WORKDAY.INTL(I180,IF(C180="MELHORIA MÉDIA",20,IF(OR(C180="MELHORIA PEQUENA",C180="BUG NÃO IMPEDITIVO"),5,2)),1,$X:$X)</f>
        <v>45845</v>
      </c>
      <c r="K180" t="str">
        <f>IF(H180&gt;J180,"ATRASO","NO PRAZO")</f>
        <v>NO PRAZO</v>
      </c>
    </row>
    <row r="181" spans="1:11">
      <c r="A181" s="1">
        <v>20172</v>
      </c>
      <c r="B181" t="s">
        <v>6</v>
      </c>
      <c r="C181" t="s">
        <v>7</v>
      </c>
      <c r="D181" s="1">
        <v>1084</v>
      </c>
      <c r="E181" s="1">
        <v>2025</v>
      </c>
      <c r="F181" s="2">
        <v>45834</v>
      </c>
      <c r="G181" s="2">
        <v>45834</v>
      </c>
      <c r="H181" s="2">
        <v>45838</v>
      </c>
      <c r="I181" s="2">
        <f>WORKDAY.INTL(F181,IF(OR(C181="MELHORIA PEQUENA",C181="MELHORIA MÉDIA"),3,1),1,ListaFeriados)</f>
        <v>45839</v>
      </c>
      <c r="J181" s="2">
        <f>WORKDAY.INTL(I181,IF(C181="MELHORIA MÉDIA",20,IF(OR(C181="MELHORIA PEQUENA",C181="BUG NÃO IMPEDITIVO"),5,2)),1,$X:$X)</f>
        <v>45846</v>
      </c>
      <c r="K181" t="str">
        <f>IF(H181&gt;J181,"ATRASO","NO PRAZO")</f>
        <v>NO PRAZO</v>
      </c>
    </row>
    <row r="182" spans="1:11">
      <c r="A182" s="1">
        <v>20314</v>
      </c>
      <c r="B182" t="s">
        <v>12</v>
      </c>
      <c r="C182" t="s">
        <v>7</v>
      </c>
      <c r="D182" s="1">
        <v>1226</v>
      </c>
      <c r="E182" s="1">
        <v>2025</v>
      </c>
      <c r="F182" s="2">
        <v>45853</v>
      </c>
      <c r="G182" s="2">
        <v>45853</v>
      </c>
      <c r="H182" s="2">
        <v>45854</v>
      </c>
      <c r="I182" s="2">
        <f>WORKDAY.INTL(F182,IF(OR(C182="MELHORIA PEQUENA",C182="MELHORIA MÉDIA"),3,1),1,ListaFeriados)</f>
        <v>45856</v>
      </c>
      <c r="J182" s="2">
        <f>WORKDAY.INTL(I182,IF(C182="MELHORIA MÉDIA",20,IF(OR(C182="MELHORIA PEQUENA",C182="BUG NÃO IMPEDITIVO"),5,2)),1,$X:$X)</f>
        <v>45863</v>
      </c>
      <c r="K182" t="str">
        <f>IF(H182&gt;J182,"ATRASO","NO PRAZO")</f>
        <v>NO PRAZO</v>
      </c>
    </row>
    <row r="183" spans="1:11">
      <c r="A183" s="1">
        <v>20177</v>
      </c>
      <c r="B183" t="s">
        <v>9</v>
      </c>
      <c r="C183" t="s">
        <v>7</v>
      </c>
      <c r="D183" s="1">
        <v>1089</v>
      </c>
      <c r="E183" s="1">
        <v>2025</v>
      </c>
      <c r="F183" s="2">
        <v>45834</v>
      </c>
      <c r="G183" s="2">
        <v>45835</v>
      </c>
      <c r="H183" s="2">
        <v>45840</v>
      </c>
      <c r="I183" s="2">
        <f>WORKDAY.INTL(F183,IF(OR(C183="MELHORIA PEQUENA",C183="MELHORIA MÉDIA"),3,1),1,ListaFeriados)</f>
        <v>45839</v>
      </c>
      <c r="J183" s="2">
        <f>WORKDAY.INTL(I183,IF(C183="MELHORIA MÉDIA",20,IF(OR(C183="MELHORIA PEQUENA",C183="BUG NÃO IMPEDITIVO"),5,2)),1,$X:$X)</f>
        <v>45846</v>
      </c>
      <c r="K183" t="str">
        <f>IF(H183&gt;J183,"ATRASO","NO PRAZO")</f>
        <v>NO PRAZO</v>
      </c>
    </row>
    <row r="184" spans="1:11">
      <c r="A184" s="1">
        <v>20069</v>
      </c>
      <c r="B184" t="s">
        <v>8</v>
      </c>
      <c r="C184" t="s">
        <v>7</v>
      </c>
      <c r="D184" s="1">
        <v>981</v>
      </c>
      <c r="E184" s="1">
        <v>2025</v>
      </c>
      <c r="F184" s="2">
        <v>45814</v>
      </c>
      <c r="G184" s="2">
        <v>45817</v>
      </c>
      <c r="H184" s="2">
        <v>45817</v>
      </c>
      <c r="I184" s="2">
        <f>WORKDAY.INTL(F184,IF(OR(C184="MELHORIA PEQUENA",C184="MELHORIA MÉDIA"),3,1),1,ListaFeriados)</f>
        <v>45819</v>
      </c>
      <c r="J184" s="2">
        <f>WORKDAY.INTL(I184,IF(C184="MELHORIA MÉDIA",20,IF(OR(C184="MELHORIA PEQUENA",C184="BUG NÃO IMPEDITIVO"),5,2)),1,$X:$X)</f>
        <v>45826</v>
      </c>
      <c r="K184" t="str">
        <f>IF(H184&gt;J184,"ATRASO","NO PRAZO")</f>
        <v>NO PRAZO</v>
      </c>
    </row>
    <row r="185" spans="1:11">
      <c r="A185" s="1">
        <v>19867</v>
      </c>
      <c r="B185" t="s">
        <v>6</v>
      </c>
      <c r="C185" t="s">
        <v>7</v>
      </c>
      <c r="D185" s="1">
        <v>779</v>
      </c>
      <c r="E185" s="1">
        <v>2025</v>
      </c>
      <c r="F185" s="2">
        <v>45786</v>
      </c>
      <c r="G185" s="2">
        <v>45789</v>
      </c>
      <c r="H185" s="2">
        <v>45793</v>
      </c>
      <c r="I185" s="2">
        <f>WORKDAY.INTL(F185,IF(OR(C185="MELHORIA PEQUENA",C185="MELHORIA MÉDIA"),3,1),1,ListaFeriados)</f>
        <v>45791</v>
      </c>
      <c r="J185" s="2">
        <f>WORKDAY.INTL(I185,IF(C185="MELHORIA MÉDIA",20,IF(OR(C185="MELHORIA PEQUENA",C185="BUG NÃO IMPEDITIVO"),5,2)),1,$X:$X)</f>
        <v>45798</v>
      </c>
      <c r="K185" t="str">
        <f>IF(H185&gt;J185,"ATRASO","NO PRAZO")</f>
        <v>NO PRAZO</v>
      </c>
    </row>
    <row r="186" spans="1:11">
      <c r="A186" s="1">
        <v>20064</v>
      </c>
      <c r="B186" t="s">
        <v>9</v>
      </c>
      <c r="C186" t="s">
        <v>7</v>
      </c>
      <c r="D186" s="1">
        <v>976</v>
      </c>
      <c r="E186" s="1">
        <v>2025</v>
      </c>
      <c r="F186" s="2">
        <v>45814</v>
      </c>
      <c r="G186" s="2">
        <v>45817</v>
      </c>
      <c r="H186" s="2">
        <v>45820</v>
      </c>
      <c r="I186" s="2">
        <f>WORKDAY.INTL(F186,IF(OR(C186="MELHORIA PEQUENA",C186="MELHORIA MÉDIA"),3,1),1,ListaFeriados)</f>
        <v>45819</v>
      </c>
      <c r="J186" s="2">
        <f>WORKDAY.INTL(I186,IF(C186="MELHORIA MÉDIA",20,IF(OR(C186="MELHORIA PEQUENA",C186="BUG NÃO IMPEDITIVO"),5,2)),1,$X:$X)</f>
        <v>45826</v>
      </c>
      <c r="K186" t="str">
        <f>IF(H186&gt;J186,"ATRASO","NO PRAZO")</f>
        <v>NO PRAZO</v>
      </c>
    </row>
    <row r="187" spans="1:11">
      <c r="A187" s="1">
        <v>20147</v>
      </c>
      <c r="B187" t="s">
        <v>8</v>
      </c>
      <c r="C187" t="s">
        <v>7</v>
      </c>
      <c r="D187" s="1">
        <v>1059</v>
      </c>
      <c r="E187" s="1">
        <v>2025</v>
      </c>
      <c r="F187" s="2">
        <v>45831</v>
      </c>
      <c r="G187" s="2">
        <v>45831</v>
      </c>
      <c r="H187" s="2">
        <v>45832</v>
      </c>
      <c r="I187" s="2">
        <f>WORKDAY.INTL(F187,IF(OR(C187="MELHORIA PEQUENA",C187="MELHORIA MÉDIA"),3,1),1,ListaFeriados)</f>
        <v>45834</v>
      </c>
      <c r="J187" s="2">
        <f>WORKDAY.INTL(I187,IF(C187="MELHORIA MÉDIA",20,IF(OR(C187="MELHORIA PEQUENA",C187="BUG NÃO IMPEDITIVO"),5,2)),1,$X:$X)</f>
        <v>45841</v>
      </c>
      <c r="K187" t="str">
        <f>IF(H187&gt;J187,"ATRASO","NO PRAZO")</f>
        <v>NO PRAZO</v>
      </c>
    </row>
    <row r="188" spans="1:11">
      <c r="A188" s="1">
        <v>20012</v>
      </c>
      <c r="B188" t="s">
        <v>6</v>
      </c>
      <c r="C188" t="s">
        <v>7</v>
      </c>
      <c r="D188" s="1">
        <v>924</v>
      </c>
      <c r="E188" s="1">
        <v>2025</v>
      </c>
      <c r="F188" s="2">
        <v>45806</v>
      </c>
      <c r="G188" s="2">
        <v>45813</v>
      </c>
      <c r="H188" s="2">
        <v>45813</v>
      </c>
      <c r="I188" s="2">
        <f>WORKDAY.INTL(F188,IF(OR(C188="MELHORIA PEQUENA",C188="MELHORIA MÉDIA"),3,1),1,ListaFeriados)</f>
        <v>45811</v>
      </c>
      <c r="J188" s="2">
        <f>WORKDAY.INTL(I188,IF(C188="MELHORIA MÉDIA",20,IF(OR(C188="MELHORIA PEQUENA",C188="BUG NÃO IMPEDITIVO"),5,2)),1,$X:$X)</f>
        <v>45818</v>
      </c>
      <c r="K188" t="str">
        <f>IF(H188&gt;J188,"ATRASO","NO PRAZO")</f>
        <v>NO PRAZO</v>
      </c>
    </row>
    <row r="189" spans="1:11">
      <c r="A189" s="1">
        <v>20067</v>
      </c>
      <c r="B189" t="s">
        <v>6</v>
      </c>
      <c r="C189" t="s">
        <v>7</v>
      </c>
      <c r="D189" s="1">
        <v>979</v>
      </c>
      <c r="E189" s="1">
        <v>2025</v>
      </c>
      <c r="F189" s="2">
        <v>45814</v>
      </c>
      <c r="G189" s="2">
        <v>45814</v>
      </c>
      <c r="H189" s="2">
        <v>45818</v>
      </c>
      <c r="I189" s="2">
        <f>WORKDAY.INTL(F189,IF(OR(C189="MELHORIA PEQUENA",C189="MELHORIA MÉDIA"),3,1),1,ListaFeriados)</f>
        <v>45819</v>
      </c>
      <c r="J189" s="2">
        <f>WORKDAY.INTL(I189,IF(C189="MELHORIA MÉDIA",20,IF(OR(C189="MELHORIA PEQUENA",C189="BUG NÃO IMPEDITIVO"),5,2)),1,$X:$X)</f>
        <v>45826</v>
      </c>
      <c r="K189" t="str">
        <f>IF(H189&gt;J189,"ATRASO","NO PRAZO")</f>
        <v>NO PRAZO</v>
      </c>
    </row>
    <row r="190" spans="1:11">
      <c r="A190" s="1">
        <v>20350</v>
      </c>
      <c r="B190" t="s">
        <v>6</v>
      </c>
      <c r="C190" t="s">
        <v>7</v>
      </c>
      <c r="D190" s="1">
        <v>1262</v>
      </c>
      <c r="E190" s="1">
        <v>2025</v>
      </c>
      <c r="F190" s="2">
        <v>45856</v>
      </c>
      <c r="G190" s="2">
        <v>45860</v>
      </c>
      <c r="H190" s="2">
        <v>45861</v>
      </c>
      <c r="I190" s="2">
        <f>WORKDAY.INTL(F190,IF(OR(C190="MELHORIA PEQUENA",C190="MELHORIA MÉDIA"),3,1),1,ListaFeriados)</f>
        <v>45861</v>
      </c>
      <c r="J190" s="2">
        <f>WORKDAY.INTL(I190,IF(C190="MELHORIA MÉDIA",20,IF(OR(C190="MELHORIA PEQUENA",C190="BUG NÃO IMPEDITIVO"),5,2)),1,$X:$X)</f>
        <v>45868</v>
      </c>
      <c r="K190" t="str">
        <f>IF(H190&gt;J190,"ATRASO","NO PRAZO")</f>
        <v>NO PRAZO</v>
      </c>
    </row>
    <row r="191" spans="1:11">
      <c r="A191" s="1">
        <v>20376</v>
      </c>
      <c r="B191" t="s">
        <v>12</v>
      </c>
      <c r="C191" t="s">
        <v>7</v>
      </c>
      <c r="D191" s="1">
        <v>1288</v>
      </c>
      <c r="E191" s="1">
        <v>2025</v>
      </c>
      <c r="F191" s="2">
        <v>45860</v>
      </c>
      <c r="G191" s="2">
        <v>45862</v>
      </c>
      <c r="H191" s="2">
        <v>45862</v>
      </c>
      <c r="I191" s="2">
        <f>WORKDAY.INTL(F191,IF(OR(C191="MELHORIA PEQUENA",C191="MELHORIA MÉDIA"),3,1),1,ListaFeriados)</f>
        <v>45863</v>
      </c>
      <c r="J191" s="2">
        <f>WORKDAY.INTL(I191,IF(C191="MELHORIA MÉDIA",20,IF(OR(C191="MELHORIA PEQUENA",C191="BUG NÃO IMPEDITIVO"),5,2)),1,$X:$X)</f>
        <v>45870</v>
      </c>
      <c r="K191" t="str">
        <f>IF(H191&gt;J191,"ATRASO","NO PRAZO")</f>
        <v>NO PRAZO</v>
      </c>
    </row>
    <row r="192" spans="1:11">
      <c r="A192" s="1">
        <v>20578</v>
      </c>
      <c r="B192" t="s">
        <v>6</v>
      </c>
      <c r="C192" t="s">
        <v>7</v>
      </c>
      <c r="D192" s="1">
        <v>1490</v>
      </c>
      <c r="E192" s="1">
        <v>2025</v>
      </c>
      <c r="F192" s="2">
        <v>45889</v>
      </c>
      <c r="G192" s="2">
        <v>45890</v>
      </c>
      <c r="H192" s="2">
        <v>45896</v>
      </c>
      <c r="I192" s="2">
        <f>WORKDAY.INTL(F192,IF(OR(C192="MELHORIA PEQUENA",C192="MELHORIA MÉDIA"),3,1),1,ListaFeriados)</f>
        <v>45894</v>
      </c>
      <c r="J192" s="2">
        <f>WORKDAY.INTL(I192,IF(C192="MELHORIA MÉDIA",20,IF(OR(C192="MELHORIA PEQUENA",C192="BUG NÃO IMPEDITIVO"),5,2)),1,$X:$X)</f>
        <v>45901</v>
      </c>
      <c r="K192" t="str">
        <f>IF(H192&gt;J192,"ATRASO","NO PRAZO")</f>
        <v>NO PRAZO</v>
      </c>
    </row>
    <row r="193" spans="1:11">
      <c r="A193" s="1">
        <v>20382</v>
      </c>
      <c r="B193" t="s">
        <v>6</v>
      </c>
      <c r="C193" t="s">
        <v>7</v>
      </c>
      <c r="D193" s="1">
        <v>1294</v>
      </c>
      <c r="E193" s="1">
        <v>2025</v>
      </c>
      <c r="F193" s="2">
        <v>45860</v>
      </c>
      <c r="G193" s="2">
        <v>45866</v>
      </c>
      <c r="H193" s="2">
        <v>45867</v>
      </c>
      <c r="I193" s="2">
        <f>WORKDAY.INTL(F193,IF(OR(C193="MELHORIA PEQUENA",C193="MELHORIA MÉDIA"),3,1),1,ListaFeriados)</f>
        <v>45863</v>
      </c>
      <c r="J193" s="2">
        <f>WORKDAY.INTL(I193,IF(C193="MELHORIA MÉDIA",20,IF(OR(C193="MELHORIA PEQUENA",C193="BUG NÃO IMPEDITIVO"),5,2)),1,$X:$X)</f>
        <v>45870</v>
      </c>
      <c r="K193" t="str">
        <f>IF(H193&gt;J193,"ATRASO","NO PRAZO")</f>
        <v>NO PRAZO</v>
      </c>
    </row>
    <row r="194" spans="1:11">
      <c r="A194" s="1">
        <v>19975</v>
      </c>
      <c r="B194" t="s">
        <v>10</v>
      </c>
      <c r="C194" t="s">
        <v>7</v>
      </c>
      <c r="D194" s="1">
        <v>887</v>
      </c>
      <c r="E194" s="1">
        <v>2025</v>
      </c>
      <c r="F194" s="2">
        <v>45800</v>
      </c>
      <c r="G194" s="2">
        <v>45803</v>
      </c>
      <c r="H194" s="2">
        <v>45806</v>
      </c>
      <c r="I194" s="2">
        <f>WORKDAY.INTL(F194,IF(OR(C194="MELHORIA PEQUENA",C194="MELHORIA MÉDIA"),3,1),1,ListaFeriados)</f>
        <v>45805</v>
      </c>
      <c r="J194" s="2">
        <f>WORKDAY.INTL(I194,IF(C194="MELHORIA MÉDIA",20,IF(OR(C194="MELHORIA PEQUENA",C194="BUG NÃO IMPEDITIVO"),5,2)),1,$X:$X)</f>
        <v>45812</v>
      </c>
      <c r="K194" t="str">
        <f>IF(H194&gt;J194,"ATRASO","NO PRAZO")</f>
        <v>NO PRAZO</v>
      </c>
    </row>
    <row r="195" spans="1:11">
      <c r="A195" s="1">
        <v>20464</v>
      </c>
      <c r="B195" t="s">
        <v>9</v>
      </c>
      <c r="C195" t="s">
        <v>7</v>
      </c>
      <c r="D195" s="1">
        <v>1376</v>
      </c>
      <c r="E195" s="1">
        <v>2025</v>
      </c>
      <c r="F195" s="2">
        <v>45874</v>
      </c>
      <c r="G195" s="2">
        <v>45875</v>
      </c>
      <c r="H195" s="2">
        <v>45881</v>
      </c>
      <c r="I195" s="2">
        <f>WORKDAY.INTL(F195,IF(OR(C195="MELHORIA PEQUENA",C195="MELHORIA MÉDIA"),3,1),1,ListaFeriados)</f>
        <v>45877</v>
      </c>
      <c r="J195" s="2">
        <f>WORKDAY.INTL(I195,IF(C195="MELHORIA MÉDIA",20,IF(OR(C195="MELHORIA PEQUENA",C195="BUG NÃO IMPEDITIVO"),5,2)),1,$X:$X)</f>
        <v>45887</v>
      </c>
      <c r="K195" t="str">
        <f>IF(H195&gt;J195,"ATRASO","NO PRAZO")</f>
        <v>NO PRAZO</v>
      </c>
    </row>
    <row r="196" spans="1:11">
      <c r="A196" s="1">
        <v>20620</v>
      </c>
      <c r="B196" t="s">
        <v>6</v>
      </c>
      <c r="C196" t="s">
        <v>7</v>
      </c>
      <c r="D196" s="1">
        <v>1532</v>
      </c>
      <c r="E196" s="1">
        <v>2025</v>
      </c>
      <c r="F196" s="2">
        <v>45896</v>
      </c>
      <c r="G196" s="2">
        <v>45908</v>
      </c>
      <c r="H196" s="2">
        <v>45909</v>
      </c>
      <c r="I196" s="2">
        <f>WORKDAY.INTL(F196,IF(OR(C196="MELHORIA PEQUENA",C196="MELHORIA MÉDIA"),3,1),1,ListaFeriados)</f>
        <v>45901</v>
      </c>
      <c r="J196" s="2">
        <f>WORKDAY.INTL(I196,IF(C196="MELHORIA MÉDIA",20,IF(OR(C196="MELHORIA PEQUENA",C196="BUG NÃO IMPEDITIVO"),5,2)),1,$X:$X)</f>
        <v>45908</v>
      </c>
      <c r="K196" t="str">
        <f>IF(H196&gt;J196,"ATRASO","NO PRAZO")</f>
        <v>ATRASO</v>
      </c>
    </row>
    <row r="197" spans="1:11">
      <c r="A197" s="1">
        <v>20368</v>
      </c>
      <c r="B197" t="s">
        <v>6</v>
      </c>
      <c r="C197" t="s">
        <v>7</v>
      </c>
      <c r="D197" s="1">
        <v>1280</v>
      </c>
      <c r="E197" s="1">
        <v>2025</v>
      </c>
      <c r="F197" s="2">
        <v>45859</v>
      </c>
      <c r="G197" s="2">
        <v>45866</v>
      </c>
      <c r="H197" s="2">
        <v>45866</v>
      </c>
      <c r="I197" s="2">
        <f>WORKDAY.INTL(F197,IF(OR(C197="MELHORIA PEQUENA",C197="MELHORIA MÉDIA"),3,1),1,ListaFeriados)</f>
        <v>45862</v>
      </c>
      <c r="J197" s="2">
        <f>WORKDAY.INTL(I197,IF(C197="MELHORIA MÉDIA",20,IF(OR(C197="MELHORIA PEQUENA",C197="BUG NÃO IMPEDITIVO"),5,2)),1,$X:$X)</f>
        <v>45869</v>
      </c>
      <c r="K197" t="str">
        <f>IF(H197&gt;J197,"ATRASO","NO PRAZO")</f>
        <v>NO PRAZO</v>
      </c>
    </row>
    <row r="198" spans="1:11">
      <c r="A198" s="1">
        <v>19728</v>
      </c>
      <c r="B198" t="s">
        <v>6</v>
      </c>
      <c r="C198" t="s">
        <v>7</v>
      </c>
      <c r="D198" s="1">
        <v>640</v>
      </c>
      <c r="E198" s="1">
        <v>2025</v>
      </c>
      <c r="F198" s="2">
        <v>45757</v>
      </c>
      <c r="G198" s="2">
        <v>45758</v>
      </c>
      <c r="H198" s="2">
        <v>45762</v>
      </c>
      <c r="I198" s="2">
        <f>WORKDAY.INTL(F198,IF(OR(C198="MELHORIA PEQUENA",C198="MELHORIA MÉDIA"),3,1),1,ListaFeriados)</f>
        <v>45762</v>
      </c>
      <c r="J198" s="2">
        <f>WORKDAY.INTL(I198,IF(C198="MELHORIA MÉDIA",20,IF(OR(C198="MELHORIA PEQUENA",C198="BUG NÃO IMPEDITIVO"),5,2)),1,$X:$X)</f>
        <v>45772</v>
      </c>
      <c r="K198" t="str">
        <f>IF(H198&gt;J198,"ATRASO","NO PRAZO")</f>
        <v>NO PRAZO</v>
      </c>
    </row>
    <row r="199" spans="1:11">
      <c r="A199" s="1">
        <v>19541</v>
      </c>
      <c r="B199" t="s">
        <v>9</v>
      </c>
      <c r="C199" t="s">
        <v>7</v>
      </c>
      <c r="D199" s="1">
        <v>453</v>
      </c>
      <c r="E199" s="1">
        <v>2025</v>
      </c>
      <c r="F199" s="2">
        <v>45733</v>
      </c>
      <c r="G199" s="2">
        <v>45737</v>
      </c>
      <c r="H199" s="2">
        <v>45740</v>
      </c>
      <c r="I199" s="2">
        <f>WORKDAY.INTL(F199,IF(OR(C199="MELHORIA PEQUENA",C199="MELHORIA MÉDIA"),3,1),1,ListaFeriados)</f>
        <v>45736</v>
      </c>
      <c r="J199" s="2">
        <f>WORKDAY.INTL(I199,IF(C199="MELHORIA MÉDIA",20,IF(OR(C199="MELHORIA PEQUENA",C199="BUG NÃO IMPEDITIVO"),5,2)),1,$X:$X)</f>
        <v>45743</v>
      </c>
      <c r="K199" t="str">
        <f>IF(H199&gt;J199,"ATRASO","NO PRAZO")</f>
        <v>NO PRAZO</v>
      </c>
    </row>
    <row r="200" spans="1:11">
      <c r="A200" s="1">
        <v>18692</v>
      </c>
      <c r="B200" t="s">
        <v>8</v>
      </c>
      <c r="C200" t="s">
        <v>7</v>
      </c>
      <c r="D200" s="1">
        <v>2879</v>
      </c>
      <c r="E200" s="1">
        <v>2024</v>
      </c>
      <c r="F200" s="2">
        <v>45575</v>
      </c>
      <c r="G200" s="2">
        <v>45580</v>
      </c>
      <c r="H200" s="2">
        <v>45580</v>
      </c>
      <c r="I200" s="2">
        <f>WORKDAY.INTL(F200,IF(OR(C200="MELHORIA PEQUENA",C200="MELHORIA MÉDIA"),3,1),1,ListaFeriados)</f>
        <v>45580</v>
      </c>
      <c r="J200" s="2">
        <f>WORKDAY.INTL(I200,IF(C200="MELHORIA MÉDIA",20,IF(OR(C200="MELHORIA PEQUENA",C200="BUG NÃO IMPEDITIVO"),5,2)),1,$X:$X)</f>
        <v>45588</v>
      </c>
      <c r="K200" t="str">
        <f>IF(H200&gt;J200,"ATRASO","NO PRAZO")</f>
        <v>NO PRAZO</v>
      </c>
    </row>
    <row r="201" spans="1:11">
      <c r="A201" s="1">
        <v>19334</v>
      </c>
      <c r="B201" t="s">
        <v>6</v>
      </c>
      <c r="C201" t="s">
        <v>7</v>
      </c>
      <c r="D201" s="1">
        <v>246</v>
      </c>
      <c r="E201" s="1">
        <v>2025</v>
      </c>
      <c r="F201" s="2">
        <v>45698</v>
      </c>
      <c r="G201" s="2">
        <v>45699</v>
      </c>
      <c r="H201" s="2">
        <v>45700</v>
      </c>
      <c r="I201" s="2">
        <f>WORKDAY.INTL(F201,IF(OR(C201="MELHORIA PEQUENA",C201="MELHORIA MÉDIA"),3,1),1,ListaFeriados)</f>
        <v>45701</v>
      </c>
      <c r="J201" s="2">
        <f>WORKDAY.INTL(I201,IF(C201="MELHORIA MÉDIA",20,IF(OR(C201="MELHORIA PEQUENA",C201="BUG NÃO IMPEDITIVO"),5,2)),1,$X:$X)</f>
        <v>45708</v>
      </c>
      <c r="K201" t="str">
        <f>IF(H201&gt;J201,"ATRASO","NO PRAZO")</f>
        <v>NO PRAZO</v>
      </c>
    </row>
    <row r="202" spans="1:11">
      <c r="A202" s="1">
        <v>19544</v>
      </c>
      <c r="B202" t="s">
        <v>9</v>
      </c>
      <c r="C202" t="s">
        <v>7</v>
      </c>
      <c r="D202" s="1">
        <v>456</v>
      </c>
      <c r="E202" s="1">
        <v>2025</v>
      </c>
      <c r="F202" s="2">
        <v>45733</v>
      </c>
      <c r="G202" s="2">
        <v>45737</v>
      </c>
      <c r="H202" s="2">
        <v>45737</v>
      </c>
      <c r="I202" s="2">
        <f>WORKDAY.INTL(F202,IF(OR(C202="MELHORIA PEQUENA",C202="MELHORIA MÉDIA"),3,1),1,ListaFeriados)</f>
        <v>45736</v>
      </c>
      <c r="J202" s="2">
        <f>WORKDAY.INTL(I202,IF(C202="MELHORIA MÉDIA",20,IF(OR(C202="MELHORIA PEQUENA",C202="BUG NÃO IMPEDITIVO"),5,2)),1,$X:$X)</f>
        <v>45743</v>
      </c>
      <c r="K202" t="str">
        <f>IF(H202&gt;J202,"ATRASO","NO PRAZO")</f>
        <v>NO PRAZO</v>
      </c>
    </row>
    <row r="203" spans="1:11">
      <c r="A203" s="1">
        <v>19880</v>
      </c>
      <c r="B203" t="s">
        <v>6</v>
      </c>
      <c r="C203" t="s">
        <v>7</v>
      </c>
      <c r="D203" s="1">
        <v>792</v>
      </c>
      <c r="E203" s="1">
        <v>2025</v>
      </c>
      <c r="F203" s="2">
        <v>45789</v>
      </c>
      <c r="G203" s="2">
        <v>45789</v>
      </c>
      <c r="H203" s="2">
        <v>45790</v>
      </c>
      <c r="I203" s="2">
        <f>WORKDAY.INTL(F203,IF(OR(C203="MELHORIA PEQUENA",C203="MELHORIA MÉDIA"),3,1),1,ListaFeriados)</f>
        <v>45792</v>
      </c>
      <c r="J203" s="2">
        <f>WORKDAY.INTL(I203,IF(C203="MELHORIA MÉDIA",20,IF(OR(C203="MELHORIA PEQUENA",C203="BUG NÃO IMPEDITIVO"),5,2)),1,$X:$X)</f>
        <v>45799</v>
      </c>
      <c r="K203" t="str">
        <f>IF(H203&gt;J203,"ATRASO","NO PRAZO")</f>
        <v>NO PRAZO</v>
      </c>
    </row>
    <row r="204" spans="1:11">
      <c r="A204" s="1">
        <v>18752</v>
      </c>
      <c r="B204" t="s">
        <v>6</v>
      </c>
      <c r="C204" t="s">
        <v>7</v>
      </c>
      <c r="D204" s="1">
        <v>2939</v>
      </c>
      <c r="E204" s="1">
        <v>2024</v>
      </c>
      <c r="F204" s="2">
        <v>45587</v>
      </c>
      <c r="G204" s="2">
        <v>45588</v>
      </c>
      <c r="H204" s="2">
        <v>45589</v>
      </c>
      <c r="I204" s="2">
        <f>WORKDAY.INTL(F204,IF(OR(C204="MELHORIA PEQUENA",C204="MELHORIA MÉDIA"),3,1),1,ListaFeriados)</f>
        <v>45590</v>
      </c>
      <c r="J204" s="2">
        <f>WORKDAY.INTL(I204,IF(C204="MELHORIA MÉDIA",20,IF(OR(C204="MELHORIA PEQUENA",C204="BUG NÃO IMPEDITIVO"),5,2)),1,$X:$X)</f>
        <v>45600</v>
      </c>
      <c r="K204" t="str">
        <f>IF(H204&gt;J204,"ATRASO","NO PRAZO")</f>
        <v>NO PRAZO</v>
      </c>
    </row>
    <row r="205" spans="1:11">
      <c r="A205" s="1">
        <v>18996</v>
      </c>
      <c r="B205" t="s">
        <v>13</v>
      </c>
      <c r="C205" t="s">
        <v>7</v>
      </c>
      <c r="D205" s="1">
        <v>3183</v>
      </c>
      <c r="E205" s="1">
        <v>2024</v>
      </c>
      <c r="F205" s="2">
        <v>45637</v>
      </c>
      <c r="G205" s="2">
        <v>45637</v>
      </c>
      <c r="H205" s="2">
        <v>45637</v>
      </c>
      <c r="I205" s="2">
        <f>WORKDAY.INTL(F205,IF(OR(C205="MELHORIA PEQUENA",C205="MELHORIA MÉDIA"),3,1),1,ListaFeriados)</f>
        <v>45642</v>
      </c>
      <c r="J205" s="2">
        <f>WORKDAY.INTL(I205,IF(C205="MELHORIA MÉDIA",20,IF(OR(C205="MELHORIA PEQUENA",C205="BUG NÃO IMPEDITIVO"),5,2)),1,$X:$X)</f>
        <v>45649</v>
      </c>
      <c r="K205" t="str">
        <f>IF(H205&gt;J205,"ATRASO","NO PRAZO")</f>
        <v>NO PRAZO</v>
      </c>
    </row>
    <row r="206" spans="1:11">
      <c r="A206" s="1">
        <v>19043</v>
      </c>
      <c r="B206" t="s">
        <v>6</v>
      </c>
      <c r="C206" t="s">
        <v>7</v>
      </c>
      <c r="D206" s="1">
        <v>3230</v>
      </c>
      <c r="E206" s="1">
        <v>2024</v>
      </c>
      <c r="F206" s="2">
        <v>45644</v>
      </c>
      <c r="G206" s="2">
        <v>45645</v>
      </c>
      <c r="H206" s="2">
        <v>45645</v>
      </c>
      <c r="I206" s="2">
        <f>WORKDAY.INTL(F206,IF(OR(C206="MELHORIA PEQUENA",C206="MELHORIA MÉDIA"),3,1),1,ListaFeriados)</f>
        <v>45649</v>
      </c>
      <c r="J206" s="2">
        <f>WORKDAY.INTL(I206,IF(C206="MELHORIA MÉDIA",20,IF(OR(C206="MELHORIA PEQUENA",C206="BUG NÃO IMPEDITIVO"),5,2)),1,$X:$X)</f>
        <v>45657</v>
      </c>
      <c r="K206" t="str">
        <f>IF(H206&gt;J206,"ATRASO","NO PRAZO")</f>
        <v>NO PRAZO</v>
      </c>
    </row>
    <row r="207" spans="1:11">
      <c r="A207" s="1">
        <v>19613</v>
      </c>
      <c r="B207" t="s">
        <v>9</v>
      </c>
      <c r="C207" t="s">
        <v>7</v>
      </c>
      <c r="D207" s="1">
        <v>525</v>
      </c>
      <c r="E207" s="1">
        <v>2025</v>
      </c>
      <c r="F207" s="2">
        <v>45742</v>
      </c>
      <c r="G207" s="2">
        <v>45747</v>
      </c>
      <c r="H207" s="2">
        <v>45749</v>
      </c>
      <c r="I207" s="2">
        <f>WORKDAY.INTL(F207,IF(OR(C207="MELHORIA PEQUENA",C207="MELHORIA MÉDIA"),3,1),1,ListaFeriados)</f>
        <v>45747</v>
      </c>
      <c r="J207" s="2">
        <f>WORKDAY.INTL(I207,IF(C207="MELHORIA MÉDIA",20,IF(OR(C207="MELHORIA PEQUENA",C207="BUG NÃO IMPEDITIVO"),5,2)),1,$X:$X)</f>
        <v>45754</v>
      </c>
      <c r="K207" t="str">
        <f>IF(H207&gt;J207,"ATRASO","NO PRAZO")</f>
        <v>NO PRAZO</v>
      </c>
    </row>
    <row r="208" spans="1:11">
      <c r="A208" s="1">
        <v>18751</v>
      </c>
      <c r="B208" t="s">
        <v>6</v>
      </c>
      <c r="C208" t="s">
        <v>7</v>
      </c>
      <c r="D208" s="1">
        <v>2938</v>
      </c>
      <c r="E208" s="1">
        <v>2024</v>
      </c>
      <c r="F208" s="2">
        <v>45587</v>
      </c>
      <c r="G208" s="2">
        <v>45588</v>
      </c>
      <c r="H208" s="2">
        <v>45594</v>
      </c>
      <c r="I208" s="2">
        <f>WORKDAY.INTL(F208,IF(OR(C208="MELHORIA PEQUENA",C208="MELHORIA MÉDIA"),3,1),1,ListaFeriados)</f>
        <v>45590</v>
      </c>
      <c r="J208" s="2">
        <f>WORKDAY.INTL(I208,IF(C208="MELHORIA MÉDIA",20,IF(OR(C208="MELHORIA PEQUENA",C208="BUG NÃO IMPEDITIVO"),5,2)),1,$X:$X)</f>
        <v>45600</v>
      </c>
      <c r="K208" t="str">
        <f>IF(H208&gt;J208,"ATRASO","NO PRAZO")</f>
        <v>NO PRAZO</v>
      </c>
    </row>
    <row r="209" spans="1:11">
      <c r="A209" s="1">
        <v>18894</v>
      </c>
      <c r="B209" t="s">
        <v>6</v>
      </c>
      <c r="C209" t="s">
        <v>7</v>
      </c>
      <c r="D209" s="1">
        <v>3081</v>
      </c>
      <c r="E209" s="1">
        <v>2024</v>
      </c>
      <c r="F209" s="2">
        <v>45622</v>
      </c>
      <c r="G209" s="2">
        <v>45622</v>
      </c>
      <c r="H209" s="2">
        <v>45622</v>
      </c>
      <c r="I209" s="2">
        <f>WORKDAY.INTL(F209,IF(OR(C209="MELHORIA PEQUENA",C209="MELHORIA MÉDIA"),3,1),1,ListaFeriados)</f>
        <v>45625</v>
      </c>
      <c r="J209" s="2">
        <f>WORKDAY.INTL(I209,IF(C209="MELHORIA MÉDIA",20,IF(OR(C209="MELHORIA PEQUENA",C209="BUG NÃO IMPEDITIVO"),5,2)),1,$X:$X)</f>
        <v>45632</v>
      </c>
      <c r="K209" t="str">
        <f>IF(H209&gt;J209,"ATRASO","NO PRAZO")</f>
        <v>NO PRAZO</v>
      </c>
    </row>
    <row r="210" spans="1:11">
      <c r="A210" s="1">
        <v>19510</v>
      </c>
      <c r="B210" t="s">
        <v>6</v>
      </c>
      <c r="C210" t="s">
        <v>7</v>
      </c>
      <c r="D210" s="1">
        <v>422</v>
      </c>
      <c r="E210" s="1">
        <v>2025</v>
      </c>
      <c r="F210" s="2">
        <v>45729</v>
      </c>
      <c r="G210" s="2">
        <v>45730</v>
      </c>
      <c r="H210" s="2">
        <v>45735</v>
      </c>
      <c r="I210" s="2">
        <f>WORKDAY.INTL(F210,IF(OR(C210="MELHORIA PEQUENA",C210="MELHORIA MÉDIA"),3,1),1,ListaFeriados)</f>
        <v>45734</v>
      </c>
      <c r="J210" s="2">
        <f>WORKDAY.INTL(I210,IF(C210="MELHORIA MÉDIA",20,IF(OR(C210="MELHORIA PEQUENA",C210="BUG NÃO IMPEDITIVO"),5,2)),1,$X:$X)</f>
        <v>45741</v>
      </c>
      <c r="K210" t="str">
        <f>IF(H210&gt;J210,"ATRASO","NO PRAZO")</f>
        <v>NO PRAZO</v>
      </c>
    </row>
    <row r="211" spans="1:11">
      <c r="A211" s="1">
        <v>19322</v>
      </c>
      <c r="B211" t="s">
        <v>11</v>
      </c>
      <c r="C211" t="s">
        <v>7</v>
      </c>
      <c r="D211" s="1">
        <v>234</v>
      </c>
      <c r="E211" s="1">
        <v>2025</v>
      </c>
      <c r="F211" s="2">
        <v>45695</v>
      </c>
      <c r="G211" s="2">
        <v>45695</v>
      </c>
      <c r="H211" s="2">
        <v>45699</v>
      </c>
      <c r="I211" s="2">
        <f>WORKDAY.INTL(F211,IF(OR(C211="MELHORIA PEQUENA",C211="MELHORIA MÉDIA"),3,1),1,ListaFeriados)</f>
        <v>45700</v>
      </c>
      <c r="J211" s="2">
        <f>WORKDAY.INTL(I211,IF(C211="MELHORIA MÉDIA",20,IF(OR(C211="MELHORIA PEQUENA",C211="BUG NÃO IMPEDITIVO"),5,2)),1,$X:$X)</f>
        <v>45707</v>
      </c>
      <c r="K211" t="str">
        <f>IF(H211&gt;J211,"ATRASO","NO PRAZO")</f>
        <v>NO PRAZO</v>
      </c>
    </row>
    <row r="212" spans="1:11">
      <c r="A212" s="1">
        <v>19881</v>
      </c>
      <c r="B212" t="s">
        <v>6</v>
      </c>
      <c r="C212" t="s">
        <v>7</v>
      </c>
      <c r="D212" s="1">
        <v>793</v>
      </c>
      <c r="E212" s="1">
        <v>2025</v>
      </c>
      <c r="F212" s="2">
        <v>45789</v>
      </c>
      <c r="G212" s="2">
        <v>45789</v>
      </c>
      <c r="H212" s="2">
        <v>45790</v>
      </c>
      <c r="I212" s="2">
        <f>WORKDAY.INTL(F212,IF(OR(C212="MELHORIA PEQUENA",C212="MELHORIA MÉDIA"),3,1),1,ListaFeriados)</f>
        <v>45792</v>
      </c>
      <c r="J212" s="2">
        <f>WORKDAY.INTL(I212,IF(C212="MELHORIA MÉDIA",20,IF(OR(C212="MELHORIA PEQUENA",C212="BUG NÃO IMPEDITIVO"),5,2)),1,$X:$X)</f>
        <v>45799</v>
      </c>
      <c r="K212" t="str">
        <f>IF(H212&gt;J212,"ATRASO","NO PRAZO")</f>
        <v>NO PRAZO</v>
      </c>
    </row>
    <row r="213" spans="1:11">
      <c r="A213" s="1">
        <v>18856</v>
      </c>
      <c r="B213" t="s">
        <v>8</v>
      </c>
      <c r="C213" t="s">
        <v>7</v>
      </c>
      <c r="D213" s="1">
        <v>3043</v>
      </c>
      <c r="E213" s="1">
        <v>2024</v>
      </c>
      <c r="F213" s="2">
        <v>45609</v>
      </c>
      <c r="G213" s="2">
        <v>45610</v>
      </c>
      <c r="H213" s="2">
        <v>45622</v>
      </c>
      <c r="I213" s="2">
        <f>WORKDAY.INTL(F213,IF(OR(C213="MELHORIA PEQUENA",C213="MELHORIA MÉDIA"),3,1),1,ListaFeriados)</f>
        <v>45615</v>
      </c>
      <c r="J213" s="2">
        <f>WORKDAY.INTL(I213,IF(C213="MELHORIA MÉDIA",20,IF(OR(C213="MELHORIA PEQUENA",C213="BUG NÃO IMPEDITIVO"),5,2)),1,$X:$X)</f>
        <v>45623</v>
      </c>
      <c r="K213" t="str">
        <f>IF(H213&gt;J213,"ATRASO","NO PRAZO")</f>
        <v>NO PRAZO</v>
      </c>
    </row>
    <row r="214" spans="1:11">
      <c r="A214" s="1">
        <v>18836</v>
      </c>
      <c r="B214" t="s">
        <v>9</v>
      </c>
      <c r="C214" t="s">
        <v>7</v>
      </c>
      <c r="D214" s="1">
        <v>3023</v>
      </c>
      <c r="E214" s="1">
        <v>2024</v>
      </c>
      <c r="F214" s="2">
        <v>45607</v>
      </c>
      <c r="G214" s="2">
        <v>45610</v>
      </c>
      <c r="H214" s="2">
        <v>45639</v>
      </c>
      <c r="I214" s="2">
        <f>WORKDAY.INTL(F214,IF(OR(C214="MELHORIA PEQUENA",C214="MELHORIA MÉDIA"),3,1),1,ListaFeriados)</f>
        <v>45610</v>
      </c>
      <c r="J214" s="2">
        <f>WORKDAY.INTL(I214,IF(C214="MELHORIA MÉDIA",20,IF(OR(C214="MELHORIA PEQUENA",C214="BUG NÃO IMPEDITIVO"),5,2)),1,$X:$X)</f>
        <v>45621</v>
      </c>
      <c r="K214" t="str">
        <f>IF(H214&gt;J214,"ATRASO","NO PRAZO")</f>
        <v>ATRASO</v>
      </c>
    </row>
    <row r="215" spans="1:11">
      <c r="A215" s="1">
        <v>19281</v>
      </c>
      <c r="B215" t="s">
        <v>6</v>
      </c>
      <c r="C215" t="s">
        <v>7</v>
      </c>
      <c r="D215" s="1">
        <v>193</v>
      </c>
      <c r="E215" s="1">
        <v>2025</v>
      </c>
      <c r="F215" s="2">
        <v>45688</v>
      </c>
      <c r="G215" s="2">
        <v>45691</v>
      </c>
      <c r="H215" s="2">
        <v>45693</v>
      </c>
      <c r="I215" s="2">
        <f>WORKDAY.INTL(F215,IF(OR(C215="MELHORIA PEQUENA",C215="MELHORIA MÉDIA"),3,1),1,ListaFeriados)</f>
        <v>45693</v>
      </c>
      <c r="J215" s="2">
        <f>WORKDAY.INTL(I215,IF(C215="MELHORIA MÉDIA",20,IF(OR(C215="MELHORIA PEQUENA",C215="BUG NÃO IMPEDITIVO"),5,2)),1,$X:$X)</f>
        <v>45700</v>
      </c>
      <c r="K215" t="str">
        <f>IF(H215&gt;J215,"ATRASO","NO PRAZO")</f>
        <v>NO PRAZO</v>
      </c>
    </row>
    <row r="216" spans="1:11">
      <c r="A216" s="1">
        <v>19359</v>
      </c>
      <c r="B216" t="s">
        <v>14</v>
      </c>
      <c r="C216" t="s">
        <v>7</v>
      </c>
      <c r="D216" s="1">
        <v>271</v>
      </c>
      <c r="E216" s="1">
        <v>2025</v>
      </c>
      <c r="F216" s="2">
        <v>45702</v>
      </c>
      <c r="G216" s="2">
        <v>45702</v>
      </c>
      <c r="H216" s="2">
        <v>45708</v>
      </c>
      <c r="I216" s="2">
        <f>WORKDAY.INTL(F216,IF(OR(C216="MELHORIA PEQUENA",C216="MELHORIA MÉDIA"),3,1),1,ListaFeriados)</f>
        <v>45707</v>
      </c>
      <c r="J216" s="2">
        <f>WORKDAY.INTL(I216,IF(C216="MELHORIA MÉDIA",20,IF(OR(C216="MELHORIA PEQUENA",C216="BUG NÃO IMPEDITIVO"),5,2)),1,$X:$X)</f>
        <v>45714</v>
      </c>
      <c r="K216" t="str">
        <f>IF(H216&gt;J216,"ATRASO","NO PRAZO")</f>
        <v>NO PRAZO</v>
      </c>
    </row>
    <row r="217" spans="1:11">
      <c r="A217" s="1">
        <v>19394</v>
      </c>
      <c r="B217" t="s">
        <v>6</v>
      </c>
      <c r="C217" t="s">
        <v>7</v>
      </c>
      <c r="D217" s="1">
        <v>306</v>
      </c>
      <c r="E217" s="1">
        <v>2025</v>
      </c>
      <c r="F217" s="2">
        <v>45707</v>
      </c>
      <c r="G217" s="2">
        <v>45708</v>
      </c>
      <c r="H217" s="2">
        <v>45709</v>
      </c>
      <c r="I217" s="2">
        <f>WORKDAY.INTL(F217,IF(OR(C217="MELHORIA PEQUENA",C217="MELHORIA MÉDIA"),3,1),1,ListaFeriados)</f>
        <v>45712</v>
      </c>
      <c r="J217" s="2">
        <f>WORKDAY.INTL(I217,IF(C217="MELHORIA MÉDIA",20,IF(OR(C217="MELHORIA PEQUENA",C217="BUG NÃO IMPEDITIVO"),5,2)),1,$X:$X)</f>
        <v>45721</v>
      </c>
      <c r="K217" t="str">
        <f>IF(H217&gt;J217,"ATRASO","NO PRAZO")</f>
        <v>NO PRAZO</v>
      </c>
    </row>
    <row r="218" spans="1:11">
      <c r="A218" s="1">
        <v>19209</v>
      </c>
      <c r="B218" t="s">
        <v>6</v>
      </c>
      <c r="C218" t="s">
        <v>7</v>
      </c>
      <c r="D218" s="1">
        <v>121</v>
      </c>
      <c r="E218" s="1">
        <v>2025</v>
      </c>
      <c r="F218" s="2">
        <v>45679</v>
      </c>
      <c r="G218" s="2">
        <v>45680</v>
      </c>
      <c r="H218" s="2">
        <v>45680</v>
      </c>
      <c r="I218" s="2">
        <f>WORKDAY.INTL(F218,IF(OR(C218="MELHORIA PEQUENA",C218="MELHORIA MÉDIA"),3,1),1,ListaFeriados)</f>
        <v>45684</v>
      </c>
      <c r="J218" s="2">
        <f>WORKDAY.INTL(I218,IF(C218="MELHORIA MÉDIA",20,IF(OR(C218="MELHORIA PEQUENA",C218="BUG NÃO IMPEDITIVO"),5,2)),1,$X:$X)</f>
        <v>45691</v>
      </c>
      <c r="K218" t="str">
        <f>IF(H218&gt;J218,"ATRASO","NO PRAZO")</f>
        <v>NO PRAZO</v>
      </c>
    </row>
    <row r="219" spans="1:11">
      <c r="A219" s="1">
        <v>19449</v>
      </c>
      <c r="B219" t="s">
        <v>6</v>
      </c>
      <c r="C219" t="s">
        <v>7</v>
      </c>
      <c r="D219" s="1">
        <v>361</v>
      </c>
      <c r="E219" s="1">
        <v>2025</v>
      </c>
      <c r="F219" s="2">
        <v>45715</v>
      </c>
      <c r="G219" s="2">
        <v>45716</v>
      </c>
      <c r="H219" s="2">
        <v>45722</v>
      </c>
      <c r="I219" s="2">
        <f>WORKDAY.INTL(F219,IF(OR(C219="MELHORIA PEQUENA",C219="MELHORIA MÉDIA"),3,1),1,ListaFeriados)</f>
        <v>45722</v>
      </c>
      <c r="J219" s="2">
        <f>WORKDAY.INTL(I219,IF(C219="MELHORIA MÉDIA",20,IF(OR(C219="MELHORIA PEQUENA",C219="BUG NÃO IMPEDITIVO"),5,2)),1,$X:$X)</f>
        <v>45729</v>
      </c>
      <c r="K219" t="str">
        <f>IF(H219&gt;J219,"ATRASO","NO PRAZO")</f>
        <v>NO PRAZO</v>
      </c>
    </row>
    <row r="220" spans="1:11">
      <c r="A220" s="1">
        <v>19139</v>
      </c>
      <c r="B220" t="s">
        <v>9</v>
      </c>
      <c r="C220" t="s">
        <v>7</v>
      </c>
      <c r="D220" s="1">
        <v>51</v>
      </c>
      <c r="E220" s="1">
        <v>2025</v>
      </c>
      <c r="F220" s="2">
        <v>45667</v>
      </c>
      <c r="G220" s="2">
        <v>45670</v>
      </c>
      <c r="H220" s="2">
        <v>45673</v>
      </c>
      <c r="I220" s="2">
        <f>WORKDAY.INTL(F220,IF(OR(C220="MELHORIA PEQUENA",C220="MELHORIA MÉDIA"),3,1),1,ListaFeriados)</f>
        <v>45672</v>
      </c>
      <c r="J220" s="2">
        <f>WORKDAY.INTL(I220,IF(C220="MELHORIA MÉDIA",20,IF(OR(C220="MELHORIA PEQUENA",C220="BUG NÃO IMPEDITIVO"),5,2)),1,$X:$X)</f>
        <v>45680</v>
      </c>
      <c r="K220" t="str">
        <f>IF(H220&gt;J220,"ATRASO","NO PRAZO")</f>
        <v>NO PRAZO</v>
      </c>
    </row>
    <row r="221" spans="1:11">
      <c r="A221" s="1">
        <v>18986</v>
      </c>
      <c r="B221" t="s">
        <v>6</v>
      </c>
      <c r="C221" t="s">
        <v>7</v>
      </c>
      <c r="D221" s="1">
        <v>3173</v>
      </c>
      <c r="E221" s="1">
        <v>2024</v>
      </c>
      <c r="F221" s="2">
        <v>45636</v>
      </c>
      <c r="G221" s="2">
        <v>45636</v>
      </c>
      <c r="H221" s="2">
        <v>45642</v>
      </c>
      <c r="I221" s="2">
        <f>WORKDAY.INTL(F221,IF(OR(C221="MELHORIA PEQUENA",C221="MELHORIA MÉDIA"),3,1),1,ListaFeriados)</f>
        <v>45639</v>
      </c>
      <c r="J221" s="2">
        <f>WORKDAY.INTL(I221,IF(C221="MELHORIA MÉDIA",20,IF(OR(C221="MELHORIA PEQUENA",C221="BUG NÃO IMPEDITIVO"),5,2)),1,$X:$X)</f>
        <v>45646</v>
      </c>
      <c r="K221" t="str">
        <f>IF(H221&gt;J221,"ATRASO","NO PRAZO")</f>
        <v>NO PRAZO</v>
      </c>
    </row>
    <row r="222" spans="1:11">
      <c r="A222" s="1">
        <v>19369</v>
      </c>
      <c r="B222" t="s">
        <v>9</v>
      </c>
      <c r="C222" t="s">
        <v>7</v>
      </c>
      <c r="D222" s="1">
        <v>281</v>
      </c>
      <c r="E222" s="1">
        <v>2025</v>
      </c>
      <c r="F222" s="2">
        <v>45705</v>
      </c>
      <c r="G222" s="2">
        <v>45706</v>
      </c>
      <c r="H222" s="2">
        <v>45712</v>
      </c>
      <c r="I222" s="2">
        <f>WORKDAY.INTL(F222,IF(OR(C222="MELHORIA PEQUENA",C222="MELHORIA MÉDIA"),3,1),1,ListaFeriados)</f>
        <v>45708</v>
      </c>
      <c r="J222" s="2">
        <f>WORKDAY.INTL(I222,IF(C222="MELHORIA MÉDIA",20,IF(OR(C222="MELHORIA PEQUENA",C222="BUG NÃO IMPEDITIVO"),5,2)),1,$X:$X)</f>
        <v>45715</v>
      </c>
      <c r="K222" t="str">
        <f>IF(H222&gt;J222,"ATRASO","NO PRAZO")</f>
        <v>NO PRAZO</v>
      </c>
    </row>
    <row r="223" spans="1:11">
      <c r="A223" s="1">
        <v>18784</v>
      </c>
      <c r="B223" t="s">
        <v>6</v>
      </c>
      <c r="C223" t="s">
        <v>7</v>
      </c>
      <c r="D223" s="1">
        <v>2971</v>
      </c>
      <c r="E223" s="1">
        <v>2024</v>
      </c>
      <c r="F223" s="2">
        <v>45596</v>
      </c>
      <c r="G223" s="2">
        <v>45600</v>
      </c>
      <c r="H223" s="2">
        <v>45601</v>
      </c>
      <c r="I223" s="2">
        <f>WORKDAY.INTL(F223,IF(OR(C223="MELHORIA PEQUENA",C223="MELHORIA MÉDIA"),3,1),1,ListaFeriados)</f>
        <v>45601</v>
      </c>
      <c r="J223" s="2">
        <f>WORKDAY.INTL(I223,IF(C223="MELHORIA MÉDIA",20,IF(OR(C223="MELHORIA PEQUENA",C223="BUG NÃO IMPEDITIVO"),5,2)),1,$X:$X)</f>
        <v>45608</v>
      </c>
      <c r="K223" t="str">
        <f>IF(H223&gt;J223,"ATRASO","NO PRAZO")</f>
        <v>NO PRAZO</v>
      </c>
    </row>
    <row r="224" spans="1:11">
      <c r="A224" s="1">
        <v>19511</v>
      </c>
      <c r="B224" t="s">
        <v>8</v>
      </c>
      <c r="C224" t="s">
        <v>7</v>
      </c>
      <c r="D224" s="1">
        <v>423</v>
      </c>
      <c r="E224" s="1">
        <v>2025</v>
      </c>
      <c r="F224" s="2">
        <v>45729</v>
      </c>
      <c r="G224" s="2">
        <v>45730</v>
      </c>
      <c r="H224" s="2">
        <v>45733</v>
      </c>
      <c r="I224" s="2">
        <f>WORKDAY.INTL(F224,IF(OR(C224="MELHORIA PEQUENA",C224="MELHORIA MÉDIA"),3,1),1,ListaFeriados)</f>
        <v>45734</v>
      </c>
      <c r="J224" s="2">
        <f>WORKDAY.INTL(I224,IF(C224="MELHORIA MÉDIA",20,IF(OR(C224="MELHORIA PEQUENA",C224="BUG NÃO IMPEDITIVO"),5,2)),1,$X:$X)</f>
        <v>45741</v>
      </c>
      <c r="K224" t="str">
        <f>IF(H224&gt;J224,"ATRASO","NO PRAZO")</f>
        <v>NO PRAZO</v>
      </c>
    </row>
    <row r="225" spans="1:11">
      <c r="A225" s="1">
        <v>19501</v>
      </c>
      <c r="B225" t="s">
        <v>9</v>
      </c>
      <c r="C225" t="s">
        <v>7</v>
      </c>
      <c r="D225" s="1">
        <v>413</v>
      </c>
      <c r="E225" s="1">
        <v>2025</v>
      </c>
      <c r="F225" s="2">
        <v>45729</v>
      </c>
      <c r="G225" s="2">
        <v>45736</v>
      </c>
      <c r="H225" s="2">
        <v>45736</v>
      </c>
      <c r="I225" s="2">
        <f>WORKDAY.INTL(F225,IF(OR(C225="MELHORIA PEQUENA",C225="MELHORIA MÉDIA"),3,1),1,ListaFeriados)</f>
        <v>45734</v>
      </c>
      <c r="J225" s="2">
        <f>WORKDAY.INTL(I225,IF(C225="MELHORIA MÉDIA",20,IF(OR(C225="MELHORIA PEQUENA",C225="BUG NÃO IMPEDITIVO"),5,2)),1,$X:$X)</f>
        <v>45741</v>
      </c>
      <c r="K225" t="str">
        <f>IF(H225&gt;J225,"ATRASO","NO PRAZO")</f>
        <v>NO PRAZO</v>
      </c>
    </row>
    <row r="226" spans="1:11">
      <c r="A226" s="1">
        <v>19525</v>
      </c>
      <c r="B226" t="s">
        <v>8</v>
      </c>
      <c r="C226" t="s">
        <v>7</v>
      </c>
      <c r="D226" s="1">
        <v>437</v>
      </c>
      <c r="E226" s="1">
        <v>2025</v>
      </c>
      <c r="F226" s="2">
        <v>45730</v>
      </c>
      <c r="G226" s="2">
        <v>45733</v>
      </c>
      <c r="H226" s="2">
        <v>45734</v>
      </c>
      <c r="I226" s="2">
        <f>WORKDAY.INTL(F226,IF(OR(C226="MELHORIA PEQUENA",C226="MELHORIA MÉDIA"),3,1),1,ListaFeriados)</f>
        <v>45735</v>
      </c>
      <c r="J226" s="2">
        <f>WORKDAY.INTL(I226,IF(C226="MELHORIA MÉDIA",20,IF(OR(C226="MELHORIA PEQUENA",C226="BUG NÃO IMPEDITIVO"),5,2)),1,$X:$X)</f>
        <v>45742</v>
      </c>
      <c r="K226" t="str">
        <f>IF(H226&gt;J226,"ATRASO","NO PRAZO")</f>
        <v>NO PRAZO</v>
      </c>
    </row>
    <row r="227" spans="1:11">
      <c r="A227" s="1">
        <v>19563</v>
      </c>
      <c r="B227" t="s">
        <v>6</v>
      </c>
      <c r="C227" t="s">
        <v>7</v>
      </c>
      <c r="D227" s="1">
        <v>475</v>
      </c>
      <c r="E227" s="1">
        <v>2025</v>
      </c>
      <c r="F227" s="2">
        <v>45735</v>
      </c>
      <c r="G227" s="2">
        <v>45735</v>
      </c>
      <c r="H227" s="2">
        <v>45743</v>
      </c>
      <c r="I227" s="2">
        <f>WORKDAY.INTL(F227,IF(OR(C227="MELHORIA PEQUENA",C227="MELHORIA MÉDIA"),3,1),1,ListaFeriados)</f>
        <v>45740</v>
      </c>
      <c r="J227" s="2">
        <f>WORKDAY.INTL(I227,IF(C227="MELHORIA MÉDIA",20,IF(OR(C227="MELHORIA PEQUENA",C227="BUG NÃO IMPEDITIVO"),5,2)),1,$X:$X)</f>
        <v>45747</v>
      </c>
      <c r="K227" t="str">
        <f>IF(H227&gt;J227,"ATRASO","NO PRAZO")</f>
        <v>NO PRAZO</v>
      </c>
    </row>
    <row r="228" spans="1:11">
      <c r="A228" s="1">
        <v>18351</v>
      </c>
      <c r="B228" t="s">
        <v>9</v>
      </c>
      <c r="C228" t="s">
        <v>7</v>
      </c>
      <c r="D228" s="1">
        <v>2538</v>
      </c>
      <c r="E228" s="1">
        <v>2024</v>
      </c>
      <c r="F228" s="2">
        <v>45530</v>
      </c>
      <c r="G228" s="2">
        <v>45531</v>
      </c>
      <c r="H228" s="2">
        <v>45576</v>
      </c>
      <c r="I228" s="2">
        <f>WORKDAY.INTL(F228,IF(OR(C228="MELHORIA PEQUENA",C228="MELHORIA MÉDIA"),3,1),1,ListaFeriados)</f>
        <v>45533</v>
      </c>
      <c r="J228" s="2">
        <f>WORKDAY.INTL(I228,IF(C228="MELHORIA MÉDIA",20,IF(OR(C228="MELHORIA PEQUENA",C228="BUG NÃO IMPEDITIVO"),5,2)),1,$X:$X)</f>
        <v>45540</v>
      </c>
      <c r="K228" t="str">
        <f>IF(H228&gt;J228,"ATRASO","NO PRAZO")</f>
        <v>ATRASO</v>
      </c>
    </row>
    <row r="229" spans="1:11">
      <c r="A229" s="1">
        <v>19182</v>
      </c>
      <c r="B229" t="s">
        <v>8</v>
      </c>
      <c r="C229" t="s">
        <v>7</v>
      </c>
      <c r="D229" s="1">
        <v>94</v>
      </c>
      <c r="E229" s="1">
        <v>2025</v>
      </c>
      <c r="F229" s="2">
        <v>45674</v>
      </c>
      <c r="G229" s="2">
        <v>45678</v>
      </c>
      <c r="H229" s="2">
        <v>45679</v>
      </c>
      <c r="I229" s="2">
        <f>WORKDAY.INTL(F229,IF(OR(C229="MELHORIA PEQUENA",C229="MELHORIA MÉDIA"),3,1),1,ListaFeriados)</f>
        <v>45680</v>
      </c>
      <c r="J229" s="2">
        <f>WORKDAY.INTL(I229,IF(C229="MELHORIA MÉDIA",20,IF(OR(C229="MELHORIA PEQUENA",C229="BUG NÃO IMPEDITIVO"),5,2)),1,$X:$X)</f>
        <v>45687</v>
      </c>
      <c r="K229" t="str">
        <f>IF(H229&gt;J229,"ATRASO","NO PRAZO")</f>
        <v>NO PRAZO</v>
      </c>
    </row>
    <row r="230" spans="1:11">
      <c r="A230" s="1">
        <v>19215</v>
      </c>
      <c r="B230" t="s">
        <v>6</v>
      </c>
      <c r="C230" t="s">
        <v>7</v>
      </c>
      <c r="D230" s="1">
        <v>127</v>
      </c>
      <c r="E230" s="1">
        <v>2025</v>
      </c>
      <c r="F230" s="2">
        <v>45680</v>
      </c>
      <c r="G230" s="2">
        <v>45680</v>
      </c>
      <c r="H230" s="2">
        <v>45686</v>
      </c>
      <c r="I230" s="2">
        <f>WORKDAY.INTL(F230,IF(OR(C230="MELHORIA PEQUENA",C230="MELHORIA MÉDIA"),3,1),1,ListaFeriados)</f>
        <v>45685</v>
      </c>
      <c r="J230" s="2">
        <f>WORKDAY.INTL(I230,IF(C230="MELHORIA MÉDIA",20,IF(OR(C230="MELHORIA PEQUENA",C230="BUG NÃO IMPEDITIVO"),5,2)),1,$X:$X)</f>
        <v>45692</v>
      </c>
      <c r="K230" t="str">
        <f>IF(H230&gt;J230,"ATRASO","NO PRAZO")</f>
        <v>NO PRAZO</v>
      </c>
    </row>
    <row r="231" spans="1:11">
      <c r="A231" s="1">
        <v>19203</v>
      </c>
      <c r="B231" t="s">
        <v>11</v>
      </c>
      <c r="C231" t="s">
        <v>7</v>
      </c>
      <c r="D231" s="1">
        <v>115</v>
      </c>
      <c r="E231" s="1">
        <v>2025</v>
      </c>
      <c r="F231" s="2">
        <v>45678</v>
      </c>
      <c r="G231" s="2">
        <v>45684</v>
      </c>
      <c r="H231" s="2">
        <v>45688</v>
      </c>
      <c r="I231" s="2">
        <f>WORKDAY.INTL(F231,IF(OR(C231="MELHORIA PEQUENA",C231="MELHORIA MÉDIA"),3,1),1,ListaFeriados)</f>
        <v>45681</v>
      </c>
      <c r="J231" s="2">
        <f>WORKDAY.INTL(I231,IF(C231="MELHORIA MÉDIA",20,IF(OR(C231="MELHORIA PEQUENA",C231="BUG NÃO IMPEDITIVO"),5,2)),1,$X:$X)</f>
        <v>45688</v>
      </c>
      <c r="K231" t="str">
        <f>IF(H231&gt;J231,"ATRASO","NO PRAZO")</f>
        <v>NO PRAZO</v>
      </c>
    </row>
    <row r="232" spans="1:11">
      <c r="A232" s="1">
        <v>19560</v>
      </c>
      <c r="B232" t="s">
        <v>8</v>
      </c>
      <c r="C232" t="s">
        <v>7</v>
      </c>
      <c r="D232" s="1">
        <v>472</v>
      </c>
      <c r="E232" s="1">
        <v>2025</v>
      </c>
      <c r="F232" s="2">
        <v>45735</v>
      </c>
      <c r="G232" s="2">
        <v>45736</v>
      </c>
      <c r="H232" s="2">
        <v>45742</v>
      </c>
      <c r="I232" s="2">
        <f>WORKDAY.INTL(F232,IF(OR(C232="MELHORIA PEQUENA",C232="MELHORIA MÉDIA"),3,1),1,ListaFeriados)</f>
        <v>45740</v>
      </c>
      <c r="J232" s="2">
        <f>WORKDAY.INTL(I232,IF(C232="MELHORIA MÉDIA",20,IF(OR(C232="MELHORIA PEQUENA",C232="BUG NÃO IMPEDITIVO"),5,2)),1,$X:$X)</f>
        <v>45747</v>
      </c>
      <c r="K232" t="str">
        <f>IF(H232&gt;J232,"ATRASO","NO PRAZO")</f>
        <v>NO PRAZO</v>
      </c>
    </row>
    <row r="233" spans="1:11">
      <c r="A233" s="1">
        <v>19478</v>
      </c>
      <c r="B233" t="s">
        <v>9</v>
      </c>
      <c r="C233" t="s">
        <v>7</v>
      </c>
      <c r="D233" s="1">
        <v>390</v>
      </c>
      <c r="E233" s="1">
        <v>2025</v>
      </c>
      <c r="F233" s="2">
        <v>45726</v>
      </c>
      <c r="G233" s="2">
        <v>45727</v>
      </c>
      <c r="H233" s="2">
        <v>45733</v>
      </c>
      <c r="I233" s="2">
        <f>WORKDAY.INTL(F233,IF(OR(C233="MELHORIA PEQUENA",C233="MELHORIA MÉDIA"),3,1),1,ListaFeriados)</f>
        <v>45729</v>
      </c>
      <c r="J233" s="2">
        <f>WORKDAY.INTL(I233,IF(C233="MELHORIA MÉDIA",20,IF(OR(C233="MELHORIA PEQUENA",C233="BUG NÃO IMPEDITIVO"),5,2)),1,$X:$X)</f>
        <v>45736</v>
      </c>
      <c r="K233" t="str">
        <f>IF(H233&gt;J233,"ATRASO","NO PRAZO")</f>
        <v>NO PRAZO</v>
      </c>
    </row>
    <row r="234" spans="1:11">
      <c r="A234" s="1">
        <v>19513</v>
      </c>
      <c r="B234" t="s">
        <v>9</v>
      </c>
      <c r="C234" t="s">
        <v>7</v>
      </c>
      <c r="D234" s="1">
        <v>425</v>
      </c>
      <c r="E234" s="1">
        <v>2025</v>
      </c>
      <c r="F234" s="2">
        <v>45729</v>
      </c>
      <c r="G234" s="2">
        <v>45730</v>
      </c>
      <c r="H234" s="2">
        <v>45733</v>
      </c>
      <c r="I234" s="2">
        <f>WORKDAY.INTL(F234,IF(OR(C234="MELHORIA PEQUENA",C234="MELHORIA MÉDIA"),3,1),1,ListaFeriados)</f>
        <v>45734</v>
      </c>
      <c r="J234" s="2">
        <f>WORKDAY.INTL(I234,IF(C234="MELHORIA MÉDIA",20,IF(OR(C234="MELHORIA PEQUENA",C234="BUG NÃO IMPEDITIVO"),5,2)),1,$X:$X)</f>
        <v>45741</v>
      </c>
      <c r="K234" t="str">
        <f>IF(H234&gt;J234,"ATRASO","NO PRAZO")</f>
        <v>NO PRAZO</v>
      </c>
    </row>
    <row r="235" spans="1:11">
      <c r="A235" s="1">
        <v>19738</v>
      </c>
      <c r="B235" t="s">
        <v>13</v>
      </c>
      <c r="C235" t="s">
        <v>7</v>
      </c>
      <c r="D235" s="1">
        <v>650</v>
      </c>
      <c r="E235" s="1">
        <v>2025</v>
      </c>
      <c r="F235" s="2">
        <v>45761</v>
      </c>
      <c r="G235" s="2">
        <v>45763</v>
      </c>
      <c r="H235" s="2">
        <v>45764</v>
      </c>
      <c r="I235" s="2">
        <f>WORKDAY.INTL(F235,IF(OR(C235="MELHORIA PEQUENA",C235="MELHORIA MÉDIA"),3,1),1,ListaFeriados)</f>
        <v>45764</v>
      </c>
      <c r="J235" s="2">
        <f>WORKDAY.INTL(I235,IF(C235="MELHORIA MÉDIA",20,IF(OR(C235="MELHORIA PEQUENA",C235="BUG NÃO IMPEDITIVO"),5,2)),1,$X:$X)</f>
        <v>45776</v>
      </c>
      <c r="K235" t="str">
        <f>IF(H235&gt;J235,"ATRASO","NO PRAZO")</f>
        <v>NO PRAZO</v>
      </c>
    </row>
    <row r="236" spans="1:11">
      <c r="A236" s="1">
        <v>19749</v>
      </c>
      <c r="B236" t="s">
        <v>9</v>
      </c>
      <c r="C236" t="s">
        <v>7</v>
      </c>
      <c r="D236" s="1">
        <v>661</v>
      </c>
      <c r="E236" s="1">
        <v>2025</v>
      </c>
      <c r="F236" s="2">
        <v>45762</v>
      </c>
      <c r="G236" s="2">
        <v>45763</v>
      </c>
      <c r="H236" s="2">
        <v>45772</v>
      </c>
      <c r="I236" s="2">
        <f>WORKDAY.INTL(F236,IF(OR(C236="MELHORIA PEQUENA",C236="MELHORIA MÉDIA"),3,1),1,ListaFeriados)</f>
        <v>45769</v>
      </c>
      <c r="J236" s="2">
        <f>WORKDAY.INTL(I236,IF(C236="MELHORIA MÉDIA",20,IF(OR(C236="MELHORIA PEQUENA",C236="BUG NÃO IMPEDITIVO"),5,2)),1,$X:$X)</f>
        <v>45777</v>
      </c>
      <c r="K236" t="str">
        <f>IF(H236&gt;J236,"ATRASO","NO PRAZO")</f>
        <v>NO PRAZO</v>
      </c>
    </row>
    <row r="237" spans="1:11">
      <c r="A237" s="1">
        <v>19381</v>
      </c>
      <c r="B237" t="s">
        <v>8</v>
      </c>
      <c r="C237" t="s">
        <v>7</v>
      </c>
      <c r="D237" s="1">
        <v>293</v>
      </c>
      <c r="E237" s="1">
        <v>2025</v>
      </c>
      <c r="F237" s="2">
        <v>45706</v>
      </c>
      <c r="G237" s="2">
        <v>45706</v>
      </c>
      <c r="H237" s="2">
        <v>45707</v>
      </c>
      <c r="I237" s="2">
        <f>WORKDAY.INTL(F237,IF(OR(C237="MELHORIA PEQUENA",C237="MELHORIA MÉDIA"),3,1),1,ListaFeriados)</f>
        <v>45709</v>
      </c>
      <c r="J237" s="2">
        <f>WORKDAY.INTL(I237,IF(C237="MELHORIA MÉDIA",20,IF(OR(C237="MELHORIA PEQUENA",C237="BUG NÃO IMPEDITIVO"),5,2)),1,$X:$X)</f>
        <v>45716</v>
      </c>
      <c r="K237" t="str">
        <f>IF(H237&gt;J237,"ATRASO","NO PRAZO")</f>
        <v>NO PRAZO</v>
      </c>
    </row>
    <row r="238" spans="1:11">
      <c r="A238" s="1">
        <v>19850</v>
      </c>
      <c r="B238" t="s">
        <v>6</v>
      </c>
      <c r="C238" t="s">
        <v>7</v>
      </c>
      <c r="D238" s="1">
        <v>762</v>
      </c>
      <c r="E238" s="1">
        <v>2025</v>
      </c>
      <c r="F238" s="2">
        <v>45783</v>
      </c>
      <c r="G238" s="2">
        <v>45783</v>
      </c>
      <c r="H238" s="2">
        <v>45784</v>
      </c>
      <c r="I238" s="2">
        <f>WORKDAY.INTL(F238,IF(OR(C238="MELHORIA PEQUENA",C238="MELHORIA MÉDIA"),3,1),1,ListaFeriados)</f>
        <v>45786</v>
      </c>
      <c r="J238" s="2">
        <f>WORKDAY.INTL(I238,IF(C238="MELHORIA MÉDIA",20,IF(OR(C238="MELHORIA PEQUENA",C238="BUG NÃO IMPEDITIVO"),5,2)),1,$X:$X)</f>
        <v>45793</v>
      </c>
      <c r="K238" t="str">
        <f>IF(H238&gt;J238,"ATRASO","NO PRAZO")</f>
        <v>NO PRAZO</v>
      </c>
    </row>
    <row r="239" spans="1:11">
      <c r="A239" s="1">
        <v>18840</v>
      </c>
      <c r="B239" t="s">
        <v>6</v>
      </c>
      <c r="C239" t="s">
        <v>7</v>
      </c>
      <c r="D239" s="1">
        <v>3027</v>
      </c>
      <c r="E239" s="1">
        <v>2024</v>
      </c>
      <c r="F239" s="2">
        <v>45607</v>
      </c>
      <c r="G239" s="2">
        <v>45607</v>
      </c>
      <c r="H239" s="2">
        <v>45609</v>
      </c>
      <c r="I239" s="2">
        <f>WORKDAY.INTL(F239,IF(OR(C239="MELHORIA PEQUENA",C239="MELHORIA MÉDIA"),3,1),1,ListaFeriados)</f>
        <v>45610</v>
      </c>
      <c r="J239" s="2">
        <f>WORKDAY.INTL(I239,IF(C239="MELHORIA MÉDIA",20,IF(OR(C239="MELHORIA PEQUENA",C239="BUG NÃO IMPEDITIVO"),5,2)),1,$X:$X)</f>
        <v>45621</v>
      </c>
      <c r="K239" t="str">
        <f>IF(H239&gt;J239,"ATRASO","NO PRAZO")</f>
        <v>NO PRAZO</v>
      </c>
    </row>
    <row r="240" spans="1:11">
      <c r="A240" s="1">
        <v>18837</v>
      </c>
      <c r="B240" t="s">
        <v>6</v>
      </c>
      <c r="C240" t="s">
        <v>7</v>
      </c>
      <c r="D240" s="1">
        <v>3024</v>
      </c>
      <c r="E240" s="1">
        <v>2024</v>
      </c>
      <c r="F240" s="2">
        <v>45607</v>
      </c>
      <c r="G240" s="2">
        <v>45608</v>
      </c>
      <c r="H240" s="2">
        <v>45609</v>
      </c>
      <c r="I240" s="2">
        <f>WORKDAY.INTL(F240,IF(OR(C240="MELHORIA PEQUENA",C240="MELHORIA MÉDIA"),3,1),1,ListaFeriados)</f>
        <v>45610</v>
      </c>
      <c r="J240" s="2">
        <f>WORKDAY.INTL(I240,IF(C240="MELHORIA MÉDIA",20,IF(OR(C240="MELHORIA PEQUENA",C240="BUG NÃO IMPEDITIVO"),5,2)),1,$X:$X)</f>
        <v>45621</v>
      </c>
      <c r="K240" t="str">
        <f>IF(H240&gt;J240,"ATRASO","NO PRAZO")</f>
        <v>NO PRAZO</v>
      </c>
    </row>
    <row r="241" spans="1:11">
      <c r="A241" s="1">
        <v>19639</v>
      </c>
      <c r="B241" t="s">
        <v>9</v>
      </c>
      <c r="C241" t="s">
        <v>7</v>
      </c>
      <c r="D241" s="1">
        <v>551</v>
      </c>
      <c r="E241" s="1">
        <v>2025</v>
      </c>
      <c r="F241" s="2">
        <v>45744</v>
      </c>
      <c r="G241" s="2">
        <v>45747</v>
      </c>
      <c r="H241" s="2">
        <v>45748</v>
      </c>
      <c r="I241" s="2">
        <f>WORKDAY.INTL(F241,IF(OR(C241="MELHORIA PEQUENA",C241="MELHORIA MÉDIA"),3,1),1,ListaFeriados)</f>
        <v>45749</v>
      </c>
      <c r="J241" s="2">
        <f>WORKDAY.INTL(I241,IF(C241="MELHORIA MÉDIA",20,IF(OR(C241="MELHORIA PEQUENA",C241="BUG NÃO IMPEDITIVO"),5,2)),1,$X:$X)</f>
        <v>45756</v>
      </c>
      <c r="K241" t="str">
        <f>IF(H241&gt;J241,"ATRASO","NO PRAZO")</f>
        <v>NO PRAZO</v>
      </c>
    </row>
    <row r="242" spans="1:11">
      <c r="A242" s="1">
        <v>19640</v>
      </c>
      <c r="B242" t="s">
        <v>9</v>
      </c>
      <c r="C242" t="s">
        <v>7</v>
      </c>
      <c r="D242" s="1">
        <v>552</v>
      </c>
      <c r="E242" s="1">
        <v>2025</v>
      </c>
      <c r="F242" s="2">
        <v>45744</v>
      </c>
      <c r="G242" s="2">
        <v>45747</v>
      </c>
      <c r="H242" s="2">
        <v>45749</v>
      </c>
      <c r="I242" s="2">
        <f>WORKDAY.INTL(F242,IF(OR(C242="MELHORIA PEQUENA",C242="MELHORIA MÉDIA"),3,1),1,ListaFeriados)</f>
        <v>45749</v>
      </c>
      <c r="J242" s="2">
        <f>WORKDAY.INTL(I242,IF(C242="MELHORIA MÉDIA",20,IF(OR(C242="MELHORIA PEQUENA",C242="BUG NÃO IMPEDITIVO"),5,2)),1,$X:$X)</f>
        <v>45756</v>
      </c>
      <c r="K242" t="str">
        <f>IF(H242&gt;J242,"ATRASO","NO PRAZO")</f>
        <v>NO PRAZO</v>
      </c>
    </row>
    <row r="243" spans="1:11">
      <c r="A243" s="1">
        <v>19042</v>
      </c>
      <c r="B243" t="s">
        <v>6</v>
      </c>
      <c r="C243" t="s">
        <v>7</v>
      </c>
      <c r="D243" s="1">
        <v>3229</v>
      </c>
      <c r="E243" s="1">
        <v>2024</v>
      </c>
      <c r="F243" s="2">
        <v>45644</v>
      </c>
      <c r="G243" s="2">
        <v>45645</v>
      </c>
      <c r="H243" s="2">
        <v>45646</v>
      </c>
      <c r="I243" s="2">
        <f>WORKDAY.INTL(F243,IF(OR(C243="MELHORIA PEQUENA",C243="MELHORIA MÉDIA"),3,1),1,ListaFeriados)</f>
        <v>45649</v>
      </c>
      <c r="J243" s="2">
        <f>WORKDAY.INTL(I243,IF(C243="MELHORIA MÉDIA",20,IF(OR(C243="MELHORIA PEQUENA",C243="BUG NÃO IMPEDITIVO"),5,2)),1,$X:$X)</f>
        <v>45657</v>
      </c>
      <c r="K243" t="str">
        <f>IF(H243&gt;J243,"ATRASO","NO PRAZO")</f>
        <v>NO PRAZO</v>
      </c>
    </row>
    <row r="244" spans="1:11">
      <c r="A244" s="1">
        <v>19842</v>
      </c>
      <c r="B244" t="s">
        <v>14</v>
      </c>
      <c r="C244" t="s">
        <v>7</v>
      </c>
      <c r="D244" s="1">
        <v>754</v>
      </c>
      <c r="E244" s="1">
        <v>2025</v>
      </c>
      <c r="F244" s="2">
        <v>45783</v>
      </c>
      <c r="G244" s="2">
        <v>45783</v>
      </c>
      <c r="H244" s="2">
        <v>45785</v>
      </c>
      <c r="I244" s="2">
        <f>WORKDAY.INTL(F244,IF(OR(C244="MELHORIA PEQUENA",C244="MELHORIA MÉDIA"),3,1),1,ListaFeriados)</f>
        <v>45786</v>
      </c>
      <c r="J244" s="2">
        <f>WORKDAY.INTL(I244,IF(C244="MELHORIA MÉDIA",20,IF(OR(C244="MELHORIA PEQUENA",C244="BUG NÃO IMPEDITIVO"),5,2)),1,$X:$X)</f>
        <v>45793</v>
      </c>
      <c r="K244" t="str">
        <f>IF(H244&gt;J244,"ATRASO","NO PRAZO")</f>
        <v>NO PRAZO</v>
      </c>
    </row>
    <row r="245" spans="1:11">
      <c r="A245" s="1">
        <v>18783</v>
      </c>
      <c r="B245" t="s">
        <v>10</v>
      </c>
      <c r="C245" t="s">
        <v>7</v>
      </c>
      <c r="D245" s="1">
        <v>2970</v>
      </c>
      <c r="E245" s="1">
        <v>2024</v>
      </c>
      <c r="F245" s="2">
        <v>45596</v>
      </c>
      <c r="G245" s="2">
        <v>45603</v>
      </c>
      <c r="H245" s="2">
        <v>45603</v>
      </c>
      <c r="I245" s="2">
        <f>WORKDAY.INTL(F245,IF(OR(C245="MELHORIA PEQUENA",C245="MELHORIA MÉDIA"),3,1),1,ListaFeriados)</f>
        <v>45601</v>
      </c>
      <c r="J245" s="2">
        <f>WORKDAY.INTL(I245,IF(C245="MELHORIA MÉDIA",20,IF(OR(C245="MELHORIA PEQUENA",C245="BUG NÃO IMPEDITIVO"),5,2)),1,$X:$X)</f>
        <v>45608</v>
      </c>
      <c r="K245" t="str">
        <f>IF(H245&gt;J245,"ATRASO","NO PRAZO")</f>
        <v>NO PRAZO</v>
      </c>
    </row>
    <row r="246" spans="1:11">
      <c r="A246" s="1">
        <v>18913</v>
      </c>
      <c r="B246" t="s">
        <v>10</v>
      </c>
      <c r="C246" t="s">
        <v>7</v>
      </c>
      <c r="D246" s="1">
        <v>3100</v>
      </c>
      <c r="E246" s="1">
        <v>2024</v>
      </c>
      <c r="F246" s="2">
        <v>45624</v>
      </c>
      <c r="G246" s="2">
        <v>45628</v>
      </c>
      <c r="H246" s="2">
        <v>45630</v>
      </c>
      <c r="I246" s="2">
        <f>WORKDAY.INTL(F246,IF(OR(C246="MELHORIA PEQUENA",C246="MELHORIA MÉDIA"),3,1),1,ListaFeriados)</f>
        <v>45629</v>
      </c>
      <c r="J246" s="2">
        <f>WORKDAY.INTL(I246,IF(C246="MELHORIA MÉDIA",20,IF(OR(C246="MELHORIA PEQUENA",C246="BUG NÃO IMPEDITIVO"),5,2)),1,$X:$X)</f>
        <v>45636</v>
      </c>
      <c r="K246" t="str">
        <f>IF(H246&gt;J246,"ATRASO","NO PRAZO")</f>
        <v>NO PRAZO</v>
      </c>
    </row>
    <row r="247" spans="1:11">
      <c r="A247" s="1">
        <v>19134</v>
      </c>
      <c r="B247" t="s">
        <v>6</v>
      </c>
      <c r="C247" t="s">
        <v>7</v>
      </c>
      <c r="D247" s="1">
        <v>46</v>
      </c>
      <c r="E247" s="1">
        <v>2025</v>
      </c>
      <c r="F247" s="2">
        <v>45667</v>
      </c>
      <c r="G247" s="2">
        <v>45670</v>
      </c>
      <c r="H247" s="2">
        <v>45674</v>
      </c>
      <c r="I247" s="2">
        <f>WORKDAY.INTL(F247,IF(OR(C247="MELHORIA PEQUENA",C247="MELHORIA MÉDIA"),3,1),1,ListaFeriados)</f>
        <v>45672</v>
      </c>
      <c r="J247" s="2">
        <f>WORKDAY.INTL(I247,IF(C247="MELHORIA MÉDIA",20,IF(OR(C247="MELHORIA PEQUENA",C247="BUG NÃO IMPEDITIVO"),5,2)),1,$X:$X)</f>
        <v>45680</v>
      </c>
      <c r="K247" t="str">
        <f>IF(H247&gt;J247,"ATRASO","NO PRAZO")</f>
        <v>NO PRAZO</v>
      </c>
    </row>
    <row r="248" spans="1:11">
      <c r="A248" s="1">
        <v>19457</v>
      </c>
      <c r="B248" t="s">
        <v>13</v>
      </c>
      <c r="C248" t="s">
        <v>7</v>
      </c>
      <c r="D248" s="1">
        <v>369</v>
      </c>
      <c r="E248" s="1">
        <v>2025</v>
      </c>
      <c r="F248" s="2">
        <v>45716</v>
      </c>
      <c r="G248" s="2">
        <v>45721</v>
      </c>
      <c r="H248" s="2">
        <v>45721</v>
      </c>
      <c r="I248" s="2">
        <f>WORKDAY.INTL(F248,IF(OR(C248="MELHORIA PEQUENA",C248="MELHORIA MÉDIA"),3,1),1,ListaFeriados)</f>
        <v>45723</v>
      </c>
      <c r="J248" s="2">
        <f>WORKDAY.INTL(I248,IF(C248="MELHORIA MÉDIA",20,IF(OR(C248="MELHORIA PEQUENA",C248="BUG NÃO IMPEDITIVO"),5,2)),1,$X:$X)</f>
        <v>45730</v>
      </c>
      <c r="K248" t="str">
        <f>IF(H248&gt;J248,"ATRASO","NO PRAZO")</f>
        <v>NO PRAZO</v>
      </c>
    </row>
    <row r="249" spans="1:11">
      <c r="A249" s="1">
        <v>19306</v>
      </c>
      <c r="B249" t="s">
        <v>6</v>
      </c>
      <c r="C249" t="s">
        <v>7</v>
      </c>
      <c r="D249" s="1">
        <v>218</v>
      </c>
      <c r="E249" s="1">
        <v>2025</v>
      </c>
      <c r="F249" s="2">
        <v>45693</v>
      </c>
      <c r="G249" s="2">
        <v>45694</v>
      </c>
      <c r="H249" s="2">
        <v>45694</v>
      </c>
      <c r="I249" s="2">
        <f>WORKDAY.INTL(F249,IF(OR(C249="MELHORIA PEQUENA",C249="MELHORIA MÉDIA"),3,1),1,ListaFeriados)</f>
        <v>45698</v>
      </c>
      <c r="J249" s="2">
        <f>WORKDAY.INTL(I249,IF(C249="MELHORIA MÉDIA",20,IF(OR(C249="MELHORIA PEQUENA",C249="BUG NÃO IMPEDITIVO"),5,2)),1,$X:$X)</f>
        <v>45705</v>
      </c>
      <c r="K249" t="str">
        <f>IF(H249&gt;J249,"ATRASO","NO PRAZO")</f>
        <v>NO PRAZO</v>
      </c>
    </row>
    <row r="250" spans="1:11">
      <c r="A250" s="1">
        <v>19839</v>
      </c>
      <c r="B250" t="s">
        <v>6</v>
      </c>
      <c r="C250" t="s">
        <v>7</v>
      </c>
      <c r="D250" s="1">
        <v>751</v>
      </c>
      <c r="E250" s="1">
        <v>2025</v>
      </c>
      <c r="F250" s="2">
        <v>45782</v>
      </c>
      <c r="G250" s="2">
        <v>45783</v>
      </c>
      <c r="H250" s="2">
        <v>45784</v>
      </c>
      <c r="I250" s="2">
        <f>WORKDAY.INTL(F250,IF(OR(C250="MELHORIA PEQUENA",C250="MELHORIA MÉDIA"),3,1),1,ListaFeriados)</f>
        <v>45785</v>
      </c>
      <c r="J250" s="2">
        <f>WORKDAY.INTL(I250,IF(C250="MELHORIA MÉDIA",20,IF(OR(C250="MELHORIA PEQUENA",C250="BUG NÃO IMPEDITIVO"),5,2)),1,$X:$X)</f>
        <v>45792</v>
      </c>
      <c r="K250" t="str">
        <f>IF(H250&gt;J250,"ATRASO","NO PRAZO")</f>
        <v>NO PRAZO</v>
      </c>
    </row>
    <row r="251" spans="1:11">
      <c r="A251" s="1">
        <v>19810</v>
      </c>
      <c r="B251" t="s">
        <v>14</v>
      </c>
      <c r="C251" t="s">
        <v>7</v>
      </c>
      <c r="D251" s="1">
        <v>722</v>
      </c>
      <c r="E251" s="1">
        <v>2025</v>
      </c>
      <c r="F251" s="2">
        <v>45776</v>
      </c>
      <c r="G251" s="2">
        <v>45777</v>
      </c>
      <c r="H251" s="2">
        <v>45783</v>
      </c>
      <c r="I251" s="2">
        <f>WORKDAY.INTL(F251,IF(OR(C251="MELHORIA PEQUENA",C251="MELHORIA MÉDIA"),3,1),1,ListaFeriados)</f>
        <v>45782</v>
      </c>
      <c r="J251" s="2">
        <f>WORKDAY.INTL(I251,IF(C251="MELHORIA MÉDIA",20,IF(OR(C251="MELHORIA PEQUENA",C251="BUG NÃO IMPEDITIVO"),5,2)),1,$X:$X)</f>
        <v>45789</v>
      </c>
      <c r="K251" t="str">
        <f>IF(H251&gt;J251,"ATRASO","NO PRAZO")</f>
        <v>NO PRAZO</v>
      </c>
    </row>
    <row r="252" spans="1:11">
      <c r="A252" s="1">
        <v>19184</v>
      </c>
      <c r="B252" t="s">
        <v>9</v>
      </c>
      <c r="C252" t="s">
        <v>7</v>
      </c>
      <c r="D252" s="1">
        <v>96</v>
      </c>
      <c r="E252" s="1">
        <v>2025</v>
      </c>
      <c r="F252" s="2">
        <v>45674</v>
      </c>
      <c r="G252" s="2">
        <v>45678</v>
      </c>
      <c r="H252" s="2">
        <v>45679</v>
      </c>
      <c r="I252" s="2">
        <f>WORKDAY.INTL(F252,IF(OR(C252="MELHORIA PEQUENA",C252="MELHORIA MÉDIA"),3,1),1,ListaFeriados)</f>
        <v>45680</v>
      </c>
      <c r="J252" s="2">
        <f>WORKDAY.INTL(I252,IF(C252="MELHORIA MÉDIA",20,IF(OR(C252="MELHORIA PEQUENA",C252="BUG NÃO IMPEDITIVO"),5,2)),1,$X:$X)</f>
        <v>45687</v>
      </c>
      <c r="K252" t="str">
        <f>IF(H252&gt;J252,"ATRASO","NO PRAZO")</f>
        <v>NO PRAZO</v>
      </c>
    </row>
    <row r="253" spans="1:11">
      <c r="A253" s="1">
        <v>19875</v>
      </c>
      <c r="B253" t="s">
        <v>6</v>
      </c>
      <c r="C253" t="s">
        <v>7</v>
      </c>
      <c r="D253" s="1">
        <v>787</v>
      </c>
      <c r="E253" s="1">
        <v>2025</v>
      </c>
      <c r="F253" s="2">
        <v>45786</v>
      </c>
      <c r="G253" s="2">
        <v>45789</v>
      </c>
      <c r="H253" s="2">
        <v>45789</v>
      </c>
      <c r="I253" s="2">
        <f>WORKDAY.INTL(F253,IF(OR(C253="MELHORIA PEQUENA",C253="MELHORIA MÉDIA"),3,1),1,ListaFeriados)</f>
        <v>45791</v>
      </c>
      <c r="J253" s="2">
        <f>WORKDAY.INTL(I253,IF(C253="MELHORIA MÉDIA",20,IF(OR(C253="MELHORIA PEQUENA",C253="BUG NÃO IMPEDITIVO"),5,2)),1,$X:$X)</f>
        <v>45798</v>
      </c>
      <c r="K253" t="str">
        <f>IF(H253&gt;J253,"ATRASO","NO PRAZO")</f>
        <v>NO PRAZO</v>
      </c>
    </row>
    <row r="254" spans="1:11">
      <c r="A254" s="1">
        <v>19874</v>
      </c>
      <c r="B254" t="s">
        <v>6</v>
      </c>
      <c r="C254" t="s">
        <v>7</v>
      </c>
      <c r="D254" s="1">
        <v>786</v>
      </c>
      <c r="E254" s="1">
        <v>2025</v>
      </c>
      <c r="F254" s="2">
        <v>45786</v>
      </c>
      <c r="G254" s="2">
        <v>45789</v>
      </c>
      <c r="H254" s="2">
        <v>45789</v>
      </c>
      <c r="I254" s="2">
        <f>WORKDAY.INTL(F254,IF(OR(C254="MELHORIA PEQUENA",C254="MELHORIA MÉDIA"),3,1),1,ListaFeriados)</f>
        <v>45791</v>
      </c>
      <c r="J254" s="2">
        <f>WORKDAY.INTL(I254,IF(C254="MELHORIA MÉDIA",20,IF(OR(C254="MELHORIA PEQUENA",C254="BUG NÃO IMPEDITIVO"),5,2)),1,$X:$X)</f>
        <v>45798</v>
      </c>
      <c r="K254" t="str">
        <f>IF(H254&gt;J254,"ATRASO","NO PRAZO")</f>
        <v>NO PRAZO</v>
      </c>
    </row>
    <row r="255" spans="1:11">
      <c r="A255" s="1">
        <v>19329</v>
      </c>
      <c r="B255" t="s">
        <v>6</v>
      </c>
      <c r="C255" t="s">
        <v>7</v>
      </c>
      <c r="D255" s="1">
        <v>241</v>
      </c>
      <c r="E255" s="1">
        <v>2025</v>
      </c>
      <c r="F255" s="2">
        <v>45695</v>
      </c>
      <c r="G255" s="2">
        <v>45695</v>
      </c>
      <c r="H255" s="2">
        <v>45702</v>
      </c>
      <c r="I255" s="2">
        <f>WORKDAY.INTL(F255,IF(OR(C255="MELHORIA PEQUENA",C255="MELHORIA MÉDIA"),3,1),1,ListaFeriados)</f>
        <v>45700</v>
      </c>
      <c r="J255" s="2">
        <f>WORKDAY.INTL(I255,IF(C255="MELHORIA MÉDIA",20,IF(OR(C255="MELHORIA PEQUENA",C255="BUG NÃO IMPEDITIVO"),5,2)),1,$X:$X)</f>
        <v>45707</v>
      </c>
      <c r="K255" t="str">
        <f>IF(H255&gt;J255,"ATRASO","NO PRAZO")</f>
        <v>NO PRAZO</v>
      </c>
    </row>
    <row r="256" spans="1:11">
      <c r="A256" s="1">
        <v>19784</v>
      </c>
      <c r="B256" t="s">
        <v>14</v>
      </c>
      <c r="C256" t="s">
        <v>7</v>
      </c>
      <c r="D256" s="1">
        <v>696</v>
      </c>
      <c r="E256" s="1">
        <v>2025</v>
      </c>
      <c r="F256" s="2">
        <v>45772</v>
      </c>
      <c r="G256" s="2">
        <v>45775</v>
      </c>
      <c r="H256" s="2">
        <v>45777</v>
      </c>
      <c r="I256" s="2">
        <f>WORKDAY.INTL(F256,IF(OR(C256="MELHORIA PEQUENA",C256="MELHORIA MÉDIA"),3,1),1,ListaFeriados)</f>
        <v>45777</v>
      </c>
      <c r="J256" s="2">
        <f>WORKDAY.INTL(I256,IF(C256="MELHORIA MÉDIA",20,IF(OR(C256="MELHORIA PEQUENA",C256="BUG NÃO IMPEDITIVO"),5,2)),1,$X:$X)</f>
        <v>45785</v>
      </c>
      <c r="K256" t="str">
        <f>IF(H256&gt;J256,"ATRASO","NO PRAZO")</f>
        <v>NO PRAZO</v>
      </c>
    </row>
    <row r="257" spans="1:11">
      <c r="A257" s="1">
        <v>19181</v>
      </c>
      <c r="B257" t="s">
        <v>9</v>
      </c>
      <c r="C257" t="s">
        <v>7</v>
      </c>
      <c r="D257" s="1">
        <v>93</v>
      </c>
      <c r="E257" s="1">
        <v>2025</v>
      </c>
      <c r="F257" s="2">
        <v>45674</v>
      </c>
      <c r="G257" s="2">
        <v>45678</v>
      </c>
      <c r="H257" s="2">
        <v>45680</v>
      </c>
      <c r="I257" s="2">
        <f>WORKDAY.INTL(F257,IF(OR(C257="MELHORIA PEQUENA",C257="MELHORIA MÉDIA"),3,1),1,ListaFeriados)</f>
        <v>45680</v>
      </c>
      <c r="J257" s="2">
        <f>WORKDAY.INTL(I257,IF(C257="MELHORIA MÉDIA",20,IF(OR(C257="MELHORIA PEQUENA",C257="BUG NÃO IMPEDITIVO"),5,2)),1,$X:$X)</f>
        <v>45687</v>
      </c>
      <c r="K257" t="str">
        <f>IF(H257&gt;J257,"ATRASO","NO PRAZO")</f>
        <v>NO PRAZO</v>
      </c>
    </row>
    <row r="258" spans="1:11">
      <c r="A258" s="1">
        <v>19255</v>
      </c>
      <c r="B258" t="s">
        <v>8</v>
      </c>
      <c r="C258" t="s">
        <v>7</v>
      </c>
      <c r="D258" s="1">
        <v>167</v>
      </c>
      <c r="E258" s="1">
        <v>2025</v>
      </c>
      <c r="F258" s="2">
        <v>45686</v>
      </c>
      <c r="G258" s="2">
        <v>45687</v>
      </c>
      <c r="H258" s="2">
        <v>45687</v>
      </c>
      <c r="I258" s="2">
        <f>WORKDAY.INTL(F258,IF(OR(C258="MELHORIA PEQUENA",C258="MELHORIA MÉDIA"),3,1),1,ListaFeriados)</f>
        <v>45691</v>
      </c>
      <c r="J258" s="2">
        <f>WORKDAY.INTL(I258,IF(C258="MELHORIA MÉDIA",20,IF(OR(C258="MELHORIA PEQUENA",C258="BUG NÃO IMPEDITIVO"),5,2)),1,$X:$X)</f>
        <v>45698</v>
      </c>
      <c r="K258" t="str">
        <f>IF(H258&gt;J258,"ATRASO","NO PRAZO")</f>
        <v>NO PRAZO</v>
      </c>
    </row>
    <row r="259" spans="1:11">
      <c r="A259" s="1">
        <v>18850</v>
      </c>
      <c r="B259" t="s">
        <v>6</v>
      </c>
      <c r="C259" t="s">
        <v>7</v>
      </c>
      <c r="D259" s="1">
        <v>3037</v>
      </c>
      <c r="E259" s="1">
        <v>2024</v>
      </c>
      <c r="F259" s="2">
        <v>45608</v>
      </c>
      <c r="G259" s="2">
        <v>45609</v>
      </c>
      <c r="H259" s="2">
        <v>45617</v>
      </c>
      <c r="I259" s="2">
        <f>WORKDAY.INTL(F259,IF(OR(C259="MELHORIA PEQUENA",C259="MELHORIA MÉDIA"),3,1),1,ListaFeriados)</f>
        <v>45614</v>
      </c>
      <c r="J259" s="2">
        <f>WORKDAY.INTL(I259,IF(C259="MELHORIA MÉDIA",20,IF(OR(C259="MELHORIA PEQUENA",C259="BUG NÃO IMPEDITIVO"),5,2)),1,$X:$X)</f>
        <v>45622</v>
      </c>
      <c r="K259" t="str">
        <f>IF(H259&gt;J259,"ATRASO","NO PRAZO")</f>
        <v>NO PRAZO</v>
      </c>
    </row>
    <row r="260" spans="1:11">
      <c r="A260" s="1">
        <v>19704</v>
      </c>
      <c r="B260" t="s">
        <v>9</v>
      </c>
      <c r="C260" t="s">
        <v>7</v>
      </c>
      <c r="D260" s="1">
        <v>616</v>
      </c>
      <c r="E260" s="1">
        <v>2025</v>
      </c>
      <c r="F260" s="2">
        <v>45755</v>
      </c>
      <c r="G260" s="2">
        <v>45755</v>
      </c>
      <c r="H260" s="2">
        <v>45755</v>
      </c>
      <c r="I260" s="2">
        <f>WORKDAY.INTL(F260,IF(OR(C260="MELHORIA PEQUENA",C260="MELHORIA MÉDIA"),3,1),1,ListaFeriados)</f>
        <v>45758</v>
      </c>
      <c r="J260" s="2">
        <f>WORKDAY.INTL(I260,IF(C260="MELHORIA MÉDIA",20,IF(OR(C260="MELHORIA PEQUENA",C260="BUG NÃO IMPEDITIVO"),5,2)),1,$X:$X)</f>
        <v>45769</v>
      </c>
      <c r="K260" t="str">
        <f>IF(H260&gt;J260,"ATRASO","NO PRAZO")</f>
        <v>NO PRAZO</v>
      </c>
    </row>
    <row r="261" spans="1:11">
      <c r="A261" s="1">
        <v>18844</v>
      </c>
      <c r="B261" t="s">
        <v>6</v>
      </c>
      <c r="C261" t="s">
        <v>7</v>
      </c>
      <c r="D261" s="1">
        <v>3031</v>
      </c>
      <c r="E261" s="1">
        <v>2024</v>
      </c>
      <c r="F261" s="2">
        <v>45607</v>
      </c>
      <c r="G261" s="2">
        <v>45607</v>
      </c>
      <c r="H261" s="2">
        <v>45618</v>
      </c>
      <c r="I261" s="2">
        <f>WORKDAY.INTL(F261,IF(OR(C261="MELHORIA PEQUENA",C261="MELHORIA MÉDIA"),3,1),1,ListaFeriados)</f>
        <v>45610</v>
      </c>
      <c r="J261" s="2">
        <f>WORKDAY.INTL(I261,IF(C261="MELHORIA MÉDIA",20,IF(OR(C261="MELHORIA PEQUENA",C261="BUG NÃO IMPEDITIVO"),5,2)),1,$X:$X)</f>
        <v>45621</v>
      </c>
      <c r="K261" t="str">
        <f>IF(H261&gt;J261,"ATRASO","NO PRAZO")</f>
        <v>NO PRAZO</v>
      </c>
    </row>
    <row r="262" spans="1:11">
      <c r="A262" s="1">
        <v>17674</v>
      </c>
      <c r="B262" t="s">
        <v>8</v>
      </c>
      <c r="C262" t="s">
        <v>7</v>
      </c>
      <c r="D262" s="1">
        <v>1861</v>
      </c>
      <c r="E262" s="1">
        <v>2024</v>
      </c>
      <c r="F262" s="2">
        <v>45446</v>
      </c>
      <c r="G262" s="2">
        <v>45447</v>
      </c>
      <c r="H262" s="2">
        <v>45449</v>
      </c>
      <c r="I262" s="2">
        <f>WORKDAY.INTL(F262,IF(OR(C262="MELHORIA PEQUENA",C262="MELHORIA MÉDIA"),3,1),1,ListaFeriados)</f>
        <v>45449</v>
      </c>
      <c r="J262" s="2">
        <f>WORKDAY.INTL(I262,IF(C262="MELHORIA MÉDIA",20,IF(OR(C262="MELHORIA PEQUENA",C262="BUG NÃO IMPEDITIVO"),5,2)),1,$X:$X)</f>
        <v>45456</v>
      </c>
      <c r="K262" t="str">
        <f>IF(H262&gt;J262,"ATRASO","NO PRAZO")</f>
        <v>NO PRAZO</v>
      </c>
    </row>
    <row r="263" spans="1:11">
      <c r="A263" s="1">
        <v>17895</v>
      </c>
      <c r="B263" t="s">
        <v>8</v>
      </c>
      <c r="C263" t="s">
        <v>7</v>
      </c>
      <c r="D263" s="1">
        <v>2082</v>
      </c>
      <c r="E263" s="1">
        <v>2024</v>
      </c>
      <c r="F263" s="2">
        <v>45469</v>
      </c>
      <c r="G263" s="2">
        <v>45470</v>
      </c>
      <c r="H263" s="2">
        <v>45471</v>
      </c>
      <c r="I263" s="2">
        <f>WORKDAY.INTL(F263,IF(OR(C263="MELHORIA PEQUENA",C263="MELHORIA MÉDIA"),3,1),1,ListaFeriados)</f>
        <v>45474</v>
      </c>
      <c r="J263" s="2">
        <f>WORKDAY.INTL(I263,IF(C263="MELHORIA MÉDIA",20,IF(OR(C263="MELHORIA PEQUENA",C263="BUG NÃO IMPEDITIVO"),5,2)),1,$X:$X)</f>
        <v>45481</v>
      </c>
      <c r="K263" t="str">
        <f>IF(H263&gt;J263,"ATRASO","NO PRAZO")</f>
        <v>NO PRAZO</v>
      </c>
    </row>
    <row r="264" spans="1:11">
      <c r="A264" s="1">
        <v>17542</v>
      </c>
      <c r="B264" t="s">
        <v>13</v>
      </c>
      <c r="C264" t="s">
        <v>7</v>
      </c>
      <c r="D264" s="1">
        <v>1729</v>
      </c>
      <c r="E264" s="1">
        <v>2024</v>
      </c>
      <c r="F264" s="2">
        <v>45432</v>
      </c>
      <c r="G264" s="2">
        <v>45433</v>
      </c>
      <c r="H264" s="2">
        <v>45439</v>
      </c>
      <c r="I264" s="2">
        <f>WORKDAY.INTL(F264,IF(OR(C264="MELHORIA PEQUENA",C264="MELHORIA MÉDIA"),3,1),1,ListaFeriados)</f>
        <v>45435</v>
      </c>
      <c r="J264" s="2">
        <f>WORKDAY.INTL(I264,IF(C264="MELHORIA MÉDIA",20,IF(OR(C264="MELHORIA PEQUENA",C264="BUG NÃO IMPEDITIVO"),5,2)),1,$X:$X)</f>
        <v>45443</v>
      </c>
      <c r="K264" t="str">
        <f>IF(H264&gt;J264,"ATRASO","NO PRAZO")</f>
        <v>NO PRAZO</v>
      </c>
    </row>
    <row r="265" spans="1:11">
      <c r="A265" s="1">
        <v>17694</v>
      </c>
      <c r="B265" t="s">
        <v>11</v>
      </c>
      <c r="C265" t="s">
        <v>7</v>
      </c>
      <c r="D265" s="1">
        <v>1881</v>
      </c>
      <c r="E265" s="1">
        <v>2024</v>
      </c>
      <c r="F265" s="2">
        <v>45448</v>
      </c>
      <c r="G265" s="2">
        <v>45448</v>
      </c>
      <c r="H265" s="2">
        <v>45461</v>
      </c>
      <c r="I265" s="2">
        <f>WORKDAY.INTL(F265,IF(OR(C265="MELHORIA PEQUENA",C265="MELHORIA MÉDIA"),3,1),1,ListaFeriados)</f>
        <v>45453</v>
      </c>
      <c r="J265" s="2">
        <f>WORKDAY.INTL(I265,IF(C265="MELHORIA MÉDIA",20,IF(OR(C265="MELHORIA PEQUENA",C265="BUG NÃO IMPEDITIVO"),5,2)),1,$X:$X)</f>
        <v>45460</v>
      </c>
      <c r="K265" t="str">
        <f>IF(H265&gt;J265,"ATRASO","NO PRAZO")</f>
        <v>ATRASO</v>
      </c>
    </row>
    <row r="266" spans="1:11">
      <c r="A266" s="1">
        <v>18506</v>
      </c>
      <c r="B266" t="s">
        <v>6</v>
      </c>
      <c r="C266" t="s">
        <v>7</v>
      </c>
      <c r="D266" s="1">
        <v>2693</v>
      </c>
      <c r="E266" s="1">
        <v>2024</v>
      </c>
      <c r="F266" s="2">
        <v>45551</v>
      </c>
      <c r="G266" s="2">
        <v>45552</v>
      </c>
      <c r="H266" s="2">
        <v>45553</v>
      </c>
      <c r="I266" s="2">
        <f>WORKDAY.INTL(F266,IF(OR(C266="MELHORIA PEQUENA",C266="MELHORIA MÉDIA"),3,1),1,ListaFeriados)</f>
        <v>45554</v>
      </c>
      <c r="J266" s="2">
        <f>WORKDAY.INTL(I266,IF(C266="MELHORIA MÉDIA",20,IF(OR(C266="MELHORIA PEQUENA",C266="BUG NÃO IMPEDITIVO"),5,2)),1,$X:$X)</f>
        <v>45561</v>
      </c>
      <c r="K266" t="str">
        <f>IF(H266&gt;J266,"ATRASO","NO PRAZO")</f>
        <v>NO PRAZO</v>
      </c>
    </row>
    <row r="267" spans="1:11">
      <c r="A267" s="1">
        <v>17786</v>
      </c>
      <c r="B267" t="s">
        <v>6</v>
      </c>
      <c r="C267" t="s">
        <v>7</v>
      </c>
      <c r="D267" s="1">
        <v>1973</v>
      </c>
      <c r="E267" s="1">
        <v>2024</v>
      </c>
      <c r="F267" s="2">
        <v>45456</v>
      </c>
      <c r="G267" s="2">
        <v>45457</v>
      </c>
      <c r="H267" s="2">
        <v>45461</v>
      </c>
      <c r="I267" s="2">
        <f>WORKDAY.INTL(F267,IF(OR(C267="MELHORIA PEQUENA",C267="MELHORIA MÉDIA"),3,1),1,ListaFeriados)</f>
        <v>45461</v>
      </c>
      <c r="J267" s="2">
        <f>WORKDAY.INTL(I267,IF(C267="MELHORIA MÉDIA",20,IF(OR(C267="MELHORIA PEQUENA",C267="BUG NÃO IMPEDITIVO"),5,2)),1,$X:$X)</f>
        <v>45468</v>
      </c>
      <c r="K267" t="str">
        <f>IF(H267&gt;J267,"ATRASO","NO PRAZO")</f>
        <v>NO PRAZO</v>
      </c>
    </row>
    <row r="268" spans="1:11">
      <c r="A268" s="1">
        <v>17908</v>
      </c>
      <c r="B268" t="s">
        <v>8</v>
      </c>
      <c r="C268" t="s">
        <v>7</v>
      </c>
      <c r="D268" s="1">
        <v>2095</v>
      </c>
      <c r="E268" s="1">
        <v>2024</v>
      </c>
      <c r="F268" s="2">
        <v>45470</v>
      </c>
      <c r="G268" s="2">
        <v>45471</v>
      </c>
      <c r="H268" s="2">
        <v>45476</v>
      </c>
      <c r="I268" s="2">
        <f>WORKDAY.INTL(F268,IF(OR(C268="MELHORIA PEQUENA",C268="MELHORIA MÉDIA"),3,1),1,ListaFeriados)</f>
        <v>45475</v>
      </c>
      <c r="J268" s="2">
        <f>WORKDAY.INTL(I268,IF(C268="MELHORIA MÉDIA",20,IF(OR(C268="MELHORIA PEQUENA",C268="BUG NÃO IMPEDITIVO"),5,2)),1,$X:$X)</f>
        <v>45482</v>
      </c>
      <c r="K268" t="str">
        <f>IF(H268&gt;J268,"ATRASO","NO PRAZO")</f>
        <v>NO PRAZO</v>
      </c>
    </row>
    <row r="269" spans="1:11">
      <c r="A269" s="1">
        <v>17997</v>
      </c>
      <c r="B269" t="s">
        <v>10</v>
      </c>
      <c r="C269" t="s">
        <v>7</v>
      </c>
      <c r="D269" s="1">
        <v>2184</v>
      </c>
      <c r="E269" s="1">
        <v>2024</v>
      </c>
      <c r="F269" s="2">
        <v>45485</v>
      </c>
      <c r="G269" s="2">
        <v>45485</v>
      </c>
      <c r="H269" s="2">
        <v>45488</v>
      </c>
      <c r="I269" s="2">
        <f>WORKDAY.INTL(F269,IF(OR(C269="MELHORIA PEQUENA",C269="MELHORIA MÉDIA"),3,1),1,ListaFeriados)</f>
        <v>45490</v>
      </c>
      <c r="J269" s="2">
        <f>WORKDAY.INTL(I269,IF(C269="MELHORIA MÉDIA",20,IF(OR(C269="MELHORIA PEQUENA",C269="BUG NÃO IMPEDITIVO"),5,2)),1,$X:$X)</f>
        <v>45497</v>
      </c>
      <c r="K269" t="str">
        <f>IF(H269&gt;J269,"ATRASO","NO PRAZO")</f>
        <v>NO PRAZO</v>
      </c>
    </row>
    <row r="270" spans="1:11">
      <c r="A270" s="1">
        <v>18416</v>
      </c>
      <c r="B270" t="s">
        <v>6</v>
      </c>
      <c r="C270" t="s">
        <v>7</v>
      </c>
      <c r="D270" s="1">
        <v>2603</v>
      </c>
      <c r="E270" s="1">
        <v>2024</v>
      </c>
      <c r="F270" s="2">
        <v>45539</v>
      </c>
      <c r="G270" s="2">
        <v>45540</v>
      </c>
      <c r="H270" s="2">
        <v>45544</v>
      </c>
      <c r="I270" s="2">
        <f>WORKDAY.INTL(F270,IF(OR(C270="MELHORIA PEQUENA",C270="MELHORIA MÉDIA"),3,1),1,ListaFeriados)</f>
        <v>45544</v>
      </c>
      <c r="J270" s="2">
        <f>WORKDAY.INTL(I270,IF(C270="MELHORIA MÉDIA",20,IF(OR(C270="MELHORIA PEQUENA",C270="BUG NÃO IMPEDITIVO"),5,2)),1,$X:$X)</f>
        <v>45551</v>
      </c>
      <c r="K270" t="str">
        <f>IF(H270&gt;J270,"ATRASO","NO PRAZO")</f>
        <v>NO PRAZO</v>
      </c>
    </row>
    <row r="271" spans="1:11">
      <c r="A271" s="1">
        <v>18583</v>
      </c>
      <c r="B271" t="s">
        <v>6</v>
      </c>
      <c r="C271" t="s">
        <v>7</v>
      </c>
      <c r="D271" s="1">
        <v>2770</v>
      </c>
      <c r="E271" s="1">
        <v>2024</v>
      </c>
      <c r="F271" s="2">
        <v>45565</v>
      </c>
      <c r="G271" s="2">
        <v>45565</v>
      </c>
      <c r="H271" s="2">
        <v>45566</v>
      </c>
      <c r="I271" s="2">
        <f>WORKDAY.INTL(F271,IF(OR(C271="MELHORIA PEQUENA",C271="MELHORIA MÉDIA"),3,1),1,ListaFeriados)</f>
        <v>45568</v>
      </c>
      <c r="J271" s="2">
        <f>WORKDAY.INTL(I271,IF(C271="MELHORIA MÉDIA",20,IF(OR(C271="MELHORIA PEQUENA",C271="BUG NÃO IMPEDITIVO"),5,2)),1,$X:$X)</f>
        <v>45575</v>
      </c>
      <c r="K271" t="str">
        <f>IF(H271&gt;J271,"ATRASO","NO PRAZO")</f>
        <v>NO PRAZO</v>
      </c>
    </row>
    <row r="272" spans="1:11">
      <c r="A272" s="1">
        <v>17793</v>
      </c>
      <c r="B272" t="s">
        <v>6</v>
      </c>
      <c r="C272" t="s">
        <v>7</v>
      </c>
      <c r="D272" s="1">
        <v>1980</v>
      </c>
      <c r="E272" s="1">
        <v>2024</v>
      </c>
      <c r="F272" s="2">
        <v>45456</v>
      </c>
      <c r="G272" s="2">
        <v>45457</v>
      </c>
      <c r="H272" s="2">
        <v>45461</v>
      </c>
      <c r="I272" s="2">
        <f>WORKDAY.INTL(F272,IF(OR(C272="MELHORIA PEQUENA",C272="MELHORIA MÉDIA"),3,1),1,ListaFeriados)</f>
        <v>45461</v>
      </c>
      <c r="J272" s="2">
        <f>WORKDAY.INTL(I272,IF(C272="MELHORIA MÉDIA",20,IF(OR(C272="MELHORIA PEQUENA",C272="BUG NÃO IMPEDITIVO"),5,2)),1,$X:$X)</f>
        <v>45468</v>
      </c>
      <c r="K272" t="str">
        <f>IF(H272&gt;J272,"ATRASO","NO PRAZO")</f>
        <v>NO PRAZO</v>
      </c>
    </row>
    <row r="273" spans="1:11">
      <c r="A273" s="1">
        <v>19254</v>
      </c>
      <c r="B273" t="s">
        <v>8</v>
      </c>
      <c r="C273" t="s">
        <v>7</v>
      </c>
      <c r="D273" s="1">
        <v>166</v>
      </c>
      <c r="E273" s="1">
        <v>2025</v>
      </c>
      <c r="F273" s="2">
        <v>45686</v>
      </c>
      <c r="G273" s="2">
        <v>45687</v>
      </c>
      <c r="H273" s="2">
        <v>45688</v>
      </c>
      <c r="I273" s="2">
        <f>WORKDAY.INTL(F273,IF(OR(C273="MELHORIA PEQUENA",C273="MELHORIA MÉDIA"),3,1),1,ListaFeriados)</f>
        <v>45691</v>
      </c>
      <c r="J273" s="2">
        <f>WORKDAY.INTL(I273,IF(C273="MELHORIA MÉDIA",20,IF(OR(C273="MELHORIA PEQUENA",C273="BUG NÃO IMPEDITIVO"),5,2)),1,$X:$X)</f>
        <v>45698</v>
      </c>
      <c r="K273" t="str">
        <f>IF(H273&gt;J273,"ATRASO","NO PRAZO")</f>
        <v>NO PRAZO</v>
      </c>
    </row>
    <row r="274" spans="1:11">
      <c r="A274" s="1">
        <v>19360</v>
      </c>
      <c r="B274" t="s">
        <v>6</v>
      </c>
      <c r="C274" t="s">
        <v>7</v>
      </c>
      <c r="D274" s="1">
        <v>272</v>
      </c>
      <c r="E274" s="1">
        <v>2025</v>
      </c>
      <c r="F274" s="2">
        <v>45702</v>
      </c>
      <c r="G274" s="2">
        <v>45705</v>
      </c>
      <c r="H274" s="2">
        <v>45707</v>
      </c>
      <c r="I274" s="2">
        <f>WORKDAY.INTL(F274,IF(OR(C274="MELHORIA PEQUENA",C274="MELHORIA MÉDIA"),3,1),1,ListaFeriados)</f>
        <v>45707</v>
      </c>
      <c r="J274" s="2">
        <f>WORKDAY.INTL(I274,IF(C274="MELHORIA MÉDIA",20,IF(OR(C274="MELHORIA PEQUENA",C274="BUG NÃO IMPEDITIVO"),5,2)),1,$X:$X)</f>
        <v>45714</v>
      </c>
      <c r="K274" t="str">
        <f>IF(H274&gt;J274,"ATRASO","NO PRAZO")</f>
        <v>NO PRAZO</v>
      </c>
    </row>
    <row r="275" spans="1:11">
      <c r="A275" s="1">
        <v>19380</v>
      </c>
      <c r="B275" t="s">
        <v>6</v>
      </c>
      <c r="C275" t="s">
        <v>7</v>
      </c>
      <c r="D275" s="1">
        <v>292</v>
      </c>
      <c r="E275" s="1">
        <v>2025</v>
      </c>
      <c r="F275" s="2">
        <v>45706</v>
      </c>
      <c r="G275" s="2">
        <v>45706</v>
      </c>
      <c r="H275" s="2">
        <v>45708</v>
      </c>
      <c r="I275" s="2">
        <f>WORKDAY.INTL(F275,IF(OR(C275="MELHORIA PEQUENA",C275="MELHORIA MÉDIA"),3,1),1,ListaFeriados)</f>
        <v>45709</v>
      </c>
      <c r="J275" s="2">
        <f>WORKDAY.INTL(I275,IF(C275="MELHORIA MÉDIA",20,IF(OR(C275="MELHORIA PEQUENA",C275="BUG NÃO IMPEDITIVO"),5,2)),1,$X:$X)</f>
        <v>45716</v>
      </c>
      <c r="K275" t="str">
        <f>IF(H275&gt;J275,"ATRASO","NO PRAZO")</f>
        <v>NO PRAZO</v>
      </c>
    </row>
    <row r="276" spans="1:11">
      <c r="A276" s="1">
        <v>19344</v>
      </c>
      <c r="B276" t="s">
        <v>8</v>
      </c>
      <c r="C276" t="s">
        <v>7</v>
      </c>
      <c r="D276" s="1">
        <v>256</v>
      </c>
      <c r="E276" s="1">
        <v>2025</v>
      </c>
      <c r="F276" s="2">
        <v>45700</v>
      </c>
      <c r="G276" s="2">
        <v>45700</v>
      </c>
      <c r="H276" s="2">
        <v>45701</v>
      </c>
      <c r="I276" s="2">
        <f>WORKDAY.INTL(F276,IF(OR(C276="MELHORIA PEQUENA",C276="MELHORIA MÉDIA"),3,1),1,ListaFeriados)</f>
        <v>45705</v>
      </c>
      <c r="J276" s="2">
        <f>WORKDAY.INTL(I276,IF(C276="MELHORIA MÉDIA",20,IF(OR(C276="MELHORIA PEQUENA",C276="BUG NÃO IMPEDITIVO"),5,2)),1,$X:$X)</f>
        <v>45712</v>
      </c>
      <c r="K276" t="str">
        <f>IF(H276&gt;J276,"ATRASO","NO PRAZO")</f>
        <v>NO PRAZO</v>
      </c>
    </row>
    <row r="277" spans="1:11">
      <c r="A277" s="1">
        <v>19370</v>
      </c>
      <c r="B277" t="s">
        <v>11</v>
      </c>
      <c r="C277" t="s">
        <v>7</v>
      </c>
      <c r="D277" s="1">
        <v>282</v>
      </c>
      <c r="E277" s="1">
        <v>2025</v>
      </c>
      <c r="F277" s="2">
        <v>45705</v>
      </c>
      <c r="G277" s="2">
        <v>45706</v>
      </c>
      <c r="H277" s="2">
        <v>45709</v>
      </c>
      <c r="I277" s="2">
        <f>WORKDAY.INTL(F277,IF(OR(C277="MELHORIA PEQUENA",C277="MELHORIA MÉDIA"),3,1),1,ListaFeriados)</f>
        <v>45708</v>
      </c>
      <c r="J277" s="2">
        <f>WORKDAY.INTL(I277,IF(C277="MELHORIA MÉDIA",20,IF(OR(C277="MELHORIA PEQUENA",C277="BUG NÃO IMPEDITIVO"),5,2)),1,$X:$X)</f>
        <v>45715</v>
      </c>
      <c r="K277" t="str">
        <f>IF(H277&gt;J277,"ATRASO","NO PRAZO")</f>
        <v>NO PRAZO</v>
      </c>
    </row>
    <row r="278" spans="1:11">
      <c r="A278" s="1">
        <v>19413</v>
      </c>
      <c r="B278" t="s">
        <v>11</v>
      </c>
      <c r="C278" t="s">
        <v>7</v>
      </c>
      <c r="D278" s="1">
        <v>325</v>
      </c>
      <c r="E278" s="1">
        <v>2025</v>
      </c>
      <c r="F278" s="2">
        <v>45709</v>
      </c>
      <c r="G278" s="2">
        <v>45709</v>
      </c>
      <c r="H278" s="2">
        <v>45713</v>
      </c>
      <c r="I278" s="2">
        <f>WORKDAY.INTL(F278,IF(OR(C278="MELHORIA PEQUENA",C278="MELHORIA MÉDIA"),3,1),1,ListaFeriados)</f>
        <v>45714</v>
      </c>
      <c r="J278" s="2">
        <f>WORKDAY.INTL(I278,IF(C278="MELHORIA MÉDIA",20,IF(OR(C278="MELHORIA PEQUENA",C278="BUG NÃO IMPEDITIVO"),5,2)),1,$X:$X)</f>
        <v>45723</v>
      </c>
      <c r="K278" t="str">
        <f>IF(H278&gt;J278,"ATRASO","NO PRAZO")</f>
        <v>NO PRAZO</v>
      </c>
    </row>
    <row r="279" spans="1:11">
      <c r="A279" s="1">
        <v>19129</v>
      </c>
      <c r="B279" t="s">
        <v>6</v>
      </c>
      <c r="C279" t="s">
        <v>7</v>
      </c>
      <c r="D279" s="1">
        <v>41</v>
      </c>
      <c r="E279" s="1">
        <v>2025</v>
      </c>
      <c r="F279" s="2">
        <v>45666</v>
      </c>
      <c r="G279" s="2">
        <v>45666</v>
      </c>
      <c r="H279" s="2">
        <v>45667</v>
      </c>
      <c r="I279" s="2">
        <f>WORKDAY.INTL(F279,IF(OR(C279="MELHORIA PEQUENA",C279="MELHORIA MÉDIA"),3,1),1,ListaFeriados)</f>
        <v>45671</v>
      </c>
      <c r="J279" s="2">
        <f>WORKDAY.INTL(I279,IF(C279="MELHORIA MÉDIA",20,IF(OR(C279="MELHORIA PEQUENA",C279="BUG NÃO IMPEDITIVO"),5,2)),1,$X:$X)</f>
        <v>45679</v>
      </c>
      <c r="K279" t="str">
        <f>IF(H279&gt;J279,"ATRASO","NO PRAZO")</f>
        <v>NO PRAZO</v>
      </c>
    </row>
    <row r="280" spans="1:11">
      <c r="A280" s="1">
        <v>19436</v>
      </c>
      <c r="B280" t="s">
        <v>6</v>
      </c>
      <c r="C280" t="s">
        <v>7</v>
      </c>
      <c r="D280" s="1">
        <v>348</v>
      </c>
      <c r="E280" s="1">
        <v>2025</v>
      </c>
      <c r="F280" s="2">
        <v>45714</v>
      </c>
      <c r="G280" s="2">
        <v>45714</v>
      </c>
      <c r="H280" s="2">
        <v>45716</v>
      </c>
      <c r="I280" s="2">
        <f>WORKDAY.INTL(F280,IF(OR(C280="MELHORIA PEQUENA",C280="MELHORIA MÉDIA"),3,1),1,ListaFeriados)</f>
        <v>45721</v>
      </c>
      <c r="J280" s="2">
        <f>WORKDAY.INTL(I280,IF(C280="MELHORIA MÉDIA",20,IF(OR(C280="MELHORIA PEQUENA",C280="BUG NÃO IMPEDITIVO"),5,2)),1,$X:$X)</f>
        <v>45728</v>
      </c>
      <c r="K280" t="str">
        <f>IF(H280&gt;J280,"ATRASO","NO PRAZO")</f>
        <v>NO PRAZO</v>
      </c>
    </row>
    <row r="281" spans="1:11">
      <c r="A281" s="1">
        <v>19154</v>
      </c>
      <c r="B281" t="s">
        <v>11</v>
      </c>
      <c r="C281" t="s">
        <v>7</v>
      </c>
      <c r="D281" s="1">
        <v>66</v>
      </c>
      <c r="E281" s="1">
        <v>2025</v>
      </c>
      <c r="F281" s="2">
        <v>45671</v>
      </c>
      <c r="G281" s="2">
        <v>45671</v>
      </c>
      <c r="H281" s="2">
        <v>45678</v>
      </c>
      <c r="I281" s="2">
        <f>WORKDAY.INTL(F281,IF(OR(C281="MELHORIA PEQUENA",C281="MELHORIA MÉDIA"),3,1),1,ListaFeriados)</f>
        <v>45674</v>
      </c>
      <c r="J281" s="2">
        <f>WORKDAY.INTL(I281,IF(C281="MELHORIA MÉDIA",20,IF(OR(C281="MELHORIA PEQUENA",C281="BUG NÃO IMPEDITIVO"),5,2)),1,$X:$X)</f>
        <v>45684</v>
      </c>
      <c r="K281" t="str">
        <f>IF(H281&gt;J281,"ATRASO","NO PRAZO")</f>
        <v>NO PRAZO</v>
      </c>
    </row>
    <row r="282" spans="1:11">
      <c r="A282" s="1">
        <v>19416</v>
      </c>
      <c r="B282" t="s">
        <v>6</v>
      </c>
      <c r="C282" t="s">
        <v>7</v>
      </c>
      <c r="D282" s="1">
        <v>328</v>
      </c>
      <c r="E282" s="1">
        <v>2025</v>
      </c>
      <c r="F282" s="2">
        <v>45709</v>
      </c>
      <c r="G282" s="2">
        <v>45712</v>
      </c>
      <c r="H282" s="2">
        <v>45716</v>
      </c>
      <c r="I282" s="2">
        <f>WORKDAY.INTL(F282,IF(OR(C282="MELHORIA PEQUENA",C282="MELHORIA MÉDIA"),3,1),1,ListaFeriados)</f>
        <v>45714</v>
      </c>
      <c r="J282" s="2">
        <f>WORKDAY.INTL(I282,IF(C282="MELHORIA MÉDIA",20,IF(OR(C282="MELHORIA PEQUENA",C282="BUG NÃO IMPEDITIVO"),5,2)),1,$X:$X)</f>
        <v>45723</v>
      </c>
      <c r="K282" t="str">
        <f>IF(H282&gt;J282,"ATRASO","NO PRAZO")</f>
        <v>NO PRAZO</v>
      </c>
    </row>
    <row r="283" spans="1:11">
      <c r="A283" s="1">
        <v>19353</v>
      </c>
      <c r="B283" t="s">
        <v>8</v>
      </c>
      <c r="C283" t="s">
        <v>7</v>
      </c>
      <c r="D283" s="1">
        <v>265</v>
      </c>
      <c r="E283" s="1">
        <v>2025</v>
      </c>
      <c r="F283" s="2">
        <v>45701</v>
      </c>
      <c r="G283" s="2">
        <v>45702</v>
      </c>
      <c r="H283" s="2">
        <v>45705</v>
      </c>
      <c r="I283" s="2">
        <f>WORKDAY.INTL(F283,IF(OR(C283="MELHORIA PEQUENA",C283="MELHORIA MÉDIA"),3,1),1,ListaFeriados)</f>
        <v>45706</v>
      </c>
      <c r="J283" s="2">
        <f>WORKDAY.INTL(I283,IF(C283="MELHORIA MÉDIA",20,IF(OR(C283="MELHORIA PEQUENA",C283="BUG NÃO IMPEDITIVO"),5,2)),1,$X:$X)</f>
        <v>45713</v>
      </c>
      <c r="K283" t="str">
        <f>IF(H283&gt;J283,"ATRASO","NO PRAZO")</f>
        <v>NO PRAZO</v>
      </c>
    </row>
    <row r="284" spans="1:11">
      <c r="A284" s="1">
        <v>19474</v>
      </c>
      <c r="B284" t="s">
        <v>6</v>
      </c>
      <c r="C284" t="s">
        <v>7</v>
      </c>
      <c r="D284" s="1">
        <v>386</v>
      </c>
      <c r="E284" s="1">
        <v>2025</v>
      </c>
      <c r="F284" s="2">
        <v>45723</v>
      </c>
      <c r="G284" s="2">
        <v>45726</v>
      </c>
      <c r="H284" s="2">
        <v>45727</v>
      </c>
      <c r="I284" s="2">
        <f>WORKDAY.INTL(F284,IF(OR(C284="MELHORIA PEQUENA",C284="MELHORIA MÉDIA"),3,1),1,ListaFeriados)</f>
        <v>45728</v>
      </c>
      <c r="J284" s="2">
        <f>WORKDAY.INTL(I284,IF(C284="MELHORIA MÉDIA",20,IF(OR(C284="MELHORIA PEQUENA",C284="BUG NÃO IMPEDITIVO"),5,2)),1,$X:$X)</f>
        <v>45735</v>
      </c>
      <c r="K284" t="str">
        <f>IF(H284&gt;J284,"ATRASO","NO PRAZO")</f>
        <v>NO PRAZO</v>
      </c>
    </row>
    <row r="285" spans="1:11">
      <c r="A285" s="1">
        <v>18846</v>
      </c>
      <c r="B285" t="s">
        <v>8</v>
      </c>
      <c r="C285" t="s">
        <v>7</v>
      </c>
      <c r="D285" s="1">
        <v>3033</v>
      </c>
      <c r="E285" s="1">
        <v>2024</v>
      </c>
      <c r="F285" s="2">
        <v>45608</v>
      </c>
      <c r="G285" s="2">
        <v>45609</v>
      </c>
      <c r="H285" s="2">
        <v>45610</v>
      </c>
      <c r="I285" s="2">
        <f>WORKDAY.INTL(F285,IF(OR(C285="MELHORIA PEQUENA",C285="MELHORIA MÉDIA"),3,1),1,ListaFeriados)</f>
        <v>45614</v>
      </c>
      <c r="J285" s="2">
        <f>WORKDAY.INTL(I285,IF(C285="MELHORIA MÉDIA",20,IF(OR(C285="MELHORIA PEQUENA",C285="BUG NÃO IMPEDITIVO"),5,2)),1,$X:$X)</f>
        <v>45622</v>
      </c>
      <c r="K285" t="str">
        <f>IF(H285&gt;J285,"ATRASO","NO PRAZO")</f>
        <v>NO PRAZO</v>
      </c>
    </row>
    <row r="286" spans="1:11">
      <c r="A286" s="1">
        <v>19364</v>
      </c>
      <c r="B286" t="s">
        <v>8</v>
      </c>
      <c r="C286" t="s">
        <v>7</v>
      </c>
      <c r="D286" s="1">
        <v>276</v>
      </c>
      <c r="E286" s="1">
        <v>2025</v>
      </c>
      <c r="F286" s="2">
        <v>45702</v>
      </c>
      <c r="G286" s="2">
        <v>45705</v>
      </c>
      <c r="H286" s="2">
        <v>45707</v>
      </c>
      <c r="I286" s="2">
        <f>WORKDAY.INTL(F286,IF(OR(C286="MELHORIA PEQUENA",C286="MELHORIA MÉDIA"),3,1),1,ListaFeriados)</f>
        <v>45707</v>
      </c>
      <c r="J286" s="2">
        <f>WORKDAY.INTL(I286,IF(C286="MELHORIA MÉDIA",20,IF(OR(C286="MELHORIA PEQUENA",C286="BUG NÃO IMPEDITIVO"),5,2)),1,$X:$X)</f>
        <v>45714</v>
      </c>
      <c r="K286" t="str">
        <f>IF(H286&gt;J286,"ATRASO","NO PRAZO")</f>
        <v>NO PRAZO</v>
      </c>
    </row>
    <row r="287" spans="1:11">
      <c r="A287" s="1">
        <v>19422</v>
      </c>
      <c r="B287" t="s">
        <v>8</v>
      </c>
      <c r="C287" t="s">
        <v>7</v>
      </c>
      <c r="D287" s="1">
        <v>334</v>
      </c>
      <c r="E287" s="1">
        <v>2025</v>
      </c>
      <c r="F287" s="2">
        <v>45712</v>
      </c>
      <c r="G287" s="2">
        <v>45713</v>
      </c>
      <c r="H287" s="2">
        <v>45713</v>
      </c>
      <c r="I287" s="2">
        <f>WORKDAY.INTL(F287,IF(OR(C287="MELHORIA PEQUENA",C287="MELHORIA MÉDIA"),3,1),1,ListaFeriados)</f>
        <v>45715</v>
      </c>
      <c r="J287" s="2">
        <f>WORKDAY.INTL(I287,IF(C287="MELHORIA MÉDIA",20,IF(OR(C287="MELHORIA PEQUENA",C287="BUG NÃO IMPEDITIVO"),5,2)),1,$X:$X)</f>
        <v>45726</v>
      </c>
      <c r="K287" t="str">
        <f>IF(H287&gt;J287,"ATRASO","NO PRAZO")</f>
        <v>NO PRAZO</v>
      </c>
    </row>
    <row r="288" spans="1:11">
      <c r="A288" s="1">
        <v>19458</v>
      </c>
      <c r="B288" t="s">
        <v>9</v>
      </c>
      <c r="C288" t="s">
        <v>7</v>
      </c>
      <c r="D288" s="1">
        <v>370</v>
      </c>
      <c r="E288" s="1">
        <v>2025</v>
      </c>
      <c r="F288" s="2">
        <v>45716</v>
      </c>
      <c r="G288" s="2">
        <v>45723</v>
      </c>
      <c r="H288" s="2">
        <v>45727</v>
      </c>
      <c r="I288" s="2">
        <f>WORKDAY.INTL(F288,IF(OR(C288="MELHORIA PEQUENA",C288="MELHORIA MÉDIA"),3,1),1,ListaFeriados)</f>
        <v>45723</v>
      </c>
      <c r="J288" s="2">
        <f>WORKDAY.INTL(I288,IF(C288="MELHORIA MÉDIA",20,IF(OR(C288="MELHORIA PEQUENA",C288="BUG NÃO IMPEDITIVO"),5,2)),1,$X:$X)</f>
        <v>45730</v>
      </c>
      <c r="K288" t="str">
        <f>IF(H288&gt;J288,"ATRASO","NO PRAZO")</f>
        <v>NO PRAZO</v>
      </c>
    </row>
    <row r="289" spans="1:11">
      <c r="A289" s="1">
        <v>19283</v>
      </c>
      <c r="B289" t="s">
        <v>6</v>
      </c>
      <c r="C289" t="s">
        <v>7</v>
      </c>
      <c r="D289" s="1">
        <v>195</v>
      </c>
      <c r="E289" s="1">
        <v>2025</v>
      </c>
      <c r="F289" s="2">
        <v>45688</v>
      </c>
      <c r="G289" s="2">
        <v>45691</v>
      </c>
      <c r="H289" s="2">
        <v>45693</v>
      </c>
      <c r="I289" s="2">
        <f>WORKDAY.INTL(F289,IF(OR(C289="MELHORIA PEQUENA",C289="MELHORIA MÉDIA"),3,1),1,ListaFeriados)</f>
        <v>45693</v>
      </c>
      <c r="J289" s="2">
        <f>WORKDAY.INTL(I289,IF(C289="MELHORIA MÉDIA",20,IF(OR(C289="MELHORIA PEQUENA",C289="BUG NÃO IMPEDITIVO"),5,2)),1,$X:$X)</f>
        <v>45700</v>
      </c>
      <c r="K289" t="str">
        <f>IF(H289&gt;J289,"ATRASO","NO PRAZO")</f>
        <v>NO PRAZO</v>
      </c>
    </row>
    <row r="290" spans="1:11">
      <c r="A290" s="1">
        <v>19350</v>
      </c>
      <c r="B290" t="s">
        <v>6</v>
      </c>
      <c r="C290" t="s">
        <v>7</v>
      </c>
      <c r="D290" s="1">
        <v>262</v>
      </c>
      <c r="E290" s="1">
        <v>2025</v>
      </c>
      <c r="F290" s="2">
        <v>45700</v>
      </c>
      <c r="G290" s="2">
        <v>45701</v>
      </c>
      <c r="H290" s="2">
        <v>45707</v>
      </c>
      <c r="I290" s="2">
        <f>WORKDAY.INTL(F290,IF(OR(C290="MELHORIA PEQUENA",C290="MELHORIA MÉDIA"),3,1),1,ListaFeriados)</f>
        <v>45705</v>
      </c>
      <c r="J290" s="2">
        <f>WORKDAY.INTL(I290,IF(C290="MELHORIA MÉDIA",20,IF(OR(C290="MELHORIA PEQUENA",C290="BUG NÃO IMPEDITIVO"),5,2)),1,$X:$X)</f>
        <v>45712</v>
      </c>
      <c r="K290" t="str">
        <f>IF(H290&gt;J290,"ATRASO","NO PRAZO")</f>
        <v>NO PRAZO</v>
      </c>
    </row>
    <row r="291" spans="1:11">
      <c r="A291" s="1">
        <v>18744</v>
      </c>
      <c r="B291" t="s">
        <v>8</v>
      </c>
      <c r="C291" t="s">
        <v>7</v>
      </c>
      <c r="D291" s="1">
        <v>2931</v>
      </c>
      <c r="E291" s="1">
        <v>2024</v>
      </c>
      <c r="F291" s="2">
        <v>45586</v>
      </c>
      <c r="G291" s="2">
        <v>45588</v>
      </c>
      <c r="H291" s="2">
        <v>45588</v>
      </c>
      <c r="I291" s="2">
        <f>WORKDAY.INTL(F291,IF(OR(C291="MELHORIA PEQUENA",C291="MELHORIA MÉDIA"),3,1),1,ListaFeriados)</f>
        <v>45589</v>
      </c>
      <c r="J291" s="2">
        <f>WORKDAY.INTL(I291,IF(C291="MELHORIA MÉDIA",20,IF(OR(C291="MELHORIA PEQUENA",C291="BUG NÃO IMPEDITIVO"),5,2)),1,$X:$X)</f>
        <v>45597</v>
      </c>
      <c r="K291" t="str">
        <f>IF(H291&gt;J291,"ATRASO","NO PRAZO")</f>
        <v>NO PRAZO</v>
      </c>
    </row>
    <row r="292" spans="1:11">
      <c r="A292" s="1">
        <v>19067</v>
      </c>
      <c r="B292" t="s">
        <v>6</v>
      </c>
      <c r="C292" t="s">
        <v>7</v>
      </c>
      <c r="D292" s="1">
        <v>3254</v>
      </c>
      <c r="E292" s="1">
        <v>2024</v>
      </c>
      <c r="F292" s="2">
        <v>45649</v>
      </c>
      <c r="G292" s="2">
        <v>45649</v>
      </c>
      <c r="H292" s="2">
        <v>45652</v>
      </c>
      <c r="I292" s="2">
        <f>WORKDAY.INTL(F292,IF(OR(C292="MELHORIA PEQUENA",C292="MELHORIA MÉDIA"),3,1),1,ListaFeriados)</f>
        <v>45653</v>
      </c>
      <c r="J292" s="2">
        <f>WORKDAY.INTL(I292,IF(C292="MELHORIA MÉDIA",20,IF(OR(C292="MELHORIA PEQUENA",C292="BUG NÃO IMPEDITIVO"),5,2)),1,$X:$X)</f>
        <v>45663</v>
      </c>
      <c r="K292" t="str">
        <f>IF(H292&gt;J292,"ATRASO","NO PRAZO")</f>
        <v>NO PRAZO</v>
      </c>
    </row>
    <row r="293" spans="1:11">
      <c r="A293" s="1">
        <v>19044</v>
      </c>
      <c r="B293" t="s">
        <v>8</v>
      </c>
      <c r="C293" t="s">
        <v>7</v>
      </c>
      <c r="D293" s="1">
        <v>3231</v>
      </c>
      <c r="E293" s="1">
        <v>2024</v>
      </c>
      <c r="F293" s="2">
        <v>45644</v>
      </c>
      <c r="G293" s="2">
        <v>45645</v>
      </c>
      <c r="H293" s="2">
        <v>45649</v>
      </c>
      <c r="I293" s="2">
        <f>WORKDAY.INTL(F293,IF(OR(C293="MELHORIA PEQUENA",C293="MELHORIA MÉDIA"),3,1),1,ListaFeriados)</f>
        <v>45649</v>
      </c>
      <c r="J293" s="2">
        <f>WORKDAY.INTL(I293,IF(C293="MELHORIA MÉDIA",20,IF(OR(C293="MELHORIA PEQUENA",C293="BUG NÃO IMPEDITIVO"),5,2)),1,$X:$X)</f>
        <v>45657</v>
      </c>
      <c r="K293" t="str">
        <f>IF(H293&gt;J293,"ATRASO","NO PRAZO")</f>
        <v>NO PRAZO</v>
      </c>
    </row>
    <row r="294" spans="1:11">
      <c r="A294" s="1">
        <v>19503</v>
      </c>
      <c r="B294" t="s">
        <v>8</v>
      </c>
      <c r="C294" t="s">
        <v>7</v>
      </c>
      <c r="D294" s="1">
        <v>415</v>
      </c>
      <c r="E294" s="1">
        <v>2025</v>
      </c>
      <c r="F294" s="2">
        <v>45729</v>
      </c>
      <c r="G294" s="2">
        <v>45730</v>
      </c>
      <c r="H294" s="2">
        <v>45737</v>
      </c>
      <c r="I294" s="2">
        <f>WORKDAY.INTL(F294,IF(OR(C294="MELHORIA PEQUENA",C294="MELHORIA MÉDIA"),3,1),1,ListaFeriados)</f>
        <v>45734</v>
      </c>
      <c r="J294" s="2">
        <f>WORKDAY.INTL(I294,IF(C294="MELHORIA MÉDIA",20,IF(OR(C294="MELHORIA PEQUENA",C294="BUG NÃO IMPEDITIVO"),5,2)),1,$X:$X)</f>
        <v>45741</v>
      </c>
      <c r="K294" t="str">
        <f>IF(H294&gt;J294,"ATRASO","NO PRAZO")</f>
        <v>NO PRAZO</v>
      </c>
    </row>
    <row r="295" spans="1:11">
      <c r="A295" s="1">
        <v>19753</v>
      </c>
      <c r="B295" t="s">
        <v>14</v>
      </c>
      <c r="C295" t="s">
        <v>7</v>
      </c>
      <c r="D295" s="1">
        <v>665</v>
      </c>
      <c r="E295" s="1">
        <v>2025</v>
      </c>
      <c r="F295" s="2">
        <v>45763</v>
      </c>
      <c r="G295" s="2">
        <v>45764</v>
      </c>
      <c r="H295" s="2">
        <v>45769</v>
      </c>
      <c r="I295" s="2">
        <f>WORKDAY.INTL(F295,IF(OR(C295="MELHORIA PEQUENA",C295="MELHORIA MÉDIA"),3,1),1,ListaFeriados)</f>
        <v>45771</v>
      </c>
      <c r="J295" s="2">
        <f>WORKDAY.INTL(I295,IF(C295="MELHORIA MÉDIA",20,IF(OR(C295="MELHORIA PEQUENA",C295="BUG NÃO IMPEDITIVO"),5,2)),1,$X:$X)</f>
        <v>45779</v>
      </c>
      <c r="K295" t="str">
        <f>IF(H295&gt;J295,"ATRASO","NO PRAZO")</f>
        <v>NO PRAZO</v>
      </c>
    </row>
    <row r="296" spans="1:11">
      <c r="A296" s="1">
        <v>18771</v>
      </c>
      <c r="B296" t="s">
        <v>8</v>
      </c>
      <c r="C296" t="s">
        <v>7</v>
      </c>
      <c r="D296" s="1">
        <v>2958</v>
      </c>
      <c r="E296" s="1">
        <v>2024</v>
      </c>
      <c r="F296" s="2">
        <v>45590</v>
      </c>
      <c r="G296" s="2">
        <v>45600</v>
      </c>
      <c r="H296" s="2">
        <v>45637</v>
      </c>
      <c r="I296" s="2">
        <f>WORKDAY.INTL(F296,IF(OR(C296="MELHORIA PEQUENA",C296="MELHORIA MÉDIA"),3,1),1,ListaFeriados)</f>
        <v>45596</v>
      </c>
      <c r="J296" s="2">
        <f>WORKDAY.INTL(I296,IF(C296="MELHORIA MÉDIA",20,IF(OR(C296="MELHORIA PEQUENA",C296="BUG NÃO IMPEDITIVO"),5,2)),1,$X:$X)</f>
        <v>45603</v>
      </c>
      <c r="K296" t="str">
        <f>IF(H296&gt;J296,"ATRASO","NO PRAZO")</f>
        <v>ATRASO</v>
      </c>
    </row>
    <row r="297" spans="1:11">
      <c r="A297" s="1">
        <v>19549</v>
      </c>
      <c r="B297" t="s">
        <v>6</v>
      </c>
      <c r="C297" t="s">
        <v>7</v>
      </c>
      <c r="D297" s="1">
        <v>461</v>
      </c>
      <c r="E297" s="1">
        <v>2025</v>
      </c>
      <c r="F297" s="2">
        <v>45734</v>
      </c>
      <c r="G297" s="2">
        <v>45734</v>
      </c>
      <c r="H297" s="2">
        <v>45737</v>
      </c>
      <c r="I297" s="2">
        <f>WORKDAY.INTL(F297,IF(OR(C297="MELHORIA PEQUENA",C297="MELHORIA MÉDIA"),3,1),1,ListaFeriados)</f>
        <v>45737</v>
      </c>
      <c r="J297" s="2">
        <f>WORKDAY.INTL(I297,IF(C297="MELHORIA MÉDIA",20,IF(OR(C297="MELHORIA PEQUENA",C297="BUG NÃO IMPEDITIVO"),5,2)),1,$X:$X)</f>
        <v>45744</v>
      </c>
      <c r="K297" t="str">
        <f>IF(H297&gt;J297,"ATRASO","NO PRAZO")</f>
        <v>NO PRAZO</v>
      </c>
    </row>
    <row r="298" spans="1:11">
      <c r="A298" s="1">
        <v>19829</v>
      </c>
      <c r="B298" t="s">
        <v>6</v>
      </c>
      <c r="C298" t="s">
        <v>7</v>
      </c>
      <c r="D298" s="1">
        <v>741</v>
      </c>
      <c r="E298" s="1">
        <v>2025</v>
      </c>
      <c r="F298" s="2">
        <v>45779</v>
      </c>
      <c r="G298" s="2">
        <v>45782</v>
      </c>
      <c r="H298" s="2">
        <v>45783</v>
      </c>
      <c r="I298" s="2">
        <f>WORKDAY.INTL(F298,IF(OR(C298="MELHORIA PEQUENA",C298="MELHORIA MÉDIA"),3,1),1,ListaFeriados)</f>
        <v>45784</v>
      </c>
      <c r="J298" s="2">
        <f>WORKDAY.INTL(I298,IF(C298="MELHORIA MÉDIA",20,IF(OR(C298="MELHORIA PEQUENA",C298="BUG NÃO IMPEDITIVO"),5,2)),1,$X:$X)</f>
        <v>45791</v>
      </c>
      <c r="K298" t="str">
        <f>IF(H298&gt;J298,"ATRASO","NO PRAZO")</f>
        <v>NO PRAZO</v>
      </c>
    </row>
    <row r="299" spans="1:11">
      <c r="A299" s="1">
        <v>19041</v>
      </c>
      <c r="B299" t="s">
        <v>6</v>
      </c>
      <c r="C299" t="s">
        <v>7</v>
      </c>
      <c r="D299" s="1">
        <v>3228</v>
      </c>
      <c r="E299" s="1">
        <v>2024</v>
      </c>
      <c r="F299" s="2">
        <v>45644</v>
      </c>
      <c r="G299" s="2">
        <v>45645</v>
      </c>
      <c r="H299" s="2">
        <v>45646</v>
      </c>
      <c r="I299" s="2">
        <f>WORKDAY.INTL(F299,IF(OR(C299="MELHORIA PEQUENA",C299="MELHORIA MÉDIA"),3,1),1,ListaFeriados)</f>
        <v>45649</v>
      </c>
      <c r="J299" s="2">
        <f>WORKDAY.INTL(I299,IF(C299="MELHORIA MÉDIA",20,IF(OR(C299="MELHORIA PEQUENA",C299="BUG NÃO IMPEDITIVO"),5,2)),1,$X:$X)</f>
        <v>45657</v>
      </c>
      <c r="K299" t="str">
        <f>IF(H299&gt;J299,"ATRASO","NO PRAZO")</f>
        <v>NO PRAZO</v>
      </c>
    </row>
    <row r="300" spans="1:11">
      <c r="A300" s="1">
        <v>19272</v>
      </c>
      <c r="B300" t="s">
        <v>6</v>
      </c>
      <c r="C300" t="s">
        <v>7</v>
      </c>
      <c r="D300" s="1">
        <v>184</v>
      </c>
      <c r="E300" s="1">
        <v>2025</v>
      </c>
      <c r="F300" s="2">
        <v>45688</v>
      </c>
      <c r="G300" s="2">
        <v>45691</v>
      </c>
      <c r="H300" s="2">
        <v>45692</v>
      </c>
      <c r="I300" s="2">
        <f>WORKDAY.INTL(F300,IF(OR(C300="MELHORIA PEQUENA",C300="MELHORIA MÉDIA"),3,1),1,ListaFeriados)</f>
        <v>45693</v>
      </c>
      <c r="J300" s="2">
        <f>WORKDAY.INTL(I300,IF(C300="MELHORIA MÉDIA",20,IF(OR(C300="MELHORIA PEQUENA",C300="BUG NÃO IMPEDITIVO"),5,2)),1,$X:$X)</f>
        <v>45700</v>
      </c>
      <c r="K300" t="str">
        <f>IF(H300&gt;J300,"ATRASO","NO PRAZO")</f>
        <v>NO PRAZO</v>
      </c>
    </row>
    <row r="301" spans="1:11">
      <c r="A301" s="1">
        <v>19282</v>
      </c>
      <c r="B301" t="s">
        <v>6</v>
      </c>
      <c r="C301" t="s">
        <v>7</v>
      </c>
      <c r="D301" s="1">
        <v>194</v>
      </c>
      <c r="E301" s="1">
        <v>2025</v>
      </c>
      <c r="F301" s="2">
        <v>45688</v>
      </c>
      <c r="G301" s="2">
        <v>45691</v>
      </c>
      <c r="H301" s="2">
        <v>45693</v>
      </c>
      <c r="I301" s="2">
        <f>WORKDAY.INTL(F301,IF(OR(C301="MELHORIA PEQUENA",C301="MELHORIA MÉDIA"),3,1),1,ListaFeriados)</f>
        <v>45693</v>
      </c>
      <c r="J301" s="2">
        <f>WORKDAY.INTL(I301,IF(C301="MELHORIA MÉDIA",20,IF(OR(C301="MELHORIA PEQUENA",C301="BUG NÃO IMPEDITIVO"),5,2)),1,$X:$X)</f>
        <v>45700</v>
      </c>
      <c r="K301" t="str">
        <f>IF(H301&gt;J301,"ATRASO","NO PRAZO")</f>
        <v>NO PRAZO</v>
      </c>
    </row>
    <row r="302" spans="1:11">
      <c r="A302" s="1">
        <v>19379</v>
      </c>
      <c r="B302" t="s">
        <v>6</v>
      </c>
      <c r="C302" t="s">
        <v>7</v>
      </c>
      <c r="D302" s="1">
        <v>291</v>
      </c>
      <c r="E302" s="1">
        <v>2025</v>
      </c>
      <c r="F302" s="2">
        <v>45706</v>
      </c>
      <c r="G302" s="2">
        <v>45706</v>
      </c>
      <c r="H302" s="2">
        <v>45708</v>
      </c>
      <c r="I302" s="2">
        <f>WORKDAY.INTL(F302,IF(OR(C302="MELHORIA PEQUENA",C302="MELHORIA MÉDIA"),3,1),1,ListaFeriados)</f>
        <v>45709</v>
      </c>
      <c r="J302" s="2">
        <f>WORKDAY.INTL(I302,IF(C302="MELHORIA MÉDIA",20,IF(OR(C302="MELHORIA PEQUENA",C302="BUG NÃO IMPEDITIVO"),5,2)),1,$X:$X)</f>
        <v>45716</v>
      </c>
      <c r="K302" t="str">
        <f>IF(H302&gt;J302,"ATRASO","NO PRAZO")</f>
        <v>NO PRAZO</v>
      </c>
    </row>
    <row r="303" spans="1:11">
      <c r="A303" s="1">
        <v>19559</v>
      </c>
      <c r="B303" t="s">
        <v>10</v>
      </c>
      <c r="C303" t="s">
        <v>7</v>
      </c>
      <c r="D303" s="1">
        <v>471</v>
      </c>
      <c r="E303" s="1">
        <v>2025</v>
      </c>
      <c r="F303" s="2">
        <v>45734</v>
      </c>
      <c r="G303" s="2">
        <v>45735</v>
      </c>
      <c r="H303" s="2">
        <v>45735</v>
      </c>
      <c r="I303" s="2">
        <f>WORKDAY.INTL(F303,IF(OR(C303="MELHORIA PEQUENA",C303="MELHORIA MÉDIA"),3,1),1,ListaFeriados)</f>
        <v>45737</v>
      </c>
      <c r="J303" s="2">
        <f>WORKDAY.INTL(I303,IF(C303="MELHORIA MÉDIA",20,IF(OR(C303="MELHORIA PEQUENA",C303="BUG NÃO IMPEDITIVO"),5,2)),1,$X:$X)</f>
        <v>45744</v>
      </c>
      <c r="K303" t="str">
        <f>IF(H303&gt;J303,"ATRASO","NO PRAZO")</f>
        <v>NO PRAZO</v>
      </c>
    </row>
    <row r="304" spans="1:11">
      <c r="A304" s="1">
        <v>19558</v>
      </c>
      <c r="B304" t="s">
        <v>10</v>
      </c>
      <c r="C304" t="s">
        <v>7</v>
      </c>
      <c r="D304" s="1">
        <v>470</v>
      </c>
      <c r="E304" s="1">
        <v>2025</v>
      </c>
      <c r="F304" s="2">
        <v>45734</v>
      </c>
      <c r="G304" s="2">
        <v>45735</v>
      </c>
      <c r="H304" s="2">
        <v>45735</v>
      </c>
      <c r="I304" s="2">
        <f>WORKDAY.INTL(F304,IF(OR(C304="MELHORIA PEQUENA",C304="MELHORIA MÉDIA"),3,1),1,ListaFeriados)</f>
        <v>45737</v>
      </c>
      <c r="J304" s="2">
        <f>WORKDAY.INTL(I304,IF(C304="MELHORIA MÉDIA",20,IF(OR(C304="MELHORIA PEQUENA",C304="BUG NÃO IMPEDITIVO"),5,2)),1,$X:$X)</f>
        <v>45744</v>
      </c>
      <c r="K304" t="str">
        <f>IF(H304&gt;J304,"ATRASO","NO PRAZO")</f>
        <v>NO PRAZO</v>
      </c>
    </row>
    <row r="305" spans="1:11">
      <c r="A305" s="1">
        <v>19505</v>
      </c>
      <c r="B305" t="s">
        <v>6</v>
      </c>
      <c r="C305" t="s">
        <v>7</v>
      </c>
      <c r="D305" s="1">
        <v>417</v>
      </c>
      <c r="E305" s="1">
        <v>2025</v>
      </c>
      <c r="F305" s="2">
        <v>45729</v>
      </c>
      <c r="G305" s="2">
        <v>45730</v>
      </c>
      <c r="H305" s="2">
        <v>45736</v>
      </c>
      <c r="I305" s="2">
        <f>WORKDAY.INTL(F305,IF(OR(C305="MELHORIA PEQUENA",C305="MELHORIA MÉDIA"),3,1),1,ListaFeriados)</f>
        <v>45734</v>
      </c>
      <c r="J305" s="2">
        <f>WORKDAY.INTL(I305,IF(C305="MELHORIA MÉDIA",20,IF(OR(C305="MELHORIA PEQUENA",C305="BUG NÃO IMPEDITIVO"),5,2)),1,$X:$X)</f>
        <v>45741</v>
      </c>
      <c r="K305" t="str">
        <f>IF(H305&gt;J305,"ATRASO","NO PRAZO")</f>
        <v>NO PRAZO</v>
      </c>
    </row>
    <row r="306" spans="1:11">
      <c r="A306" s="1">
        <v>19802</v>
      </c>
      <c r="B306" t="s">
        <v>14</v>
      </c>
      <c r="C306" t="s">
        <v>7</v>
      </c>
      <c r="D306" s="1">
        <v>714</v>
      </c>
      <c r="E306" s="1">
        <v>2025</v>
      </c>
      <c r="F306" s="2">
        <v>45775</v>
      </c>
      <c r="G306" s="2">
        <v>45776</v>
      </c>
      <c r="H306" s="2">
        <v>45777</v>
      </c>
      <c r="I306" s="2">
        <f>WORKDAY.INTL(F306,IF(OR(C306="MELHORIA PEQUENA",C306="MELHORIA MÉDIA"),3,1),1,ListaFeriados)</f>
        <v>45779</v>
      </c>
      <c r="J306" s="2">
        <f>WORKDAY.INTL(I306,IF(C306="MELHORIA MÉDIA",20,IF(OR(C306="MELHORIA PEQUENA",C306="BUG NÃO IMPEDITIVO"),5,2)),1,$X:$X)</f>
        <v>45786</v>
      </c>
      <c r="K306" t="str">
        <f>IF(H306&gt;J306,"ATRASO","NO PRAZO")</f>
        <v>NO PRAZO</v>
      </c>
    </row>
    <row r="307" spans="1:11">
      <c r="A307" s="1">
        <v>19840</v>
      </c>
      <c r="B307" t="s">
        <v>6</v>
      </c>
      <c r="C307" t="s">
        <v>7</v>
      </c>
      <c r="D307" s="1">
        <v>752</v>
      </c>
      <c r="E307" s="1">
        <v>2025</v>
      </c>
      <c r="F307" s="2">
        <v>45782</v>
      </c>
      <c r="G307" s="2">
        <v>45783</v>
      </c>
      <c r="H307" s="2">
        <v>45784</v>
      </c>
      <c r="I307" s="2">
        <f>WORKDAY.INTL(F307,IF(OR(C307="MELHORIA PEQUENA",C307="MELHORIA MÉDIA"),3,1),1,ListaFeriados)</f>
        <v>45785</v>
      </c>
      <c r="J307" s="2">
        <f>WORKDAY.INTL(I307,IF(C307="MELHORIA MÉDIA",20,IF(OR(C307="MELHORIA PEQUENA",C307="BUG NÃO IMPEDITIVO"),5,2)),1,$X:$X)</f>
        <v>45792</v>
      </c>
      <c r="K307" t="str">
        <f>IF(H307&gt;J307,"ATRASO","NO PRAZO")</f>
        <v>NO PRAZO</v>
      </c>
    </row>
    <row r="308" spans="1:11">
      <c r="A308" s="1">
        <v>19089</v>
      </c>
      <c r="B308" t="s">
        <v>6</v>
      </c>
      <c r="C308" t="s">
        <v>7</v>
      </c>
      <c r="D308" s="1">
        <v>1</v>
      </c>
      <c r="E308" s="1">
        <v>2025</v>
      </c>
      <c r="F308" s="2">
        <v>45659</v>
      </c>
      <c r="G308" s="2">
        <v>45660</v>
      </c>
      <c r="H308" s="2">
        <v>45663</v>
      </c>
      <c r="I308" s="2">
        <f>WORKDAY.INTL(F308,IF(OR(C308="MELHORIA PEQUENA",C308="MELHORIA MÉDIA"),3,1),1,ListaFeriados)</f>
        <v>45664</v>
      </c>
      <c r="J308" s="2">
        <f>WORKDAY.INTL(I308,IF(C308="MELHORIA MÉDIA",20,IF(OR(C308="MELHORIA PEQUENA",C308="BUG NÃO IMPEDITIVO"),5,2)),1,$X:$X)</f>
        <v>45671</v>
      </c>
      <c r="K308" t="str">
        <f>IF(H308&gt;J308,"ATRASO","NO PRAZO")</f>
        <v>NO PRAZO</v>
      </c>
    </row>
    <row r="309" spans="1:11">
      <c r="A309" s="1">
        <v>19111</v>
      </c>
      <c r="B309" t="s">
        <v>6</v>
      </c>
      <c r="C309" t="s">
        <v>7</v>
      </c>
      <c r="D309" s="1">
        <v>23</v>
      </c>
      <c r="E309" s="1">
        <v>2025</v>
      </c>
      <c r="F309" s="2">
        <v>45664</v>
      </c>
      <c r="G309" s="2">
        <v>45665</v>
      </c>
      <c r="H309" s="2">
        <v>45665</v>
      </c>
      <c r="I309" s="2">
        <f>WORKDAY.INTL(F309,IF(OR(C309="MELHORIA PEQUENA",C309="MELHORIA MÉDIA"),3,1),1,ListaFeriados)</f>
        <v>45667</v>
      </c>
      <c r="J309" s="2">
        <f>WORKDAY.INTL(I309,IF(C309="MELHORIA MÉDIA",20,IF(OR(C309="MELHORIA PEQUENA",C309="BUG NÃO IMPEDITIVO"),5,2)),1,$X:$X)</f>
        <v>45674</v>
      </c>
      <c r="K309" t="str">
        <f>IF(H309&gt;J309,"ATRASO","NO PRAZO")</f>
        <v>NO PRAZO</v>
      </c>
    </row>
    <row r="310" spans="1:11">
      <c r="A310" s="1">
        <v>19618</v>
      </c>
      <c r="B310" t="s">
        <v>6</v>
      </c>
      <c r="C310" t="s">
        <v>7</v>
      </c>
      <c r="D310" s="1">
        <v>530</v>
      </c>
      <c r="E310" s="1">
        <v>2025</v>
      </c>
      <c r="F310" s="2">
        <v>45742</v>
      </c>
      <c r="G310" s="2">
        <v>45743</v>
      </c>
      <c r="H310" s="2">
        <v>45748</v>
      </c>
      <c r="I310" s="2">
        <f>WORKDAY.INTL(F310,IF(OR(C310="MELHORIA PEQUENA",C310="MELHORIA MÉDIA"),3,1),1,ListaFeriados)</f>
        <v>45747</v>
      </c>
      <c r="J310" s="2">
        <f>WORKDAY.INTL(I310,IF(C310="MELHORIA MÉDIA",20,IF(OR(C310="MELHORIA PEQUENA",C310="BUG NÃO IMPEDITIVO"),5,2)),1,$X:$X)</f>
        <v>45754</v>
      </c>
      <c r="K310" t="str">
        <f>IF(H310&gt;J310,"ATRASO","NO PRAZO")</f>
        <v>NO PRAZO</v>
      </c>
    </row>
    <row r="311" spans="1:11">
      <c r="A311" s="1">
        <v>19759</v>
      </c>
      <c r="B311" t="s">
        <v>6</v>
      </c>
      <c r="C311" t="s">
        <v>7</v>
      </c>
      <c r="D311" s="1">
        <v>671</v>
      </c>
      <c r="E311" s="1">
        <v>2025</v>
      </c>
      <c r="F311" s="2">
        <v>45764</v>
      </c>
      <c r="G311" s="2">
        <v>45769</v>
      </c>
      <c r="H311" s="2">
        <v>45772</v>
      </c>
      <c r="I311" s="2">
        <f>WORKDAY.INTL(F311,IF(OR(C311="MELHORIA PEQUENA",C311="MELHORIA MÉDIA"),3,1),1,ListaFeriados)</f>
        <v>45772</v>
      </c>
      <c r="J311" s="2">
        <f>WORKDAY.INTL(I311,IF(C311="MELHORIA MÉDIA",20,IF(OR(C311="MELHORIA PEQUENA",C311="BUG NÃO IMPEDITIVO"),5,2)),1,$X:$X)</f>
        <v>45782</v>
      </c>
      <c r="K311" t="str">
        <f>IF(H311&gt;J311,"ATRASO","NO PRAZO")</f>
        <v>NO PRAZO</v>
      </c>
    </row>
    <row r="312" spans="1:11">
      <c r="A312" s="1">
        <v>18848</v>
      </c>
      <c r="B312" t="s">
        <v>8</v>
      </c>
      <c r="C312" t="s">
        <v>7</v>
      </c>
      <c r="D312" s="1">
        <v>3035</v>
      </c>
      <c r="E312" s="1">
        <v>2024</v>
      </c>
      <c r="F312" s="2">
        <v>45608</v>
      </c>
      <c r="G312" s="2">
        <v>45609</v>
      </c>
      <c r="H312" s="2">
        <v>45610</v>
      </c>
      <c r="I312" s="2">
        <f>WORKDAY.INTL(F312,IF(OR(C312="MELHORIA PEQUENA",C312="MELHORIA MÉDIA"),3,1),1,ListaFeriados)</f>
        <v>45614</v>
      </c>
      <c r="J312" s="2">
        <f>WORKDAY.INTL(I312,IF(C312="MELHORIA MÉDIA",20,IF(OR(C312="MELHORIA PEQUENA",C312="BUG NÃO IMPEDITIVO"),5,2)),1,$X:$X)</f>
        <v>45622</v>
      </c>
      <c r="K312" t="str">
        <f>IF(H312&gt;J312,"ATRASO","NO PRAZO")</f>
        <v>NO PRAZO</v>
      </c>
    </row>
    <row r="313" spans="1:11">
      <c r="A313" s="1">
        <v>18899</v>
      </c>
      <c r="B313" t="s">
        <v>8</v>
      </c>
      <c r="C313" t="s">
        <v>7</v>
      </c>
      <c r="D313" s="1">
        <v>3086</v>
      </c>
      <c r="E313" s="1">
        <v>2024</v>
      </c>
      <c r="F313" s="2">
        <v>45622</v>
      </c>
      <c r="G313" s="2">
        <v>45623</v>
      </c>
      <c r="H313" s="2">
        <v>45623</v>
      </c>
      <c r="I313" s="2">
        <f>WORKDAY.INTL(F313,IF(OR(C313="MELHORIA PEQUENA",C313="MELHORIA MÉDIA"),3,1),1,ListaFeriados)</f>
        <v>45625</v>
      </c>
      <c r="J313" s="2">
        <f>WORKDAY.INTL(I313,IF(C313="MELHORIA MÉDIA",20,IF(OR(C313="MELHORIA PEQUENA",C313="BUG NÃO IMPEDITIVO"),5,2)),1,$X:$X)</f>
        <v>45632</v>
      </c>
      <c r="K313" t="str">
        <f>IF(H313&gt;J313,"ATRASO","NO PRAZO")</f>
        <v>NO PRAZO</v>
      </c>
    </row>
    <row r="314" spans="1:11">
      <c r="A314" s="1">
        <v>19034</v>
      </c>
      <c r="B314" t="s">
        <v>13</v>
      </c>
      <c r="C314" t="s">
        <v>7</v>
      </c>
      <c r="D314" s="1">
        <v>3221</v>
      </c>
      <c r="E314" s="1">
        <v>2024</v>
      </c>
      <c r="F314" s="2">
        <v>45643</v>
      </c>
      <c r="G314" s="2">
        <v>45644</v>
      </c>
      <c r="H314" s="2">
        <v>45644</v>
      </c>
      <c r="I314" s="2">
        <f>WORKDAY.INTL(F314,IF(OR(C314="MELHORIA PEQUENA",C314="MELHORIA MÉDIA"),3,1),1,ListaFeriados)</f>
        <v>45646</v>
      </c>
      <c r="J314" s="2">
        <f>WORKDAY.INTL(I314,IF(C314="MELHORIA MÉDIA",20,IF(OR(C314="MELHORIA PEQUENA",C314="BUG NÃO IMPEDITIVO"),5,2)),1,$X:$X)</f>
        <v>45656</v>
      </c>
      <c r="K314" t="str">
        <f>IF(H314&gt;J314,"ATRASO","NO PRAZO")</f>
        <v>NO PRAZO</v>
      </c>
    </row>
    <row r="315" spans="1:11">
      <c r="A315" s="1">
        <v>19256</v>
      </c>
      <c r="B315" t="s">
        <v>13</v>
      </c>
      <c r="C315" t="s">
        <v>7</v>
      </c>
      <c r="D315" s="1">
        <v>168</v>
      </c>
      <c r="E315" s="1">
        <v>2025</v>
      </c>
      <c r="F315" s="2">
        <v>45686</v>
      </c>
      <c r="G315" s="2">
        <v>45687</v>
      </c>
      <c r="H315" s="2">
        <v>45687</v>
      </c>
      <c r="I315" s="2">
        <f>WORKDAY.INTL(F315,IF(OR(C315="MELHORIA PEQUENA",C315="MELHORIA MÉDIA"),3,1),1,ListaFeriados)</f>
        <v>45691</v>
      </c>
      <c r="J315" s="2">
        <f>WORKDAY.INTL(I315,IF(C315="MELHORIA MÉDIA",20,IF(OR(C315="MELHORIA PEQUENA",C315="BUG NÃO IMPEDITIVO"),5,2)),1,$X:$X)</f>
        <v>45698</v>
      </c>
      <c r="K315" t="str">
        <f>IF(H315&gt;J315,"ATRASO","NO PRAZO")</f>
        <v>NO PRAZO</v>
      </c>
    </row>
    <row r="316" spans="1:11">
      <c r="A316" s="1">
        <v>19758</v>
      </c>
      <c r="B316" t="s">
        <v>14</v>
      </c>
      <c r="C316" t="s">
        <v>7</v>
      </c>
      <c r="D316" s="1">
        <v>670</v>
      </c>
      <c r="E316" s="1">
        <v>2025</v>
      </c>
      <c r="F316" s="2">
        <v>45764</v>
      </c>
      <c r="G316" s="2">
        <v>45771</v>
      </c>
      <c r="H316" s="2">
        <v>45772</v>
      </c>
      <c r="I316" s="2">
        <f>WORKDAY.INTL(F316,IF(OR(C316="MELHORIA PEQUENA",C316="MELHORIA MÉDIA"),3,1),1,ListaFeriados)</f>
        <v>45772</v>
      </c>
      <c r="J316" s="2">
        <f>WORKDAY.INTL(I316,IF(C316="MELHORIA MÉDIA",20,IF(OR(C316="MELHORIA PEQUENA",C316="BUG NÃO IMPEDITIVO"),5,2)),1,$X:$X)</f>
        <v>45782</v>
      </c>
      <c r="K316" t="str">
        <f>IF(H316&gt;J316,"ATRASO","NO PRAZO")</f>
        <v>NO PRAZO</v>
      </c>
    </row>
    <row r="317" spans="1:11">
      <c r="A317" s="1">
        <v>19809</v>
      </c>
      <c r="B317" t="s">
        <v>6</v>
      </c>
      <c r="C317" t="s">
        <v>7</v>
      </c>
      <c r="D317" s="1">
        <v>721</v>
      </c>
      <c r="E317" s="1">
        <v>2025</v>
      </c>
      <c r="F317" s="2">
        <v>45776</v>
      </c>
      <c r="G317" s="2">
        <v>45776</v>
      </c>
      <c r="H317" s="2">
        <v>45782</v>
      </c>
      <c r="I317" s="2">
        <f>WORKDAY.INTL(F317,IF(OR(C317="MELHORIA PEQUENA",C317="MELHORIA MÉDIA"),3,1),1,ListaFeriados)</f>
        <v>45782</v>
      </c>
      <c r="J317" s="2">
        <f>WORKDAY.INTL(I317,IF(C317="MELHORIA MÉDIA",20,IF(OR(C317="MELHORIA PEQUENA",C317="BUG NÃO IMPEDITIVO"),5,2)),1,$X:$X)</f>
        <v>45789</v>
      </c>
      <c r="K317" t="str">
        <f>IF(H317&gt;J317,"ATRASO","NO PRAZO")</f>
        <v>NO PRAZO</v>
      </c>
    </row>
    <row r="318" spans="1:11">
      <c r="A318" s="1">
        <v>18766</v>
      </c>
      <c r="B318" t="s">
        <v>6</v>
      </c>
      <c r="C318" t="s">
        <v>7</v>
      </c>
      <c r="D318" s="1">
        <v>2953</v>
      </c>
      <c r="E318" s="1">
        <v>2024</v>
      </c>
      <c r="F318" s="2">
        <v>45589</v>
      </c>
      <c r="G318" s="2">
        <v>45590</v>
      </c>
      <c r="H318" s="2">
        <v>45594</v>
      </c>
      <c r="I318" s="2">
        <f>WORKDAY.INTL(F318,IF(OR(C318="MELHORIA PEQUENA",C318="MELHORIA MÉDIA"),3,1),1,ListaFeriados)</f>
        <v>45595</v>
      </c>
      <c r="J318" s="2">
        <f>WORKDAY.INTL(I318,IF(C318="MELHORIA MÉDIA",20,IF(OR(C318="MELHORIA PEQUENA",C318="BUG NÃO IMPEDITIVO"),5,2)),1,$X:$X)</f>
        <v>45602</v>
      </c>
      <c r="K318" t="str">
        <f>IF(H318&gt;J318,"ATRASO","NO PRAZO")</f>
        <v>NO PRAZO</v>
      </c>
    </row>
    <row r="319" spans="1:11">
      <c r="A319" s="1">
        <v>19263</v>
      </c>
      <c r="B319" t="s">
        <v>6</v>
      </c>
      <c r="C319" t="s">
        <v>7</v>
      </c>
      <c r="D319" s="1">
        <v>175</v>
      </c>
      <c r="E319" s="1">
        <v>2025</v>
      </c>
      <c r="F319" s="2">
        <v>45687</v>
      </c>
      <c r="G319" s="2">
        <v>45691</v>
      </c>
      <c r="H319" s="2">
        <v>45694</v>
      </c>
      <c r="I319" s="2">
        <f>WORKDAY.INTL(F319,IF(OR(C319="MELHORIA PEQUENA",C319="MELHORIA MÉDIA"),3,1),1,ListaFeriados)</f>
        <v>45692</v>
      </c>
      <c r="J319" s="2">
        <f>WORKDAY.INTL(I319,IF(C319="MELHORIA MÉDIA",20,IF(OR(C319="MELHORIA PEQUENA",C319="BUG NÃO IMPEDITIVO"),5,2)),1,$X:$X)</f>
        <v>45699</v>
      </c>
      <c r="K319" t="str">
        <f>IF(H319&gt;J319,"ATRASO","NO PRAZO")</f>
        <v>NO PRAZO</v>
      </c>
    </row>
    <row r="320" spans="1:11">
      <c r="A320" s="1">
        <v>19480</v>
      </c>
      <c r="B320" t="s">
        <v>9</v>
      </c>
      <c r="C320" t="s">
        <v>7</v>
      </c>
      <c r="D320" s="1">
        <v>392</v>
      </c>
      <c r="E320" s="1">
        <v>2025</v>
      </c>
      <c r="F320" s="2">
        <v>45726</v>
      </c>
      <c r="G320" s="2">
        <v>45727</v>
      </c>
      <c r="H320" s="2">
        <v>45728</v>
      </c>
      <c r="I320" s="2">
        <f>WORKDAY.INTL(F320,IF(OR(C320="MELHORIA PEQUENA",C320="MELHORIA MÉDIA"),3,1),1,ListaFeriados)</f>
        <v>45729</v>
      </c>
      <c r="J320" s="2">
        <f>WORKDAY.INTL(I320,IF(C320="MELHORIA MÉDIA",20,IF(OR(C320="MELHORIA PEQUENA",C320="BUG NÃO IMPEDITIVO"),5,2)),1,$X:$X)</f>
        <v>45736</v>
      </c>
      <c r="K320" t="str">
        <f>IF(H320&gt;J320,"ATRASO","NO PRAZO")</f>
        <v>NO PRAZO</v>
      </c>
    </row>
    <row r="321" spans="1:11">
      <c r="A321" s="1">
        <v>19610</v>
      </c>
      <c r="B321" t="s">
        <v>10</v>
      </c>
      <c r="C321" t="s">
        <v>7</v>
      </c>
      <c r="D321" s="1">
        <v>522</v>
      </c>
      <c r="E321" s="1">
        <v>2025</v>
      </c>
      <c r="F321" s="2">
        <v>45741</v>
      </c>
      <c r="G321" s="2">
        <v>45744</v>
      </c>
      <c r="H321" s="2">
        <v>45744</v>
      </c>
      <c r="I321" s="2">
        <f>WORKDAY.INTL(F321,IF(OR(C321="MELHORIA PEQUENA",C321="MELHORIA MÉDIA"),3,1),1,ListaFeriados)</f>
        <v>45744</v>
      </c>
      <c r="J321" s="2">
        <f>WORKDAY.INTL(I321,IF(C321="MELHORIA MÉDIA",20,IF(OR(C321="MELHORIA PEQUENA",C321="BUG NÃO IMPEDITIVO"),5,2)),1,$X:$X)</f>
        <v>45751</v>
      </c>
      <c r="K321" t="str">
        <f>IF(H321&gt;J321,"ATRASO","NO PRAZO")</f>
        <v>NO PRAZO</v>
      </c>
    </row>
    <row r="322" spans="1:11">
      <c r="A322" s="1">
        <v>19297</v>
      </c>
      <c r="B322" t="s">
        <v>9</v>
      </c>
      <c r="C322" t="s">
        <v>7</v>
      </c>
      <c r="D322" s="1">
        <v>209</v>
      </c>
      <c r="E322" s="1">
        <v>2025</v>
      </c>
      <c r="F322" s="2">
        <v>45691</v>
      </c>
      <c r="G322" s="2">
        <v>45692</v>
      </c>
      <c r="H322" s="2">
        <v>45698</v>
      </c>
      <c r="I322" s="2">
        <f>WORKDAY.INTL(F322,IF(OR(C322="MELHORIA PEQUENA",C322="MELHORIA MÉDIA"),3,1),1,ListaFeriados)</f>
        <v>45694</v>
      </c>
      <c r="J322" s="2">
        <f>WORKDAY.INTL(I322,IF(C322="MELHORIA MÉDIA",20,IF(OR(C322="MELHORIA PEQUENA",C322="BUG NÃO IMPEDITIVO"),5,2)),1,$X:$X)</f>
        <v>45701</v>
      </c>
      <c r="K322" t="str">
        <f>IF(H322&gt;J322,"ATRASO","NO PRAZO")</f>
        <v>NO PRAZO</v>
      </c>
    </row>
    <row r="323" spans="1:11">
      <c r="A323" s="1">
        <v>19492</v>
      </c>
      <c r="B323" t="s">
        <v>8</v>
      </c>
      <c r="C323" t="s">
        <v>7</v>
      </c>
      <c r="D323" s="1">
        <v>404</v>
      </c>
      <c r="E323" s="1">
        <v>2025</v>
      </c>
      <c r="F323" s="2">
        <v>45728</v>
      </c>
      <c r="G323" s="2">
        <v>45729</v>
      </c>
      <c r="H323" s="2">
        <v>45730</v>
      </c>
      <c r="I323" s="2">
        <f>WORKDAY.INTL(F323,IF(OR(C323="MELHORIA PEQUENA",C323="MELHORIA MÉDIA"),3,1),1,ListaFeriados)</f>
        <v>45733</v>
      </c>
      <c r="J323" s="2">
        <f>WORKDAY.INTL(I323,IF(C323="MELHORIA MÉDIA",20,IF(OR(C323="MELHORIA PEQUENA",C323="BUG NÃO IMPEDITIVO"),5,2)),1,$X:$X)</f>
        <v>45740</v>
      </c>
      <c r="K323" t="str">
        <f>IF(H323&gt;J323,"ATRASO","NO PRAZO")</f>
        <v>NO PRAZO</v>
      </c>
    </row>
    <row r="324" spans="1:11">
      <c r="A324" s="1">
        <v>19687</v>
      </c>
      <c r="B324" t="s">
        <v>8</v>
      </c>
      <c r="C324" t="s">
        <v>7</v>
      </c>
      <c r="D324" s="1">
        <v>599</v>
      </c>
      <c r="E324" s="1">
        <v>2025</v>
      </c>
      <c r="F324" s="2">
        <v>45751</v>
      </c>
      <c r="G324" s="2">
        <v>45754</v>
      </c>
      <c r="H324" s="2">
        <v>45758</v>
      </c>
      <c r="I324" s="2">
        <f>WORKDAY.INTL(F324,IF(OR(C324="MELHORIA PEQUENA",C324="MELHORIA MÉDIA"),3,1),1,ListaFeriados)</f>
        <v>45756</v>
      </c>
      <c r="J324" s="2">
        <f>WORKDAY.INTL(I324,IF(C324="MELHORIA MÉDIA",20,IF(OR(C324="MELHORIA PEQUENA",C324="BUG NÃO IMPEDITIVO"),5,2)),1,$X:$X)</f>
        <v>45763</v>
      </c>
      <c r="K324" t="str">
        <f>IF(H324&gt;J324,"ATRASO","NO PRAZO")</f>
        <v>NO PRAZO</v>
      </c>
    </row>
    <row r="325" spans="1:11">
      <c r="A325" s="1">
        <v>19735</v>
      </c>
      <c r="B325" t="s">
        <v>6</v>
      </c>
      <c r="C325" t="s">
        <v>7</v>
      </c>
      <c r="D325" s="1">
        <v>647</v>
      </c>
      <c r="E325" s="1">
        <v>2025</v>
      </c>
      <c r="F325" s="2">
        <v>45758</v>
      </c>
      <c r="G325" s="2">
        <v>45761</v>
      </c>
      <c r="H325" s="2">
        <v>45762</v>
      </c>
      <c r="I325" s="2">
        <f>WORKDAY.INTL(F325,IF(OR(C325="MELHORIA PEQUENA",C325="MELHORIA MÉDIA"),3,1),1,ListaFeriados)</f>
        <v>45763</v>
      </c>
      <c r="J325" s="2">
        <f>WORKDAY.INTL(I325,IF(C325="MELHORIA MÉDIA",20,IF(OR(C325="MELHORIA PEQUENA",C325="BUG NÃO IMPEDITIVO"),5,2)),1,$X:$X)</f>
        <v>45775</v>
      </c>
      <c r="K325" t="str">
        <f>IF(H325&gt;J325,"ATRASO","NO PRAZO")</f>
        <v>NO PRAZO</v>
      </c>
    </row>
    <row r="326" spans="1:11">
      <c r="A326" s="1">
        <v>16851</v>
      </c>
      <c r="B326" t="s">
        <v>8</v>
      </c>
      <c r="C326" t="s">
        <v>7</v>
      </c>
      <c r="D326" s="1">
        <v>1038</v>
      </c>
      <c r="E326" s="1">
        <v>2024</v>
      </c>
      <c r="F326" s="2">
        <v>45371</v>
      </c>
      <c r="G326" s="2">
        <v>45372</v>
      </c>
      <c r="H326" s="2">
        <v>45373</v>
      </c>
      <c r="I326" s="2">
        <f>WORKDAY.INTL(F326,IF(OR(C326="MELHORIA PEQUENA",C326="MELHORIA MÉDIA"),3,1),1,ListaFeriados)</f>
        <v>45376</v>
      </c>
      <c r="J326" s="2">
        <f>WORKDAY.INTL(I326,IF(C326="MELHORIA MÉDIA",20,IF(OR(C326="MELHORIA PEQUENA",C326="BUG NÃO IMPEDITIVO"),5,2)),1,$X:$X)</f>
        <v>45384</v>
      </c>
      <c r="K326" t="str">
        <f>IF(H326&gt;J326,"ATRASO","NO PRAZO")</f>
        <v>NO PRAZO</v>
      </c>
    </row>
    <row r="327" spans="1:11">
      <c r="A327" s="1">
        <v>17024</v>
      </c>
      <c r="B327" t="s">
        <v>11</v>
      </c>
      <c r="C327" t="s">
        <v>7</v>
      </c>
      <c r="D327" s="1">
        <v>1211</v>
      </c>
      <c r="E327" s="1">
        <v>2024</v>
      </c>
      <c r="F327" s="2">
        <v>45390</v>
      </c>
      <c r="G327" s="2">
        <v>45390</v>
      </c>
      <c r="H327" s="2">
        <v>45390</v>
      </c>
      <c r="I327" s="2">
        <f>WORKDAY.INTL(F327,IF(OR(C327="MELHORIA PEQUENA",C327="MELHORIA MÉDIA"),3,1),1,ListaFeriados)</f>
        <v>45393</v>
      </c>
      <c r="J327" s="2">
        <f>WORKDAY.INTL(I327,IF(C327="MELHORIA MÉDIA",20,IF(OR(C327="MELHORIA PEQUENA",C327="BUG NÃO IMPEDITIVO"),5,2)),1,$X:$X)</f>
        <v>45400</v>
      </c>
      <c r="K327" t="str">
        <f>IF(H327&gt;J327,"ATRASO","NO PRAZO")</f>
        <v>NO PRAZO</v>
      </c>
    </row>
    <row r="328" spans="1:11">
      <c r="A328" s="1">
        <v>16989</v>
      </c>
      <c r="B328" t="s">
        <v>6</v>
      </c>
      <c r="C328" t="s">
        <v>7</v>
      </c>
      <c r="D328" s="1">
        <v>1176</v>
      </c>
      <c r="E328" s="1">
        <v>2024</v>
      </c>
      <c r="F328" s="2">
        <v>45384</v>
      </c>
      <c r="G328" s="2">
        <v>45385</v>
      </c>
      <c r="H328" s="2">
        <v>45390</v>
      </c>
      <c r="I328" s="2">
        <f>WORKDAY.INTL(F328,IF(OR(C328="MELHORIA PEQUENA",C328="MELHORIA MÉDIA"),3,1),1,ListaFeriados)</f>
        <v>45387</v>
      </c>
      <c r="J328" s="2">
        <f>WORKDAY.INTL(I328,IF(C328="MELHORIA MÉDIA",20,IF(OR(C328="MELHORIA PEQUENA",C328="BUG NÃO IMPEDITIVO"),5,2)),1,$X:$X)</f>
        <v>45394</v>
      </c>
      <c r="K328" t="str">
        <f>IF(H328&gt;J328,"ATRASO","NO PRAZO")</f>
        <v>NO PRAZO</v>
      </c>
    </row>
    <row r="329" spans="1:11">
      <c r="A329" s="1">
        <v>15953</v>
      </c>
      <c r="B329" t="s">
        <v>9</v>
      </c>
      <c r="C329" t="s">
        <v>7</v>
      </c>
      <c r="D329" s="1">
        <v>140</v>
      </c>
      <c r="E329" s="1">
        <v>2024</v>
      </c>
      <c r="F329" s="2">
        <v>45303</v>
      </c>
      <c r="G329" s="2">
        <v>45306</v>
      </c>
      <c r="H329" s="2">
        <v>45313</v>
      </c>
      <c r="I329" s="2">
        <f>WORKDAY.INTL(F329,IF(OR(C329="MELHORIA PEQUENA",C329="MELHORIA MÉDIA"),3,1),1,ListaFeriados)</f>
        <v>45308</v>
      </c>
      <c r="J329" s="2">
        <f>WORKDAY.INTL(I329,IF(C329="MELHORIA MÉDIA",20,IF(OR(C329="MELHORIA PEQUENA",C329="BUG NÃO IMPEDITIVO"),5,2)),1,$X:$X)</f>
        <v>45315</v>
      </c>
      <c r="K329" t="str">
        <f>IF(H329&gt;J329,"ATRASO","NO PRAZO")</f>
        <v>NO PRAZO</v>
      </c>
    </row>
    <row r="330" spans="1:11">
      <c r="A330" s="1">
        <v>17145</v>
      </c>
      <c r="B330" t="s">
        <v>6</v>
      </c>
      <c r="C330" t="s">
        <v>7</v>
      </c>
      <c r="D330" s="1">
        <v>1332</v>
      </c>
      <c r="E330" s="1">
        <v>2024</v>
      </c>
      <c r="F330" s="2">
        <v>45394</v>
      </c>
      <c r="G330" s="2">
        <v>45397</v>
      </c>
      <c r="H330" s="2">
        <v>45398</v>
      </c>
      <c r="I330" s="2">
        <f>WORKDAY.INTL(F330,IF(OR(C330="MELHORIA PEQUENA",C330="MELHORIA MÉDIA"),3,1),1,ListaFeriados)</f>
        <v>45399</v>
      </c>
      <c r="J330" s="2">
        <f>WORKDAY.INTL(I330,IF(C330="MELHORIA MÉDIA",20,IF(OR(C330="MELHORIA PEQUENA",C330="BUG NÃO IMPEDITIVO"),5,2)),1,$X:$X)</f>
        <v>45407</v>
      </c>
      <c r="K330" t="str">
        <f>IF(H330&gt;J330,"ATRASO","NO PRAZO")</f>
        <v>NO PRAZO</v>
      </c>
    </row>
    <row r="331" spans="1:11">
      <c r="A331" s="1">
        <v>16027</v>
      </c>
      <c r="B331" t="s">
        <v>9</v>
      </c>
      <c r="C331" t="s">
        <v>7</v>
      </c>
      <c r="D331" s="1">
        <v>214</v>
      </c>
      <c r="E331" s="1">
        <v>2024</v>
      </c>
      <c r="F331" s="2">
        <v>45310</v>
      </c>
      <c r="G331" s="2">
        <v>45313</v>
      </c>
      <c r="H331" s="2">
        <v>45315</v>
      </c>
      <c r="I331" s="2">
        <f>WORKDAY.INTL(F331,IF(OR(C331="MELHORIA PEQUENA",C331="MELHORIA MÉDIA"),3,1),1,ListaFeriados)</f>
        <v>45315</v>
      </c>
      <c r="J331" s="2">
        <f>WORKDAY.INTL(I331,IF(C331="MELHORIA MÉDIA",20,IF(OR(C331="MELHORIA PEQUENA",C331="BUG NÃO IMPEDITIVO"),5,2)),1,$X:$X)</f>
        <v>45322</v>
      </c>
      <c r="K331" t="str">
        <f>IF(H331&gt;J331,"ATRASO","NO PRAZO")</f>
        <v>NO PRAZO</v>
      </c>
    </row>
    <row r="332" spans="1:11">
      <c r="A332" s="1">
        <v>16093</v>
      </c>
      <c r="B332" t="s">
        <v>9</v>
      </c>
      <c r="C332" t="s">
        <v>7</v>
      </c>
      <c r="D332" s="1">
        <v>280</v>
      </c>
      <c r="E332" s="1">
        <v>2024</v>
      </c>
      <c r="F332" s="2">
        <v>45316</v>
      </c>
      <c r="G332" s="2">
        <v>45321</v>
      </c>
      <c r="H332" s="2">
        <v>45321</v>
      </c>
      <c r="I332" s="2">
        <f>WORKDAY.INTL(F332,IF(OR(C332="MELHORIA PEQUENA",C332="MELHORIA MÉDIA"),3,1),1,ListaFeriados)</f>
        <v>45321</v>
      </c>
      <c r="J332" s="2">
        <f>WORKDAY.INTL(I332,IF(C332="MELHORIA MÉDIA",20,IF(OR(C332="MELHORIA PEQUENA",C332="BUG NÃO IMPEDITIVO"),5,2)),1,$X:$X)</f>
        <v>45328</v>
      </c>
      <c r="K332" t="str">
        <f>IF(H332&gt;J332,"ATRASO","NO PRAZO")</f>
        <v>NO PRAZO</v>
      </c>
    </row>
    <row r="333" spans="1:11">
      <c r="A333" s="1">
        <v>16044</v>
      </c>
      <c r="B333" t="s">
        <v>9</v>
      </c>
      <c r="C333" t="s">
        <v>7</v>
      </c>
      <c r="D333" s="1">
        <v>231</v>
      </c>
      <c r="E333" s="1">
        <v>2024</v>
      </c>
      <c r="F333" s="2">
        <v>45310</v>
      </c>
      <c r="G333" s="2">
        <v>45313</v>
      </c>
      <c r="H333" s="2">
        <v>45315</v>
      </c>
      <c r="I333" s="2">
        <f>WORKDAY.INTL(F333,IF(OR(C333="MELHORIA PEQUENA",C333="MELHORIA MÉDIA"),3,1),1,ListaFeriados)</f>
        <v>45315</v>
      </c>
      <c r="J333" s="2">
        <f>WORKDAY.INTL(I333,IF(C333="MELHORIA MÉDIA",20,IF(OR(C333="MELHORIA PEQUENA",C333="BUG NÃO IMPEDITIVO"),5,2)),1,$X:$X)</f>
        <v>45322</v>
      </c>
      <c r="K333" t="str">
        <f>IF(H333&gt;J333,"ATRASO","NO PRAZO")</f>
        <v>NO PRAZO</v>
      </c>
    </row>
    <row r="334" spans="1:11">
      <c r="A334" s="1">
        <v>16118</v>
      </c>
      <c r="B334" t="s">
        <v>9</v>
      </c>
      <c r="C334" t="s">
        <v>7</v>
      </c>
      <c r="D334" s="1">
        <v>305</v>
      </c>
      <c r="E334" s="1">
        <v>2024</v>
      </c>
      <c r="F334" s="2">
        <v>45321</v>
      </c>
      <c r="G334" s="2">
        <v>45323</v>
      </c>
      <c r="H334" s="2">
        <v>45327</v>
      </c>
      <c r="I334" s="2">
        <f>WORKDAY.INTL(F334,IF(OR(C334="MELHORIA PEQUENA",C334="MELHORIA MÉDIA"),3,1),1,ListaFeriados)</f>
        <v>45324</v>
      </c>
      <c r="J334" s="2">
        <f>WORKDAY.INTL(I334,IF(C334="MELHORIA MÉDIA",20,IF(OR(C334="MELHORIA PEQUENA",C334="BUG NÃO IMPEDITIVO"),5,2)),1,$X:$X)</f>
        <v>45331</v>
      </c>
      <c r="K334" t="str">
        <f>IF(H334&gt;J334,"ATRASO","NO PRAZO")</f>
        <v>NO PRAZO</v>
      </c>
    </row>
    <row r="335" spans="1:11">
      <c r="A335" s="1">
        <v>15913</v>
      </c>
      <c r="B335" t="s">
        <v>9</v>
      </c>
      <c r="C335" t="s">
        <v>7</v>
      </c>
      <c r="D335" s="1">
        <v>100</v>
      </c>
      <c r="E335" s="1">
        <v>2024</v>
      </c>
      <c r="F335" s="2">
        <v>45300</v>
      </c>
      <c r="G335" s="2">
        <v>45301</v>
      </c>
      <c r="H335" s="2">
        <v>45301</v>
      </c>
      <c r="I335" s="2">
        <f>WORKDAY.INTL(F335,IF(OR(C335="MELHORIA PEQUENA",C335="MELHORIA MÉDIA"),3,1),1,ListaFeriados)</f>
        <v>45303</v>
      </c>
      <c r="J335" s="2">
        <f>WORKDAY.INTL(I335,IF(C335="MELHORIA MÉDIA",20,IF(OR(C335="MELHORIA PEQUENA",C335="BUG NÃO IMPEDITIVO"),5,2)),1,$X:$X)</f>
        <v>45310</v>
      </c>
      <c r="K335" t="str">
        <f>IF(H335&gt;J335,"ATRASO","NO PRAZO")</f>
        <v>NO PRAZO</v>
      </c>
    </row>
    <row r="336" spans="1:11">
      <c r="A336" s="1">
        <v>16439</v>
      </c>
      <c r="B336" t="s">
        <v>13</v>
      </c>
      <c r="C336" t="s">
        <v>7</v>
      </c>
      <c r="D336" s="1">
        <v>626</v>
      </c>
      <c r="E336" s="1">
        <v>2024</v>
      </c>
      <c r="F336" s="2">
        <v>45344</v>
      </c>
      <c r="G336" s="2">
        <v>45348</v>
      </c>
      <c r="H336" s="2">
        <v>45348</v>
      </c>
      <c r="I336" s="2">
        <f>WORKDAY.INTL(F336,IF(OR(C336="MELHORIA PEQUENA",C336="MELHORIA MÉDIA"),3,1),1,ListaFeriados)</f>
        <v>45349</v>
      </c>
      <c r="J336" s="2">
        <f>WORKDAY.INTL(I336,IF(C336="MELHORIA MÉDIA",20,IF(OR(C336="MELHORIA PEQUENA",C336="BUG NÃO IMPEDITIVO"),5,2)),1,$X:$X)</f>
        <v>45357</v>
      </c>
      <c r="K336" t="str">
        <f>IF(H336&gt;J336,"ATRASO","NO PRAZO")</f>
        <v>NO PRAZO</v>
      </c>
    </row>
    <row r="337" spans="1:11">
      <c r="A337" s="1">
        <v>17187</v>
      </c>
      <c r="B337" t="s">
        <v>8</v>
      </c>
      <c r="C337" t="s">
        <v>7</v>
      </c>
      <c r="D337" s="1">
        <v>1374</v>
      </c>
      <c r="E337" s="1">
        <v>2024</v>
      </c>
      <c r="F337" s="2">
        <v>45399</v>
      </c>
      <c r="G337" s="2">
        <v>45400</v>
      </c>
      <c r="H337" s="2">
        <v>45404</v>
      </c>
      <c r="I337" s="2">
        <f>WORKDAY.INTL(F337,IF(OR(C337="MELHORIA PEQUENA",C337="MELHORIA MÉDIA"),3,1),1,ListaFeriados)</f>
        <v>45404</v>
      </c>
      <c r="J337" s="2">
        <f>WORKDAY.INTL(I337,IF(C337="MELHORIA MÉDIA",20,IF(OR(C337="MELHORIA PEQUENA",C337="BUG NÃO IMPEDITIVO"),5,2)),1,$X:$X)</f>
        <v>45412</v>
      </c>
      <c r="K337" t="str">
        <f>IF(H337&gt;J337,"ATRASO","NO PRAZO")</f>
        <v>NO PRAZO</v>
      </c>
    </row>
    <row r="338" spans="1:11">
      <c r="A338" s="1">
        <v>16075</v>
      </c>
      <c r="B338" t="s">
        <v>9</v>
      </c>
      <c r="C338" t="s">
        <v>7</v>
      </c>
      <c r="D338" s="1">
        <v>262</v>
      </c>
      <c r="E338" s="1">
        <v>2024</v>
      </c>
      <c r="F338" s="2">
        <v>45314</v>
      </c>
      <c r="G338" s="2">
        <v>45315</v>
      </c>
      <c r="H338" s="2">
        <v>45321</v>
      </c>
      <c r="I338" s="2">
        <f>WORKDAY.INTL(F338,IF(OR(C338="MELHORIA PEQUENA",C338="MELHORIA MÉDIA"),3,1),1,ListaFeriados)</f>
        <v>45317</v>
      </c>
      <c r="J338" s="2">
        <f>WORKDAY.INTL(I338,IF(C338="MELHORIA MÉDIA",20,IF(OR(C338="MELHORIA PEQUENA",C338="BUG NÃO IMPEDITIVO"),5,2)),1,$X:$X)</f>
        <v>45324</v>
      </c>
      <c r="K338" t="str">
        <f>IF(H338&gt;J338,"ATRASO","NO PRAZO")</f>
        <v>NO PRAZO</v>
      </c>
    </row>
    <row r="339" spans="1:11">
      <c r="A339" s="1">
        <v>17225</v>
      </c>
      <c r="B339" t="s">
        <v>8</v>
      </c>
      <c r="C339" t="s">
        <v>7</v>
      </c>
      <c r="D339" s="1">
        <v>1412</v>
      </c>
      <c r="E339" s="1">
        <v>2024</v>
      </c>
      <c r="F339" s="2">
        <v>45404</v>
      </c>
      <c r="G339" s="2">
        <v>45406</v>
      </c>
      <c r="H339" s="2">
        <v>45411</v>
      </c>
      <c r="I339" s="2">
        <f>WORKDAY.INTL(F339,IF(OR(C339="MELHORIA PEQUENA",C339="MELHORIA MÉDIA"),3,1),1,ListaFeriados)</f>
        <v>45408</v>
      </c>
      <c r="J339" s="2">
        <f>WORKDAY.INTL(I339,IF(C339="MELHORIA MÉDIA",20,IF(OR(C339="MELHORIA PEQUENA",C339="BUG NÃO IMPEDITIVO"),5,2)),1,$X:$X)</f>
        <v>45418</v>
      </c>
      <c r="K339" t="str">
        <f>IF(H339&gt;J339,"ATRASO","NO PRAZO")</f>
        <v>NO PRAZO</v>
      </c>
    </row>
    <row r="340" spans="1:11">
      <c r="A340" s="1">
        <v>17052</v>
      </c>
      <c r="B340" t="s">
        <v>10</v>
      </c>
      <c r="C340" t="s">
        <v>7</v>
      </c>
      <c r="D340" s="1">
        <v>1239</v>
      </c>
      <c r="E340" s="1">
        <v>2024</v>
      </c>
      <c r="F340" s="2">
        <v>45391</v>
      </c>
      <c r="G340" s="2">
        <v>45391</v>
      </c>
      <c r="H340" s="2">
        <v>45391</v>
      </c>
      <c r="I340" s="2">
        <f>WORKDAY.INTL(F340,IF(OR(C340="MELHORIA PEQUENA",C340="MELHORIA MÉDIA"),3,1),1,ListaFeriados)</f>
        <v>45394</v>
      </c>
      <c r="J340" s="2">
        <f>WORKDAY.INTL(I340,IF(C340="MELHORIA MÉDIA",20,IF(OR(C340="MELHORIA PEQUENA",C340="BUG NÃO IMPEDITIVO"),5,2)),1,$X:$X)</f>
        <v>45401</v>
      </c>
      <c r="K340" t="str">
        <f>IF(H340&gt;J340,"ATRASO","NO PRAZO")</f>
        <v>NO PRAZO</v>
      </c>
    </row>
    <row r="341" spans="1:11">
      <c r="A341" s="1">
        <v>17329</v>
      </c>
      <c r="B341" t="s">
        <v>11</v>
      </c>
      <c r="C341" t="s">
        <v>7</v>
      </c>
      <c r="D341" s="1">
        <v>1516</v>
      </c>
      <c r="E341" s="1">
        <v>2024</v>
      </c>
      <c r="F341" s="2">
        <v>45415</v>
      </c>
      <c r="G341" s="2">
        <v>45415</v>
      </c>
      <c r="H341" s="2">
        <v>45421</v>
      </c>
      <c r="I341" s="2">
        <f>WORKDAY.INTL(F341,IF(OR(C341="MELHORIA PEQUENA",C341="MELHORIA MÉDIA"),3,1),1,ListaFeriados)</f>
        <v>45420</v>
      </c>
      <c r="J341" s="2">
        <f>WORKDAY.INTL(I341,IF(C341="MELHORIA MÉDIA",20,IF(OR(C341="MELHORIA PEQUENA",C341="BUG NÃO IMPEDITIVO"),5,2)),1,$X:$X)</f>
        <v>45427</v>
      </c>
      <c r="K341" t="str">
        <f>IF(H341&gt;J341,"ATRASO","NO PRAZO")</f>
        <v>NO PRAZO</v>
      </c>
    </row>
    <row r="342" spans="1:11">
      <c r="A342" s="1">
        <v>17367</v>
      </c>
      <c r="B342" t="s">
        <v>6</v>
      </c>
      <c r="C342" t="s">
        <v>7</v>
      </c>
      <c r="D342" s="1">
        <v>1554</v>
      </c>
      <c r="E342" s="1">
        <v>2024</v>
      </c>
      <c r="F342" s="2">
        <v>45418</v>
      </c>
      <c r="G342" s="2">
        <v>45419</v>
      </c>
      <c r="H342" s="2">
        <v>45420</v>
      </c>
      <c r="I342" s="2">
        <f>WORKDAY.INTL(F342,IF(OR(C342="MELHORIA PEQUENA",C342="MELHORIA MÉDIA"),3,1),1,ListaFeriados)</f>
        <v>45421</v>
      </c>
      <c r="J342" s="2">
        <f>WORKDAY.INTL(I342,IF(C342="MELHORIA MÉDIA",20,IF(OR(C342="MELHORIA PEQUENA",C342="BUG NÃO IMPEDITIVO"),5,2)),1,$X:$X)</f>
        <v>45428</v>
      </c>
      <c r="K342" t="str">
        <f>IF(H342&gt;J342,"ATRASO","NO PRAZO")</f>
        <v>NO PRAZO</v>
      </c>
    </row>
    <row r="343" spans="1:11">
      <c r="A343" s="1">
        <v>17447</v>
      </c>
      <c r="B343" t="s">
        <v>10</v>
      </c>
      <c r="C343" t="s">
        <v>7</v>
      </c>
      <c r="D343" s="1">
        <v>1634</v>
      </c>
      <c r="E343" s="1">
        <v>2024</v>
      </c>
      <c r="F343" s="2">
        <v>45426</v>
      </c>
      <c r="G343" s="2">
        <v>45427</v>
      </c>
      <c r="H343" s="2">
        <v>45428</v>
      </c>
      <c r="I343" s="2">
        <f>WORKDAY.INTL(F343,IF(OR(C343="MELHORIA PEQUENA",C343="MELHORIA MÉDIA"),3,1),1,ListaFeriados)</f>
        <v>45429</v>
      </c>
      <c r="J343" s="2">
        <f>WORKDAY.INTL(I343,IF(C343="MELHORIA MÉDIA",20,IF(OR(C343="MELHORIA PEQUENA",C343="BUG NÃO IMPEDITIVO"),5,2)),1,$X:$X)</f>
        <v>45436</v>
      </c>
      <c r="K343" t="str">
        <f>IF(H343&gt;J343,"ATRASO","NO PRAZO")</f>
        <v>NO PRAZO</v>
      </c>
    </row>
    <row r="344" spans="1:11">
      <c r="A344" s="1">
        <v>18355</v>
      </c>
      <c r="B344" t="s">
        <v>6</v>
      </c>
      <c r="C344" t="s">
        <v>7</v>
      </c>
      <c r="D344" s="1">
        <v>2542</v>
      </c>
      <c r="E344" s="1">
        <v>2024</v>
      </c>
      <c r="F344" s="2">
        <v>45530</v>
      </c>
      <c r="G344" s="2">
        <v>45531</v>
      </c>
      <c r="H344" s="2">
        <v>45533</v>
      </c>
      <c r="I344" s="2">
        <f>WORKDAY.INTL(F344,IF(OR(C344="MELHORIA PEQUENA",C344="MELHORIA MÉDIA"),3,1),1,ListaFeriados)</f>
        <v>45533</v>
      </c>
      <c r="J344" s="2">
        <f>WORKDAY.INTL(I344,IF(C344="MELHORIA MÉDIA",20,IF(OR(C344="MELHORIA PEQUENA",C344="BUG NÃO IMPEDITIVO"),5,2)),1,$X:$X)</f>
        <v>45540</v>
      </c>
      <c r="K344" t="str">
        <f>IF(H344&gt;J344,"ATRASO","NO PRAZO")</f>
        <v>NO PRAZO</v>
      </c>
    </row>
    <row r="345" spans="1:11">
      <c r="A345" s="1">
        <v>17873</v>
      </c>
      <c r="B345" t="s">
        <v>6</v>
      </c>
      <c r="C345" t="s">
        <v>7</v>
      </c>
      <c r="D345" s="1">
        <v>2060</v>
      </c>
      <c r="E345" s="1">
        <v>2024</v>
      </c>
      <c r="F345" s="2">
        <v>45467</v>
      </c>
      <c r="G345" s="2">
        <v>45467</v>
      </c>
      <c r="H345" s="2">
        <v>45468</v>
      </c>
      <c r="I345" s="2">
        <f>WORKDAY.INTL(F345,IF(OR(C345="MELHORIA PEQUENA",C345="MELHORIA MÉDIA"),3,1),1,ListaFeriados)</f>
        <v>45470</v>
      </c>
      <c r="J345" s="2">
        <f>WORKDAY.INTL(I345,IF(C345="MELHORIA MÉDIA",20,IF(OR(C345="MELHORIA PEQUENA",C345="BUG NÃO IMPEDITIVO"),5,2)),1,$X:$X)</f>
        <v>45477</v>
      </c>
      <c r="K345" t="str">
        <f>IF(H345&gt;J345,"ATRASO","NO PRAZO")</f>
        <v>NO PRAZO</v>
      </c>
    </row>
    <row r="346" spans="1:11">
      <c r="A346" s="1">
        <v>17794</v>
      </c>
      <c r="B346" t="s">
        <v>6</v>
      </c>
      <c r="C346" t="s">
        <v>7</v>
      </c>
      <c r="D346" s="1">
        <v>1981</v>
      </c>
      <c r="E346" s="1">
        <v>2024</v>
      </c>
      <c r="F346" s="2">
        <v>45456</v>
      </c>
      <c r="G346" s="2">
        <v>45457</v>
      </c>
      <c r="H346" s="2">
        <v>45461</v>
      </c>
      <c r="I346" s="2">
        <f>WORKDAY.INTL(F346,IF(OR(C346="MELHORIA PEQUENA",C346="MELHORIA MÉDIA"),3,1),1,ListaFeriados)</f>
        <v>45461</v>
      </c>
      <c r="J346" s="2">
        <f>WORKDAY.INTL(I346,IF(C346="MELHORIA MÉDIA",20,IF(OR(C346="MELHORIA PEQUENA",C346="BUG NÃO IMPEDITIVO"),5,2)),1,$X:$X)</f>
        <v>45468</v>
      </c>
      <c r="K346" t="str">
        <f>IF(H346&gt;J346,"ATRASO","NO PRAZO")</f>
        <v>NO PRAZO</v>
      </c>
    </row>
    <row r="347" spans="1:11">
      <c r="A347" s="1">
        <v>17404</v>
      </c>
      <c r="B347" t="s">
        <v>6</v>
      </c>
      <c r="C347" t="s">
        <v>7</v>
      </c>
      <c r="D347" s="1">
        <v>1591</v>
      </c>
      <c r="E347" s="1">
        <v>2024</v>
      </c>
      <c r="F347" s="2">
        <v>45421</v>
      </c>
      <c r="G347" s="2">
        <v>45421</v>
      </c>
      <c r="H347" s="2">
        <v>45426</v>
      </c>
      <c r="I347" s="2">
        <f>WORKDAY.INTL(F347,IF(OR(C347="MELHORIA PEQUENA",C347="MELHORIA MÉDIA"),3,1),1,ListaFeriados)</f>
        <v>45426</v>
      </c>
      <c r="J347" s="2">
        <f>WORKDAY.INTL(I347,IF(C347="MELHORIA MÉDIA",20,IF(OR(C347="MELHORIA PEQUENA",C347="BUG NÃO IMPEDITIVO"),5,2)),1,$X:$X)</f>
        <v>45433</v>
      </c>
      <c r="K347" t="str">
        <f>IF(H347&gt;J347,"ATRASO","NO PRAZO")</f>
        <v>NO PRAZO</v>
      </c>
    </row>
    <row r="348" spans="1:11">
      <c r="A348" s="1">
        <v>18397</v>
      </c>
      <c r="B348" t="s">
        <v>9</v>
      </c>
      <c r="C348" t="s">
        <v>7</v>
      </c>
      <c r="D348" s="1">
        <v>2584</v>
      </c>
      <c r="E348" s="1">
        <v>2024</v>
      </c>
      <c r="F348" s="2">
        <v>45537</v>
      </c>
      <c r="G348" s="2">
        <v>45538</v>
      </c>
      <c r="H348" s="2">
        <v>45538</v>
      </c>
      <c r="I348" s="2">
        <f>WORKDAY.INTL(F348,IF(OR(C348="MELHORIA PEQUENA",C348="MELHORIA MÉDIA"),3,1),1,ListaFeriados)</f>
        <v>45540</v>
      </c>
      <c r="J348" s="2">
        <f>WORKDAY.INTL(I348,IF(C348="MELHORIA MÉDIA",20,IF(OR(C348="MELHORIA PEQUENA",C348="BUG NÃO IMPEDITIVO"),5,2)),1,$X:$X)</f>
        <v>45547</v>
      </c>
      <c r="K348" t="str">
        <f>IF(H348&gt;J348,"ATRASO","NO PRAZO")</f>
        <v>NO PRAZO</v>
      </c>
    </row>
    <row r="349" spans="1:11">
      <c r="A349" s="1">
        <v>17683</v>
      </c>
      <c r="B349" t="s">
        <v>8</v>
      </c>
      <c r="C349" t="s">
        <v>7</v>
      </c>
      <c r="D349" s="1">
        <v>1870</v>
      </c>
      <c r="E349" s="1">
        <v>2024</v>
      </c>
      <c r="F349" s="2">
        <v>45447</v>
      </c>
      <c r="G349" s="2">
        <v>45448</v>
      </c>
      <c r="H349" s="2">
        <v>45450</v>
      </c>
      <c r="I349" s="2">
        <f>WORKDAY.INTL(F349,IF(OR(C349="MELHORIA PEQUENA",C349="MELHORIA MÉDIA"),3,1),1,ListaFeriados)</f>
        <v>45450</v>
      </c>
      <c r="J349" s="2">
        <f>WORKDAY.INTL(I349,IF(C349="MELHORIA MÉDIA",20,IF(OR(C349="MELHORIA PEQUENA",C349="BUG NÃO IMPEDITIVO"),5,2)),1,$X:$X)</f>
        <v>45457</v>
      </c>
      <c r="K349" t="str">
        <f>IF(H349&gt;J349,"ATRASO","NO PRAZO")</f>
        <v>NO PRAZO</v>
      </c>
    </row>
    <row r="350" spans="1:11">
      <c r="A350" s="1">
        <v>17961</v>
      </c>
      <c r="B350" t="s">
        <v>6</v>
      </c>
      <c r="C350" t="s">
        <v>7</v>
      </c>
      <c r="D350" s="1">
        <v>2148</v>
      </c>
      <c r="E350" s="1">
        <v>2024</v>
      </c>
      <c r="F350" s="2">
        <v>45478</v>
      </c>
      <c r="G350" s="2">
        <v>45481</v>
      </c>
      <c r="H350" s="2">
        <v>45482</v>
      </c>
      <c r="I350" s="2">
        <f>WORKDAY.INTL(F350,IF(OR(C350="MELHORIA PEQUENA",C350="MELHORIA MÉDIA"),3,1),1,ListaFeriados)</f>
        <v>45483</v>
      </c>
      <c r="J350" s="2">
        <f>WORKDAY.INTL(I350,IF(C350="MELHORIA MÉDIA",20,IF(OR(C350="MELHORIA PEQUENA",C350="BUG NÃO IMPEDITIVO"),5,2)),1,$X:$X)</f>
        <v>45490</v>
      </c>
      <c r="K350" t="str">
        <f>IF(H350&gt;J350,"ATRASO","NO PRAZO")</f>
        <v>NO PRAZO</v>
      </c>
    </row>
    <row r="351" spans="1:11">
      <c r="A351" s="1">
        <v>17617</v>
      </c>
      <c r="B351" t="s">
        <v>8</v>
      </c>
      <c r="C351" t="s">
        <v>7</v>
      </c>
      <c r="D351" s="1">
        <v>1804</v>
      </c>
      <c r="E351" s="1">
        <v>2024</v>
      </c>
      <c r="F351" s="2">
        <v>45435</v>
      </c>
      <c r="G351" s="2">
        <v>45439</v>
      </c>
      <c r="H351" s="2">
        <v>45440</v>
      </c>
      <c r="I351" s="2">
        <f>WORKDAY.INTL(F351,IF(OR(C351="MELHORIA PEQUENA",C351="MELHORIA MÉDIA"),3,1),1,ListaFeriados)</f>
        <v>45440</v>
      </c>
      <c r="J351" s="2">
        <f>WORKDAY.INTL(I351,IF(C351="MELHORIA MÉDIA",20,IF(OR(C351="MELHORIA PEQUENA",C351="BUG NÃO IMPEDITIVO"),5,2)),1,$X:$X)</f>
        <v>45448</v>
      </c>
      <c r="K351" t="str">
        <f>IF(H351&gt;J351,"ATRASO","NO PRAZO")</f>
        <v>NO PRAZO</v>
      </c>
    </row>
    <row r="352" spans="1:11">
      <c r="A352" s="1">
        <v>17859</v>
      </c>
      <c r="B352" t="s">
        <v>6</v>
      </c>
      <c r="C352" t="s">
        <v>7</v>
      </c>
      <c r="D352" s="1">
        <v>2046</v>
      </c>
      <c r="E352" s="1">
        <v>2024</v>
      </c>
      <c r="F352" s="2">
        <v>45464</v>
      </c>
      <c r="G352" s="2">
        <v>45468</v>
      </c>
      <c r="H352" s="2">
        <v>45474</v>
      </c>
      <c r="I352" s="2">
        <f>WORKDAY.INTL(F352,IF(OR(C352="MELHORIA PEQUENA",C352="MELHORIA MÉDIA"),3,1),1,ListaFeriados)</f>
        <v>45469</v>
      </c>
      <c r="J352" s="2">
        <f>WORKDAY.INTL(I352,IF(C352="MELHORIA MÉDIA",20,IF(OR(C352="MELHORIA PEQUENA",C352="BUG NÃO IMPEDITIVO"),5,2)),1,$X:$X)</f>
        <v>45476</v>
      </c>
      <c r="K352" t="str">
        <f>IF(H352&gt;J352,"ATRASO","NO PRAZO")</f>
        <v>NO PRAZO</v>
      </c>
    </row>
    <row r="353" spans="1:11">
      <c r="A353" s="1">
        <v>17883</v>
      </c>
      <c r="B353" t="s">
        <v>6</v>
      </c>
      <c r="C353" t="s">
        <v>7</v>
      </c>
      <c r="D353" s="1">
        <v>2070</v>
      </c>
      <c r="E353" s="1">
        <v>2024</v>
      </c>
      <c r="F353" s="2">
        <v>45468</v>
      </c>
      <c r="G353" s="2">
        <v>45471</v>
      </c>
      <c r="H353" s="2">
        <v>45471</v>
      </c>
      <c r="I353" s="2">
        <f>WORKDAY.INTL(F353,IF(OR(C353="MELHORIA PEQUENA",C353="MELHORIA MÉDIA"),3,1),1,ListaFeriados)</f>
        <v>45471</v>
      </c>
      <c r="J353" s="2">
        <f>WORKDAY.INTL(I353,IF(C353="MELHORIA MÉDIA",20,IF(OR(C353="MELHORIA PEQUENA",C353="BUG NÃO IMPEDITIVO"),5,2)),1,$X:$X)</f>
        <v>45478</v>
      </c>
      <c r="K353" t="str">
        <f>IF(H353&gt;J353,"ATRASO","NO PRAZO")</f>
        <v>NO PRAZO</v>
      </c>
    </row>
    <row r="354" spans="1:11">
      <c r="A354" s="1">
        <v>18133</v>
      </c>
      <c r="B354" t="s">
        <v>13</v>
      </c>
      <c r="C354" t="s">
        <v>7</v>
      </c>
      <c r="D354" s="1">
        <v>2320</v>
      </c>
      <c r="E354" s="1">
        <v>2024</v>
      </c>
      <c r="F354" s="2">
        <v>45504</v>
      </c>
      <c r="G354" s="2">
        <v>45511</v>
      </c>
      <c r="H354" s="2">
        <v>45511</v>
      </c>
      <c r="I354" s="2">
        <f>WORKDAY.INTL(F354,IF(OR(C354="MELHORIA PEQUENA",C354="MELHORIA MÉDIA"),3,1),1,ListaFeriados)</f>
        <v>45509</v>
      </c>
      <c r="J354" s="2">
        <f>WORKDAY.INTL(I354,IF(C354="MELHORIA MÉDIA",20,IF(OR(C354="MELHORIA PEQUENA",C354="BUG NÃO IMPEDITIVO"),5,2)),1,$X:$X)</f>
        <v>45516</v>
      </c>
      <c r="K354" t="str">
        <f>IF(H354&gt;J354,"ATRASO","NO PRAZO")</f>
        <v>NO PRAZO</v>
      </c>
    </row>
    <row r="355" spans="1:11">
      <c r="A355" s="1">
        <v>18503</v>
      </c>
      <c r="B355" t="s">
        <v>8</v>
      </c>
      <c r="C355" t="s">
        <v>7</v>
      </c>
      <c r="D355" s="1">
        <v>2690</v>
      </c>
      <c r="E355" s="1">
        <v>2024</v>
      </c>
      <c r="F355" s="2">
        <v>45551</v>
      </c>
      <c r="G355" s="2">
        <v>45552</v>
      </c>
      <c r="H355" s="2">
        <v>45553</v>
      </c>
      <c r="I355" s="2">
        <f>WORKDAY.INTL(F355,IF(OR(C355="MELHORIA PEQUENA",C355="MELHORIA MÉDIA"),3,1),1,ListaFeriados)</f>
        <v>45554</v>
      </c>
      <c r="J355" s="2">
        <f>WORKDAY.INTL(I355,IF(C355="MELHORIA MÉDIA",20,IF(OR(C355="MELHORIA PEQUENA",C355="BUG NÃO IMPEDITIVO"),5,2)),1,$X:$X)</f>
        <v>45561</v>
      </c>
      <c r="K355" t="str">
        <f>IF(H355&gt;J355,"ATRASO","NO PRAZO")</f>
        <v>NO PRAZO</v>
      </c>
    </row>
    <row r="356" spans="1:11">
      <c r="A356" s="1">
        <v>17541</v>
      </c>
      <c r="B356" t="s">
        <v>6</v>
      </c>
      <c r="C356" t="s">
        <v>7</v>
      </c>
      <c r="D356" s="1">
        <v>1728</v>
      </c>
      <c r="E356" s="1">
        <v>2024</v>
      </c>
      <c r="F356" s="2">
        <v>45432</v>
      </c>
      <c r="G356" s="2">
        <v>45433</v>
      </c>
      <c r="H356" s="2">
        <v>45436</v>
      </c>
      <c r="I356" s="2">
        <f>WORKDAY.INTL(F356,IF(OR(C356="MELHORIA PEQUENA",C356="MELHORIA MÉDIA"),3,1),1,ListaFeriados)</f>
        <v>45435</v>
      </c>
      <c r="J356" s="2">
        <f>WORKDAY.INTL(I356,IF(C356="MELHORIA MÉDIA",20,IF(OR(C356="MELHORIA PEQUENA",C356="BUG NÃO IMPEDITIVO"),5,2)),1,$X:$X)</f>
        <v>45443</v>
      </c>
      <c r="K356" t="str">
        <f>IF(H356&gt;J356,"ATRASO","NO PRAZO")</f>
        <v>NO PRAZO</v>
      </c>
    </row>
    <row r="357" spans="1:11">
      <c r="A357" s="1">
        <v>18420</v>
      </c>
      <c r="B357" t="s">
        <v>6</v>
      </c>
      <c r="C357" t="s">
        <v>7</v>
      </c>
      <c r="D357" s="1">
        <v>2607</v>
      </c>
      <c r="E357" s="1">
        <v>2024</v>
      </c>
      <c r="F357" s="2">
        <v>45539</v>
      </c>
      <c r="G357" s="2">
        <v>45540</v>
      </c>
      <c r="H357" s="2">
        <v>45544</v>
      </c>
      <c r="I357" s="2">
        <f>WORKDAY.INTL(F357,IF(OR(C357="MELHORIA PEQUENA",C357="MELHORIA MÉDIA"),3,1),1,ListaFeriados)</f>
        <v>45544</v>
      </c>
      <c r="J357" s="2">
        <f>WORKDAY.INTL(I357,IF(C357="MELHORIA MÉDIA",20,IF(OR(C357="MELHORIA PEQUENA",C357="BUG NÃO IMPEDITIVO"),5,2)),1,$X:$X)</f>
        <v>45551</v>
      </c>
      <c r="K357" t="str">
        <f>IF(H357&gt;J357,"ATRASO","NO PRAZO")</f>
        <v>NO PRAZO</v>
      </c>
    </row>
    <row r="358" spans="1:11">
      <c r="A358" s="1">
        <v>18619</v>
      </c>
      <c r="B358" t="s">
        <v>6</v>
      </c>
      <c r="C358" t="s">
        <v>7</v>
      </c>
      <c r="D358" s="1">
        <v>2806</v>
      </c>
      <c r="E358" s="1">
        <v>2024</v>
      </c>
      <c r="F358" s="2">
        <v>45567</v>
      </c>
      <c r="G358" s="2">
        <v>45568</v>
      </c>
      <c r="H358" s="2">
        <v>45572</v>
      </c>
      <c r="I358" s="2">
        <f>WORKDAY.INTL(F358,IF(OR(C358="MELHORIA PEQUENA",C358="MELHORIA MÉDIA"),3,1),1,ListaFeriados)</f>
        <v>45572</v>
      </c>
      <c r="J358" s="2">
        <f>WORKDAY.INTL(I358,IF(C358="MELHORIA MÉDIA",20,IF(OR(C358="MELHORIA PEQUENA",C358="BUG NÃO IMPEDITIVO"),5,2)),1,$X:$X)</f>
        <v>45579</v>
      </c>
      <c r="K358" t="str">
        <f>IF(H358&gt;J358,"ATRASO","NO PRAZO")</f>
        <v>NO PRAZO</v>
      </c>
    </row>
    <row r="359" spans="1:11">
      <c r="A359" s="1">
        <v>17520</v>
      </c>
      <c r="B359" t="s">
        <v>10</v>
      </c>
      <c r="C359" t="s">
        <v>7</v>
      </c>
      <c r="D359" s="1">
        <v>1707</v>
      </c>
      <c r="E359" s="1">
        <v>2024</v>
      </c>
      <c r="F359" s="2">
        <v>45429</v>
      </c>
      <c r="G359" s="2">
        <v>45432</v>
      </c>
      <c r="H359" s="2">
        <v>45435</v>
      </c>
      <c r="I359" s="2">
        <f>WORKDAY.INTL(F359,IF(OR(C359="MELHORIA PEQUENA",C359="MELHORIA MÉDIA"),3,1),1,ListaFeriados)</f>
        <v>45434</v>
      </c>
      <c r="J359" s="2">
        <f>WORKDAY.INTL(I359,IF(C359="MELHORIA MÉDIA",20,IF(OR(C359="MELHORIA PEQUENA",C359="BUG NÃO IMPEDITIVO"),5,2)),1,$X:$X)</f>
        <v>45441</v>
      </c>
      <c r="K359" t="str">
        <f>IF(H359&gt;J359,"ATRASO","NO PRAZO")</f>
        <v>NO PRAZO</v>
      </c>
    </row>
    <row r="360" spans="1:11">
      <c r="A360" s="1">
        <v>18559</v>
      </c>
      <c r="B360" t="s">
        <v>13</v>
      </c>
      <c r="C360" t="s">
        <v>7</v>
      </c>
      <c r="D360" s="1">
        <v>2746</v>
      </c>
      <c r="E360" s="1">
        <v>2024</v>
      </c>
      <c r="F360" s="2">
        <v>45559</v>
      </c>
      <c r="G360" s="2">
        <v>45560</v>
      </c>
      <c r="H360" s="2">
        <v>45566</v>
      </c>
      <c r="I360" s="2">
        <f>WORKDAY.INTL(F360,IF(OR(C360="MELHORIA PEQUENA",C360="MELHORIA MÉDIA"),3,1),1,ListaFeriados)</f>
        <v>45562</v>
      </c>
      <c r="J360" s="2">
        <f>WORKDAY.INTL(I360,IF(C360="MELHORIA MÉDIA",20,IF(OR(C360="MELHORIA PEQUENA",C360="BUG NÃO IMPEDITIVO"),5,2)),1,$X:$X)</f>
        <v>45569</v>
      </c>
      <c r="K360" t="str">
        <f>IF(H360&gt;J360,"ATRASO","NO PRAZO")</f>
        <v>NO PRAZO</v>
      </c>
    </row>
    <row r="361" spans="1:11">
      <c r="A361" s="1">
        <v>18627</v>
      </c>
      <c r="B361" t="s">
        <v>9</v>
      </c>
      <c r="C361" t="s">
        <v>7</v>
      </c>
      <c r="D361" s="1">
        <v>2814</v>
      </c>
      <c r="E361" s="1">
        <v>2024</v>
      </c>
      <c r="F361" s="2">
        <v>45568</v>
      </c>
      <c r="G361" s="2">
        <v>45569</v>
      </c>
      <c r="H361" s="2">
        <v>45569</v>
      </c>
      <c r="I361" s="2">
        <f>WORKDAY.INTL(F361,IF(OR(C361="MELHORIA PEQUENA",C361="MELHORIA MÉDIA"),3,1),1,ListaFeriados)</f>
        <v>45573</v>
      </c>
      <c r="J361" s="2">
        <f>WORKDAY.INTL(I361,IF(C361="MELHORIA MÉDIA",20,IF(OR(C361="MELHORIA PEQUENA",C361="BUG NÃO IMPEDITIVO"),5,2)),1,$X:$X)</f>
        <v>45580</v>
      </c>
      <c r="K361" t="str">
        <f>IF(H361&gt;J361,"ATRASO","NO PRAZO")</f>
        <v>NO PRAZO</v>
      </c>
    </row>
    <row r="362" spans="1:11">
      <c r="A362" s="1">
        <v>18564</v>
      </c>
      <c r="B362" t="s">
        <v>6</v>
      </c>
      <c r="C362" t="s">
        <v>7</v>
      </c>
      <c r="D362" s="1">
        <v>2751</v>
      </c>
      <c r="E362" s="1">
        <v>2024</v>
      </c>
      <c r="F362" s="2">
        <v>45560</v>
      </c>
      <c r="G362" s="2">
        <v>45561</v>
      </c>
      <c r="H362" s="2">
        <v>45566</v>
      </c>
      <c r="I362" s="2">
        <f>WORKDAY.INTL(F362,IF(OR(C362="MELHORIA PEQUENA",C362="MELHORIA MÉDIA"),3,1),1,ListaFeriados)</f>
        <v>45565</v>
      </c>
      <c r="J362" s="2">
        <f>WORKDAY.INTL(I362,IF(C362="MELHORIA MÉDIA",20,IF(OR(C362="MELHORIA PEQUENA",C362="BUG NÃO IMPEDITIVO"),5,2)),1,$X:$X)</f>
        <v>45572</v>
      </c>
      <c r="K362" t="str">
        <f>IF(H362&gt;J362,"ATRASO","NO PRAZO")</f>
        <v>NO PRAZO</v>
      </c>
    </row>
    <row r="363" spans="1:11">
      <c r="A363" s="1">
        <v>18547</v>
      </c>
      <c r="B363" t="s">
        <v>6</v>
      </c>
      <c r="C363" t="s">
        <v>7</v>
      </c>
      <c r="D363" s="1">
        <v>2734</v>
      </c>
      <c r="E363" s="1">
        <v>2024</v>
      </c>
      <c r="F363" s="2">
        <v>45558</v>
      </c>
      <c r="G363" s="2">
        <v>45559</v>
      </c>
      <c r="H363" s="2">
        <v>45560</v>
      </c>
      <c r="I363" s="2">
        <f>WORKDAY.INTL(F363,IF(OR(C363="MELHORIA PEQUENA",C363="MELHORIA MÉDIA"),3,1),1,ListaFeriados)</f>
        <v>45561</v>
      </c>
      <c r="J363" s="2">
        <f>WORKDAY.INTL(I363,IF(C363="MELHORIA MÉDIA",20,IF(OR(C363="MELHORIA PEQUENA",C363="BUG NÃO IMPEDITIVO"),5,2)),1,$X:$X)</f>
        <v>45568</v>
      </c>
      <c r="K363" t="str">
        <f>IF(H363&gt;J363,"ATRASO","NO PRAZO")</f>
        <v>NO PRAZO</v>
      </c>
    </row>
    <row r="364" spans="1:11">
      <c r="A364" s="1">
        <v>18212</v>
      </c>
      <c r="B364" t="s">
        <v>6</v>
      </c>
      <c r="C364" t="s">
        <v>7</v>
      </c>
      <c r="D364" s="1">
        <v>2399</v>
      </c>
      <c r="E364" s="1">
        <v>2024</v>
      </c>
      <c r="F364" s="2">
        <v>45513</v>
      </c>
      <c r="G364" s="2">
        <v>45517</v>
      </c>
      <c r="H364" s="2">
        <v>45520</v>
      </c>
      <c r="I364" s="2">
        <f>WORKDAY.INTL(F364,IF(OR(C364="MELHORIA PEQUENA",C364="MELHORIA MÉDIA"),3,1),1,ListaFeriados)</f>
        <v>45518</v>
      </c>
      <c r="J364" s="2">
        <f>WORKDAY.INTL(I364,IF(C364="MELHORIA MÉDIA",20,IF(OR(C364="MELHORIA PEQUENA",C364="BUG NÃO IMPEDITIVO"),5,2)),1,$X:$X)</f>
        <v>45526</v>
      </c>
      <c r="K364" t="str">
        <f>IF(H364&gt;J364,"ATRASO","NO PRAZO")</f>
        <v>NO PRAZO</v>
      </c>
    </row>
    <row r="365" spans="1:11">
      <c r="A365" s="1">
        <v>17747</v>
      </c>
      <c r="B365" t="s">
        <v>8</v>
      </c>
      <c r="C365" t="s">
        <v>7</v>
      </c>
      <c r="D365" s="1">
        <v>1934</v>
      </c>
      <c r="E365" s="1">
        <v>2024</v>
      </c>
      <c r="F365" s="2">
        <v>45454</v>
      </c>
      <c r="G365" s="2">
        <v>45456</v>
      </c>
      <c r="H365" s="2">
        <v>45457</v>
      </c>
      <c r="I365" s="2">
        <f>WORKDAY.INTL(F365,IF(OR(C365="MELHORIA PEQUENA",C365="MELHORIA MÉDIA"),3,1),1,ListaFeriados)</f>
        <v>45457</v>
      </c>
      <c r="J365" s="2">
        <f>WORKDAY.INTL(I365,IF(C365="MELHORIA MÉDIA",20,IF(OR(C365="MELHORIA PEQUENA",C365="BUG NÃO IMPEDITIVO"),5,2)),1,$X:$X)</f>
        <v>45464</v>
      </c>
      <c r="K365" t="str">
        <f>IF(H365&gt;J365,"ATRASO","NO PRAZO")</f>
        <v>NO PRAZO</v>
      </c>
    </row>
    <row r="366" spans="1:11">
      <c r="A366" s="1">
        <v>18617</v>
      </c>
      <c r="B366" t="s">
        <v>6</v>
      </c>
      <c r="C366" t="s">
        <v>7</v>
      </c>
      <c r="D366" s="1">
        <v>2804</v>
      </c>
      <c r="E366" s="1">
        <v>2024</v>
      </c>
      <c r="F366" s="2">
        <v>45567</v>
      </c>
      <c r="G366" s="2">
        <v>45568</v>
      </c>
      <c r="H366" s="2">
        <v>45574</v>
      </c>
      <c r="I366" s="2">
        <f>WORKDAY.INTL(F366,IF(OR(C366="MELHORIA PEQUENA",C366="MELHORIA MÉDIA"),3,1),1,ListaFeriados)</f>
        <v>45572</v>
      </c>
      <c r="J366" s="2">
        <f>WORKDAY.INTL(I366,IF(C366="MELHORIA MÉDIA",20,IF(OR(C366="MELHORIA PEQUENA",C366="BUG NÃO IMPEDITIVO"),5,2)),1,$X:$X)</f>
        <v>45579</v>
      </c>
      <c r="K366" t="str">
        <f>IF(H366&gt;J366,"ATRASO","NO PRAZO")</f>
        <v>NO PRAZO</v>
      </c>
    </row>
    <row r="367" spans="1:11">
      <c r="A367" s="1">
        <v>18436</v>
      </c>
      <c r="B367" t="s">
        <v>14</v>
      </c>
      <c r="C367" t="s">
        <v>7</v>
      </c>
      <c r="D367" s="1">
        <v>2623</v>
      </c>
      <c r="E367" s="1">
        <v>2024</v>
      </c>
      <c r="F367" s="2">
        <v>45540</v>
      </c>
      <c r="G367" s="2">
        <v>45541</v>
      </c>
      <c r="H367" s="2">
        <v>45545</v>
      </c>
      <c r="I367" s="2">
        <f>WORKDAY.INTL(F367,IF(OR(C367="MELHORIA PEQUENA",C367="MELHORIA MÉDIA"),3,1),1,ListaFeriados)</f>
        <v>45545</v>
      </c>
      <c r="J367" s="2">
        <f>WORKDAY.INTL(I367,IF(C367="MELHORIA MÉDIA",20,IF(OR(C367="MELHORIA PEQUENA",C367="BUG NÃO IMPEDITIVO"),5,2)),1,$X:$X)</f>
        <v>45552</v>
      </c>
      <c r="K367" t="str">
        <f>IF(H367&gt;J367,"ATRASO","NO PRAZO")</f>
        <v>NO PRAZO</v>
      </c>
    </row>
    <row r="368" spans="1:11">
      <c r="A368" s="1">
        <v>17619</v>
      </c>
      <c r="B368" t="s">
        <v>10</v>
      </c>
      <c r="C368" t="s">
        <v>7</v>
      </c>
      <c r="D368" s="1">
        <v>1806</v>
      </c>
      <c r="E368" s="1">
        <v>2024</v>
      </c>
      <c r="F368" s="2">
        <v>45435</v>
      </c>
      <c r="G368" s="2">
        <v>45440</v>
      </c>
      <c r="H368" s="2">
        <v>45441</v>
      </c>
      <c r="I368" s="2">
        <f>WORKDAY.INTL(F368,IF(OR(C368="MELHORIA PEQUENA",C368="MELHORIA MÉDIA"),3,1),1,ListaFeriados)</f>
        <v>45440</v>
      </c>
      <c r="J368" s="2">
        <f>WORKDAY.INTL(I368,IF(C368="MELHORIA MÉDIA",20,IF(OR(C368="MELHORIA PEQUENA",C368="BUG NÃO IMPEDITIVO"),5,2)),1,$X:$X)</f>
        <v>45448</v>
      </c>
      <c r="K368" t="str">
        <f>IF(H368&gt;J368,"ATRASO","NO PRAZO")</f>
        <v>NO PRAZO</v>
      </c>
    </row>
    <row r="369" spans="1:11">
      <c r="A369" s="1">
        <v>17785</v>
      </c>
      <c r="B369" t="s">
        <v>9</v>
      </c>
      <c r="C369" t="s">
        <v>7</v>
      </c>
      <c r="D369" s="1">
        <v>1972</v>
      </c>
      <c r="E369" s="1">
        <v>2024</v>
      </c>
      <c r="F369" s="2">
        <v>45456</v>
      </c>
      <c r="G369" s="2">
        <v>45461</v>
      </c>
      <c r="H369" s="2">
        <v>45463</v>
      </c>
      <c r="I369" s="2">
        <f>WORKDAY.INTL(F369,IF(OR(C369="MELHORIA PEQUENA",C369="MELHORIA MÉDIA"),3,1),1,ListaFeriados)</f>
        <v>45461</v>
      </c>
      <c r="J369" s="2">
        <f>WORKDAY.INTL(I369,IF(C369="MELHORIA MÉDIA",20,IF(OR(C369="MELHORIA PEQUENA",C369="BUG NÃO IMPEDITIVO"),5,2)),1,$X:$X)</f>
        <v>45468</v>
      </c>
      <c r="K369" t="str">
        <f>IF(H369&gt;J369,"ATRASO","NO PRAZO")</f>
        <v>NO PRAZO</v>
      </c>
    </row>
    <row r="370" spans="1:11">
      <c r="A370" s="1">
        <v>17792</v>
      </c>
      <c r="B370" t="s">
        <v>6</v>
      </c>
      <c r="C370" t="s">
        <v>7</v>
      </c>
      <c r="D370" s="1">
        <v>1979</v>
      </c>
      <c r="E370" s="1">
        <v>2024</v>
      </c>
      <c r="F370" s="2">
        <v>45456</v>
      </c>
      <c r="G370" s="2">
        <v>45457</v>
      </c>
      <c r="H370" s="2">
        <v>45461</v>
      </c>
      <c r="I370" s="2">
        <f>WORKDAY.INTL(F370,IF(OR(C370="MELHORIA PEQUENA",C370="MELHORIA MÉDIA"),3,1),1,ListaFeriados)</f>
        <v>45461</v>
      </c>
      <c r="J370" s="2">
        <f>WORKDAY.INTL(I370,IF(C370="MELHORIA MÉDIA",20,IF(OR(C370="MELHORIA PEQUENA",C370="BUG NÃO IMPEDITIVO"),5,2)),1,$X:$X)</f>
        <v>45468</v>
      </c>
      <c r="K370" t="str">
        <f>IF(H370&gt;J370,"ATRASO","NO PRAZO")</f>
        <v>NO PRAZO</v>
      </c>
    </row>
    <row r="371" spans="1:11">
      <c r="A371" s="1">
        <v>17730</v>
      </c>
      <c r="B371" t="s">
        <v>8</v>
      </c>
      <c r="C371" t="s">
        <v>7</v>
      </c>
      <c r="D371" s="1">
        <v>1917</v>
      </c>
      <c r="E371" s="1">
        <v>2024</v>
      </c>
      <c r="F371" s="2">
        <v>45453</v>
      </c>
      <c r="G371" s="2">
        <v>45454</v>
      </c>
      <c r="H371" s="2">
        <v>45455</v>
      </c>
      <c r="I371" s="2">
        <f>WORKDAY.INTL(F371,IF(OR(C371="MELHORIA PEQUENA",C371="MELHORIA MÉDIA"),3,1),1,ListaFeriados)</f>
        <v>45456</v>
      </c>
      <c r="J371" s="2">
        <f>WORKDAY.INTL(I371,IF(C371="MELHORIA MÉDIA",20,IF(OR(C371="MELHORIA PEQUENA",C371="BUG NÃO IMPEDITIVO"),5,2)),1,$X:$X)</f>
        <v>45463</v>
      </c>
      <c r="K371" t="str">
        <f>IF(H371&gt;J371,"ATRASO","NO PRAZO")</f>
        <v>NO PRAZO</v>
      </c>
    </row>
    <row r="372" spans="1:11">
      <c r="A372" s="1">
        <v>18188</v>
      </c>
      <c r="B372" t="s">
        <v>9</v>
      </c>
      <c r="C372" t="s">
        <v>7</v>
      </c>
      <c r="D372" s="1">
        <v>2375</v>
      </c>
      <c r="E372" s="1">
        <v>2024</v>
      </c>
      <c r="F372" s="2">
        <v>45512</v>
      </c>
      <c r="G372" s="2">
        <v>45513</v>
      </c>
      <c r="H372" s="2">
        <v>45518</v>
      </c>
      <c r="I372" s="2">
        <f>WORKDAY.INTL(F372,IF(OR(C372="MELHORIA PEQUENA",C372="MELHORIA MÉDIA"),3,1),1,ListaFeriados)</f>
        <v>45517</v>
      </c>
      <c r="J372" s="2">
        <f>WORKDAY.INTL(I372,IF(C372="MELHORIA MÉDIA",20,IF(OR(C372="MELHORIA PEQUENA",C372="BUG NÃO IMPEDITIVO"),5,2)),1,$X:$X)</f>
        <v>45525</v>
      </c>
      <c r="K372" t="str">
        <f>IF(H372&gt;J372,"ATRASO","NO PRAZO")</f>
        <v>NO PRAZO</v>
      </c>
    </row>
    <row r="373" spans="1:11">
      <c r="A373" s="1">
        <v>18190</v>
      </c>
      <c r="B373" t="s">
        <v>10</v>
      </c>
      <c r="C373" t="s">
        <v>7</v>
      </c>
      <c r="D373" s="1">
        <v>2377</v>
      </c>
      <c r="E373" s="1">
        <v>2024</v>
      </c>
      <c r="F373" s="2">
        <v>45512</v>
      </c>
      <c r="G373" s="2">
        <v>45518</v>
      </c>
      <c r="H373" s="2">
        <v>45518</v>
      </c>
      <c r="I373" s="2">
        <f>WORKDAY.INTL(F373,IF(OR(C373="MELHORIA PEQUENA",C373="MELHORIA MÉDIA"),3,1),1,ListaFeriados)</f>
        <v>45517</v>
      </c>
      <c r="J373" s="2">
        <f>WORKDAY.INTL(I373,IF(C373="MELHORIA MÉDIA",20,IF(OR(C373="MELHORIA PEQUENA",C373="BUG NÃO IMPEDITIVO"),5,2)),1,$X:$X)</f>
        <v>45525</v>
      </c>
      <c r="K373" t="str">
        <f>IF(H373&gt;J373,"ATRASO","NO PRAZO")</f>
        <v>NO PRAZO</v>
      </c>
    </row>
    <row r="374" spans="1:11">
      <c r="A374" s="1">
        <v>17582</v>
      </c>
      <c r="B374" t="s">
        <v>8</v>
      </c>
      <c r="C374" t="s">
        <v>7</v>
      </c>
      <c r="D374" s="1">
        <v>1769</v>
      </c>
      <c r="E374" s="1">
        <v>2024</v>
      </c>
      <c r="F374" s="2">
        <v>45434</v>
      </c>
      <c r="G374" s="2">
        <v>45435</v>
      </c>
      <c r="H374" s="2">
        <v>45439</v>
      </c>
      <c r="I374" s="2">
        <f>WORKDAY.INTL(F374,IF(OR(C374="MELHORIA PEQUENA",C374="MELHORIA MÉDIA"),3,1),1,ListaFeriados)</f>
        <v>45439</v>
      </c>
      <c r="J374" s="2">
        <f>WORKDAY.INTL(I374,IF(C374="MELHORIA MÉDIA",20,IF(OR(C374="MELHORIA PEQUENA",C374="BUG NÃO IMPEDITIVO"),5,2)),1,$X:$X)</f>
        <v>45447</v>
      </c>
      <c r="K374" t="str">
        <f>IF(H374&gt;J374,"ATRASO","NO PRAZO")</f>
        <v>NO PRAZO</v>
      </c>
    </row>
    <row r="375" spans="1:11">
      <c r="A375" s="1">
        <v>17998</v>
      </c>
      <c r="B375" t="s">
        <v>6</v>
      </c>
      <c r="C375" t="s">
        <v>7</v>
      </c>
      <c r="D375" s="1">
        <v>2185</v>
      </c>
      <c r="E375" s="1">
        <v>2024</v>
      </c>
      <c r="F375" s="2">
        <v>45485</v>
      </c>
      <c r="G375" s="2">
        <v>45510</v>
      </c>
      <c r="H375" s="2">
        <v>45511</v>
      </c>
      <c r="I375" s="2">
        <f>WORKDAY.INTL(F375,IF(OR(C375="MELHORIA PEQUENA",C375="MELHORIA MÉDIA"),3,1),1,ListaFeriados)</f>
        <v>45490</v>
      </c>
      <c r="J375" s="2">
        <f>WORKDAY.INTL(I375,IF(C375="MELHORIA MÉDIA",20,IF(OR(C375="MELHORIA PEQUENA",C375="BUG NÃO IMPEDITIVO"),5,2)),1,$X:$X)</f>
        <v>45497</v>
      </c>
      <c r="K375" t="str">
        <f>IF(H375&gt;J375,"ATRASO","NO PRAZO")</f>
        <v>ATRASO</v>
      </c>
    </row>
    <row r="376" spans="1:11">
      <c r="A376" s="1">
        <v>18161</v>
      </c>
      <c r="B376" t="s">
        <v>6</v>
      </c>
      <c r="C376" t="s">
        <v>7</v>
      </c>
      <c r="D376" s="1">
        <v>2348</v>
      </c>
      <c r="E376" s="1">
        <v>2024</v>
      </c>
      <c r="F376" s="2">
        <v>45509</v>
      </c>
      <c r="G376" s="2">
        <v>45510</v>
      </c>
      <c r="H376" s="2">
        <v>45512</v>
      </c>
      <c r="I376" s="2">
        <f>WORKDAY.INTL(F376,IF(OR(C376="MELHORIA PEQUENA",C376="MELHORIA MÉDIA"),3,1),1,ListaFeriados)</f>
        <v>45512</v>
      </c>
      <c r="J376" s="2">
        <f>WORKDAY.INTL(I376,IF(C376="MELHORIA MÉDIA",20,IF(OR(C376="MELHORIA PEQUENA",C376="BUG NÃO IMPEDITIVO"),5,2)),1,$X:$X)</f>
        <v>45520</v>
      </c>
      <c r="K376" t="str">
        <f>IF(H376&gt;J376,"ATRASO","NO PRAZO")</f>
        <v>NO PRAZO</v>
      </c>
    </row>
    <row r="377" spans="1:11">
      <c r="A377" s="1">
        <v>18618</v>
      </c>
      <c r="B377" t="s">
        <v>6</v>
      </c>
      <c r="C377" t="s">
        <v>7</v>
      </c>
      <c r="D377" s="1">
        <v>2805</v>
      </c>
      <c r="E377" s="1">
        <v>2024</v>
      </c>
      <c r="F377" s="2">
        <v>45567</v>
      </c>
      <c r="G377" s="2">
        <v>45568</v>
      </c>
      <c r="H377" s="2">
        <v>45573</v>
      </c>
      <c r="I377" s="2">
        <f>WORKDAY.INTL(F377,IF(OR(C377="MELHORIA PEQUENA",C377="MELHORIA MÉDIA"),3,1),1,ListaFeriados)</f>
        <v>45572</v>
      </c>
      <c r="J377" s="2">
        <f>WORKDAY.INTL(I377,IF(C377="MELHORIA MÉDIA",20,IF(OR(C377="MELHORIA PEQUENA",C377="BUG NÃO IMPEDITIVO"),5,2)),1,$X:$X)</f>
        <v>45579</v>
      </c>
      <c r="K377" t="str">
        <f>IF(H377&gt;J377,"ATRASO","NO PRAZO")</f>
        <v>NO PRAZO</v>
      </c>
    </row>
    <row r="378" spans="1:11">
      <c r="A378" s="1">
        <v>18228</v>
      </c>
      <c r="B378" t="s">
        <v>6</v>
      </c>
      <c r="C378" t="s">
        <v>7</v>
      </c>
      <c r="D378" s="1">
        <v>2415</v>
      </c>
      <c r="E378" s="1">
        <v>2024</v>
      </c>
      <c r="F378" s="2">
        <v>45517</v>
      </c>
      <c r="G378" s="2">
        <v>45518</v>
      </c>
      <c r="H378" s="2">
        <v>45520</v>
      </c>
      <c r="I378" s="2">
        <f>WORKDAY.INTL(F378,IF(OR(C378="MELHORIA PEQUENA",C378="MELHORIA MÉDIA"),3,1),1,ListaFeriados)</f>
        <v>45523</v>
      </c>
      <c r="J378" s="2">
        <f>WORKDAY.INTL(I378,IF(C378="MELHORIA MÉDIA",20,IF(OR(C378="MELHORIA PEQUENA",C378="BUG NÃO IMPEDITIVO"),5,2)),1,$X:$X)</f>
        <v>45530</v>
      </c>
      <c r="K378" t="str">
        <f>IF(H378&gt;J378,"ATRASO","NO PRAZO")</f>
        <v>NO PRAZO</v>
      </c>
    </row>
    <row r="379" spans="1:11">
      <c r="A379" s="1">
        <v>18544</v>
      </c>
      <c r="B379" t="s">
        <v>8</v>
      </c>
      <c r="C379" t="s">
        <v>7</v>
      </c>
      <c r="D379" s="1">
        <v>2731</v>
      </c>
      <c r="E379" s="1">
        <v>2024</v>
      </c>
      <c r="F379" s="2">
        <v>45555</v>
      </c>
      <c r="G379" s="2">
        <v>45558</v>
      </c>
      <c r="H379" s="2">
        <v>45560</v>
      </c>
      <c r="I379" s="2">
        <f>WORKDAY.INTL(F379,IF(OR(C379="MELHORIA PEQUENA",C379="MELHORIA MÉDIA"),3,1),1,ListaFeriados)</f>
        <v>45560</v>
      </c>
      <c r="J379" s="2">
        <f>WORKDAY.INTL(I379,IF(C379="MELHORIA MÉDIA",20,IF(OR(C379="MELHORIA PEQUENA",C379="BUG NÃO IMPEDITIVO"),5,2)),1,$X:$X)</f>
        <v>45567</v>
      </c>
      <c r="K379" t="str">
        <f>IF(H379&gt;J379,"ATRASO","NO PRAZO")</f>
        <v>NO PRAZO</v>
      </c>
    </row>
    <row r="380" spans="1:11">
      <c r="A380" s="1">
        <v>18682</v>
      </c>
      <c r="B380" t="s">
        <v>8</v>
      </c>
      <c r="C380" t="s">
        <v>7</v>
      </c>
      <c r="D380" s="1">
        <v>2869</v>
      </c>
      <c r="E380" s="1">
        <v>2024</v>
      </c>
      <c r="F380" s="2">
        <v>45574</v>
      </c>
      <c r="G380" s="2">
        <v>45576</v>
      </c>
      <c r="H380" s="2">
        <v>45579</v>
      </c>
      <c r="I380" s="2">
        <f>WORKDAY.INTL(F380,IF(OR(C380="MELHORIA PEQUENA",C380="MELHORIA MÉDIA"),3,1),1,ListaFeriados)</f>
        <v>45579</v>
      </c>
      <c r="J380" s="2">
        <f>WORKDAY.INTL(I380,IF(C380="MELHORIA MÉDIA",20,IF(OR(C380="MELHORIA PEQUENA",C380="BUG NÃO IMPEDITIVO"),5,2)),1,$X:$X)</f>
        <v>45587</v>
      </c>
      <c r="K380" t="str">
        <f>IF(H380&gt;J380,"ATRASO","NO PRAZO")</f>
        <v>NO PRAZO</v>
      </c>
    </row>
    <row r="381" spans="1:11">
      <c r="A381" s="1">
        <v>18064</v>
      </c>
      <c r="B381" t="s">
        <v>8</v>
      </c>
      <c r="C381" t="s">
        <v>7</v>
      </c>
      <c r="D381" s="1">
        <v>2251</v>
      </c>
      <c r="E381" s="1">
        <v>2024</v>
      </c>
      <c r="F381" s="2">
        <v>45495</v>
      </c>
      <c r="G381" s="2">
        <v>45497</v>
      </c>
      <c r="H381" s="2">
        <v>45503</v>
      </c>
      <c r="I381" s="2">
        <f>WORKDAY.INTL(F381,IF(OR(C381="MELHORIA PEQUENA",C381="MELHORIA MÉDIA"),3,1),1,ListaFeriados)</f>
        <v>45498</v>
      </c>
      <c r="J381" s="2">
        <f>WORKDAY.INTL(I381,IF(C381="MELHORIA MÉDIA",20,IF(OR(C381="MELHORIA PEQUENA",C381="BUG NÃO IMPEDITIVO"),5,2)),1,$X:$X)</f>
        <v>45505</v>
      </c>
      <c r="K381" t="str">
        <f>IF(H381&gt;J381,"ATRASO","NO PRAZO")</f>
        <v>NO PRAZO</v>
      </c>
    </row>
    <row r="382" spans="1:11">
      <c r="A382" s="1">
        <v>16692</v>
      </c>
      <c r="B382" t="s">
        <v>9</v>
      </c>
      <c r="C382" t="s">
        <v>7</v>
      </c>
      <c r="D382" s="1">
        <v>879</v>
      </c>
      <c r="E382" s="1">
        <v>2024</v>
      </c>
      <c r="F382" s="2">
        <v>45363</v>
      </c>
      <c r="G382" s="2">
        <v>45364</v>
      </c>
      <c r="H382" s="2">
        <v>45370</v>
      </c>
      <c r="I382" s="2">
        <f>WORKDAY.INTL(F382,IF(OR(C382="MELHORIA PEQUENA",C382="MELHORIA MÉDIA"),3,1),1,ListaFeriados)</f>
        <v>45366</v>
      </c>
      <c r="J382" s="2">
        <f>WORKDAY.INTL(I382,IF(C382="MELHORIA MÉDIA",20,IF(OR(C382="MELHORIA PEQUENA",C382="BUG NÃO IMPEDITIVO"),5,2)),1,$X:$X)</f>
        <v>45373</v>
      </c>
      <c r="K382" t="str">
        <f>IF(H382&gt;J382,"ATRASO","NO PRAZO")</f>
        <v>NO PRAZO</v>
      </c>
    </row>
    <row r="383" spans="1:11">
      <c r="A383" s="1">
        <v>17402</v>
      </c>
      <c r="B383" t="s">
        <v>6</v>
      </c>
      <c r="C383" t="s">
        <v>7</v>
      </c>
      <c r="D383" s="1">
        <v>1589</v>
      </c>
      <c r="E383" s="1">
        <v>2024</v>
      </c>
      <c r="F383" s="2">
        <v>45421</v>
      </c>
      <c r="G383" s="2">
        <v>45421</v>
      </c>
      <c r="H383" s="2">
        <v>45426</v>
      </c>
      <c r="I383" s="2">
        <f>WORKDAY.INTL(F383,IF(OR(C383="MELHORIA PEQUENA",C383="MELHORIA MÉDIA"),3,1),1,ListaFeriados)</f>
        <v>45426</v>
      </c>
      <c r="J383" s="2">
        <f>WORKDAY.INTL(I383,IF(C383="MELHORIA MÉDIA",20,IF(OR(C383="MELHORIA PEQUENA",C383="BUG NÃO IMPEDITIVO"),5,2)),1,$X:$X)</f>
        <v>45433</v>
      </c>
      <c r="K383" t="str">
        <f>IF(H383&gt;J383,"ATRASO","NO PRAZO")</f>
        <v>NO PRAZO</v>
      </c>
    </row>
    <row r="384" spans="1:11">
      <c r="A384" s="1">
        <v>17741</v>
      </c>
      <c r="B384" t="s">
        <v>6</v>
      </c>
      <c r="C384" t="s">
        <v>7</v>
      </c>
      <c r="D384" s="1">
        <v>1928</v>
      </c>
      <c r="E384" s="1">
        <v>2024</v>
      </c>
      <c r="F384" s="2">
        <v>45453</v>
      </c>
      <c r="G384" s="2">
        <v>45454</v>
      </c>
      <c r="H384" s="2">
        <v>45457</v>
      </c>
      <c r="I384" s="2">
        <f>WORKDAY.INTL(F384,IF(OR(C384="MELHORIA PEQUENA",C384="MELHORIA MÉDIA"),3,1),1,ListaFeriados)</f>
        <v>45456</v>
      </c>
      <c r="J384" s="2">
        <f>WORKDAY.INTL(I384,IF(C384="MELHORIA MÉDIA",20,IF(OR(C384="MELHORIA PEQUENA",C384="BUG NÃO IMPEDITIVO"),5,2)),1,$X:$X)</f>
        <v>45463</v>
      </c>
      <c r="K384" t="str">
        <f>IF(H384&gt;J384,"ATRASO","NO PRAZO")</f>
        <v>NO PRAZO</v>
      </c>
    </row>
    <row r="385" spans="1:11">
      <c r="A385" s="1">
        <v>18480</v>
      </c>
      <c r="B385" t="s">
        <v>10</v>
      </c>
      <c r="C385" t="s">
        <v>7</v>
      </c>
      <c r="D385" s="1">
        <v>2667</v>
      </c>
      <c r="E385" s="1">
        <v>2024</v>
      </c>
      <c r="F385" s="2">
        <v>45547</v>
      </c>
      <c r="G385" s="2">
        <v>45547</v>
      </c>
      <c r="H385" s="2">
        <v>45548</v>
      </c>
      <c r="I385" s="2">
        <f>WORKDAY.INTL(F385,IF(OR(C385="MELHORIA PEQUENA",C385="MELHORIA MÉDIA"),3,1),1,ListaFeriados)</f>
        <v>45552</v>
      </c>
      <c r="J385" s="2">
        <f>WORKDAY.INTL(I385,IF(C385="MELHORIA MÉDIA",20,IF(OR(C385="MELHORIA PEQUENA",C385="BUG NÃO IMPEDITIVO"),5,2)),1,$X:$X)</f>
        <v>45559</v>
      </c>
      <c r="K385" t="str">
        <f>IF(H385&gt;J385,"ATRASO","NO PRAZO")</f>
        <v>NO PRAZO</v>
      </c>
    </row>
    <row r="386" spans="1:11">
      <c r="A386" s="1">
        <v>17791</v>
      </c>
      <c r="B386" t="s">
        <v>6</v>
      </c>
      <c r="C386" t="s">
        <v>7</v>
      </c>
      <c r="D386" s="1">
        <v>1978</v>
      </c>
      <c r="E386" s="1">
        <v>2024</v>
      </c>
      <c r="F386" s="2">
        <v>45456</v>
      </c>
      <c r="G386" s="2">
        <v>45457</v>
      </c>
      <c r="H386" s="2">
        <v>45461</v>
      </c>
      <c r="I386" s="2">
        <f>WORKDAY.INTL(F386,IF(OR(C386="MELHORIA PEQUENA",C386="MELHORIA MÉDIA"),3,1),1,ListaFeriados)</f>
        <v>45461</v>
      </c>
      <c r="J386" s="2">
        <f>WORKDAY.INTL(I386,IF(C386="MELHORIA MÉDIA",20,IF(OR(C386="MELHORIA PEQUENA",C386="BUG NÃO IMPEDITIVO"),5,2)),1,$X:$X)</f>
        <v>45468</v>
      </c>
      <c r="K386" t="str">
        <f>IF(H386&gt;J386,"ATRASO","NO PRAZO")</f>
        <v>NO PRAZO</v>
      </c>
    </row>
    <row r="387" spans="1:11">
      <c r="A387" s="1">
        <v>18076</v>
      </c>
      <c r="B387" t="s">
        <v>9</v>
      </c>
      <c r="C387" t="s">
        <v>7</v>
      </c>
      <c r="D387" s="1">
        <v>2263</v>
      </c>
      <c r="E387" s="1">
        <v>2024</v>
      </c>
      <c r="F387" s="2">
        <v>45497</v>
      </c>
      <c r="G387" s="2">
        <v>45497</v>
      </c>
      <c r="H387" s="2">
        <v>45499</v>
      </c>
      <c r="I387" s="2">
        <f>WORKDAY.INTL(F387,IF(OR(C387="MELHORIA PEQUENA",C387="MELHORIA MÉDIA"),3,1),1,ListaFeriados)</f>
        <v>45502</v>
      </c>
      <c r="J387" s="2">
        <f>WORKDAY.INTL(I387,IF(C387="MELHORIA MÉDIA",20,IF(OR(C387="MELHORIA PEQUENA",C387="BUG NÃO IMPEDITIVO"),5,2)),1,$X:$X)</f>
        <v>45509</v>
      </c>
      <c r="K387" t="str">
        <f>IF(H387&gt;J387,"ATRASO","NO PRAZO")</f>
        <v>NO PRAZO</v>
      </c>
    </row>
    <row r="388" spans="1:11">
      <c r="A388" s="1">
        <v>18458</v>
      </c>
      <c r="B388" t="s">
        <v>6</v>
      </c>
      <c r="C388" t="s">
        <v>7</v>
      </c>
      <c r="D388" s="1">
        <v>2645</v>
      </c>
      <c r="E388" s="1">
        <v>2024</v>
      </c>
      <c r="F388" s="2">
        <v>45544</v>
      </c>
      <c r="G388" s="2">
        <v>45546</v>
      </c>
      <c r="H388" s="2">
        <v>45551</v>
      </c>
      <c r="I388" s="2">
        <f>WORKDAY.INTL(F388,IF(OR(C388="MELHORIA PEQUENA",C388="MELHORIA MÉDIA"),3,1),1,ListaFeriados)</f>
        <v>45547</v>
      </c>
      <c r="J388" s="2">
        <f>WORKDAY.INTL(I388,IF(C388="MELHORIA MÉDIA",20,IF(OR(C388="MELHORIA PEQUENA",C388="BUG NÃO IMPEDITIVO"),5,2)),1,$X:$X)</f>
        <v>45554</v>
      </c>
      <c r="K388" t="str">
        <f>IF(H388&gt;J388,"ATRASO","NO PRAZO")</f>
        <v>NO PRAZO</v>
      </c>
    </row>
    <row r="389" spans="1:11">
      <c r="A389" s="1">
        <v>18459</v>
      </c>
      <c r="B389" t="s">
        <v>6</v>
      </c>
      <c r="C389" t="s">
        <v>7</v>
      </c>
      <c r="D389" s="1">
        <v>2646</v>
      </c>
      <c r="E389" s="1">
        <v>2024</v>
      </c>
      <c r="F389" s="2">
        <v>45545</v>
      </c>
      <c r="G389" s="2">
        <v>45546</v>
      </c>
      <c r="H389" s="2">
        <v>45551</v>
      </c>
      <c r="I389" s="2">
        <f>WORKDAY.INTL(F389,IF(OR(C389="MELHORIA PEQUENA",C389="MELHORIA MÉDIA"),3,1),1,ListaFeriados)</f>
        <v>45548</v>
      </c>
      <c r="J389" s="2">
        <f>WORKDAY.INTL(I389,IF(C389="MELHORIA MÉDIA",20,IF(OR(C389="MELHORIA PEQUENA",C389="BUG NÃO IMPEDITIVO"),5,2)),1,$X:$X)</f>
        <v>45555</v>
      </c>
      <c r="K389" t="str">
        <f>IF(H389&gt;J389,"ATRASO","NO PRAZO")</f>
        <v>NO PRAZO</v>
      </c>
    </row>
    <row r="390" spans="1:11">
      <c r="A390" s="1">
        <v>15954</v>
      </c>
      <c r="B390" t="s">
        <v>13</v>
      </c>
      <c r="C390" t="s">
        <v>7</v>
      </c>
      <c r="D390" s="1">
        <v>141</v>
      </c>
      <c r="E390" s="1">
        <v>2024</v>
      </c>
      <c r="F390" s="2">
        <v>45303</v>
      </c>
      <c r="G390" s="2">
        <v>45306</v>
      </c>
      <c r="H390" s="2">
        <v>45307</v>
      </c>
      <c r="I390" s="2">
        <f>WORKDAY.INTL(F390,IF(OR(C390="MELHORIA PEQUENA",C390="MELHORIA MÉDIA"),3,1),1,ListaFeriados)</f>
        <v>45308</v>
      </c>
      <c r="J390" s="2">
        <f>WORKDAY.INTL(I390,IF(C390="MELHORIA MÉDIA",20,IF(OR(C390="MELHORIA PEQUENA",C390="BUG NÃO IMPEDITIVO"),5,2)),1,$X:$X)</f>
        <v>45315</v>
      </c>
      <c r="K390" t="str">
        <f>IF(H390&gt;J390,"ATRASO","NO PRAZO")</f>
        <v>NO PRAZO</v>
      </c>
    </row>
    <row r="391" spans="1:11">
      <c r="A391" s="1">
        <v>15910</v>
      </c>
      <c r="B391" t="s">
        <v>9</v>
      </c>
      <c r="C391" t="s">
        <v>7</v>
      </c>
      <c r="D391" s="1">
        <v>97</v>
      </c>
      <c r="E391" s="1">
        <v>2024</v>
      </c>
      <c r="F391" s="2">
        <v>45300</v>
      </c>
      <c r="G391" s="2">
        <v>45301</v>
      </c>
      <c r="H391" s="2">
        <v>45301</v>
      </c>
      <c r="I391" s="2">
        <f>WORKDAY.INTL(F391,IF(OR(C391="MELHORIA PEQUENA",C391="MELHORIA MÉDIA"),3,1),1,ListaFeriados)</f>
        <v>45303</v>
      </c>
      <c r="J391" s="2">
        <f>WORKDAY.INTL(I391,IF(C391="MELHORIA MÉDIA",20,IF(OR(C391="MELHORIA PEQUENA",C391="BUG NÃO IMPEDITIVO"),5,2)),1,$X:$X)</f>
        <v>45310</v>
      </c>
      <c r="K391" t="str">
        <f>IF(H391&gt;J391,"ATRASO","NO PRAZO")</f>
        <v>NO PRAZO</v>
      </c>
    </row>
    <row r="392" spans="1:11">
      <c r="A392" s="1">
        <v>15876</v>
      </c>
      <c r="B392" t="s">
        <v>10</v>
      </c>
      <c r="C392" t="s">
        <v>7</v>
      </c>
      <c r="D392" s="1">
        <v>63</v>
      </c>
      <c r="E392" s="1">
        <v>2024</v>
      </c>
      <c r="F392" s="2">
        <v>45296</v>
      </c>
      <c r="G392" s="2">
        <v>45299</v>
      </c>
      <c r="H392" s="2">
        <v>45299</v>
      </c>
      <c r="I392" s="2">
        <f>WORKDAY.INTL(F392,IF(OR(C392="MELHORIA PEQUENA",C392="MELHORIA MÉDIA"),3,1),1,ListaFeriados)</f>
        <v>45301</v>
      </c>
      <c r="J392" s="2">
        <f>WORKDAY.INTL(I392,IF(C392="MELHORIA MÉDIA",20,IF(OR(C392="MELHORIA PEQUENA",C392="BUG NÃO IMPEDITIVO"),5,2)),1,$X:$X)</f>
        <v>45308</v>
      </c>
      <c r="K392" t="str">
        <f>IF(H392&gt;J392,"ATRASO","NO PRAZO")</f>
        <v>NO PRAZO</v>
      </c>
    </row>
    <row r="393" spans="1:11">
      <c r="A393" s="1">
        <v>15829</v>
      </c>
      <c r="B393" t="s">
        <v>6</v>
      </c>
      <c r="C393" t="s">
        <v>7</v>
      </c>
      <c r="D393" s="1">
        <v>16</v>
      </c>
      <c r="E393" s="1">
        <v>2024</v>
      </c>
      <c r="F393" s="2">
        <v>45294</v>
      </c>
      <c r="G393" s="2">
        <v>45295</v>
      </c>
      <c r="H393" s="2">
        <v>45296</v>
      </c>
      <c r="I393" s="2">
        <f>WORKDAY.INTL(F393,IF(OR(C393="MELHORIA PEQUENA",C393="MELHORIA MÉDIA"),3,1),1,ListaFeriados)</f>
        <v>45299</v>
      </c>
      <c r="J393" s="2">
        <f>WORKDAY.INTL(I393,IF(C393="MELHORIA MÉDIA",20,IF(OR(C393="MELHORIA PEQUENA",C393="BUG NÃO IMPEDITIVO"),5,2)),1,$X:$X)</f>
        <v>45306</v>
      </c>
      <c r="K393" t="str">
        <f>IF(H393&gt;J393,"ATRASO","NO PRAZO")</f>
        <v>NO PRAZO</v>
      </c>
    </row>
    <row r="394" spans="1:11">
      <c r="A394" s="1">
        <v>15905</v>
      </c>
      <c r="B394" t="s">
        <v>13</v>
      </c>
      <c r="C394" t="s">
        <v>7</v>
      </c>
      <c r="D394" s="1">
        <v>92</v>
      </c>
      <c r="E394" s="1">
        <v>2024</v>
      </c>
      <c r="F394" s="2">
        <v>45299</v>
      </c>
      <c r="G394" s="2">
        <v>45300</v>
      </c>
      <c r="H394" s="2">
        <v>45301</v>
      </c>
      <c r="I394" s="2">
        <f>WORKDAY.INTL(F394,IF(OR(C394="MELHORIA PEQUENA",C394="MELHORIA MÉDIA"),3,1),1,ListaFeriados)</f>
        <v>45302</v>
      </c>
      <c r="J394" s="2">
        <f>WORKDAY.INTL(I394,IF(C394="MELHORIA MÉDIA",20,IF(OR(C394="MELHORIA PEQUENA",C394="BUG NÃO IMPEDITIVO"),5,2)),1,$X:$X)</f>
        <v>45309</v>
      </c>
      <c r="K394" t="str">
        <f>IF(H394&gt;J394,"ATRASO","NO PRAZO")</f>
        <v>NO PRAZO</v>
      </c>
    </row>
    <row r="395" spans="1:11">
      <c r="A395" s="1">
        <v>15921</v>
      </c>
      <c r="B395" t="s">
        <v>6</v>
      </c>
      <c r="C395" t="s">
        <v>7</v>
      </c>
      <c r="D395" s="1">
        <v>108</v>
      </c>
      <c r="E395" s="1">
        <v>2024</v>
      </c>
      <c r="F395" s="2">
        <v>45301</v>
      </c>
      <c r="G395" s="2">
        <v>45302</v>
      </c>
      <c r="H395" s="2">
        <v>45306</v>
      </c>
      <c r="I395" s="2">
        <f>WORKDAY.INTL(F395,IF(OR(C395="MELHORIA PEQUENA",C395="MELHORIA MÉDIA"),3,1),1,ListaFeriados)</f>
        <v>45306</v>
      </c>
      <c r="J395" s="2">
        <f>WORKDAY.INTL(I395,IF(C395="MELHORIA MÉDIA",20,IF(OR(C395="MELHORIA PEQUENA",C395="BUG NÃO IMPEDITIVO"),5,2)),1,$X:$X)</f>
        <v>45313</v>
      </c>
      <c r="K395" t="str">
        <f>IF(H395&gt;J395,"ATRASO","NO PRAZO")</f>
        <v>NO PRAZO</v>
      </c>
    </row>
    <row r="396" spans="1:11">
      <c r="A396" s="1">
        <v>15824</v>
      </c>
      <c r="B396" t="s">
        <v>9</v>
      </c>
      <c r="C396" t="s">
        <v>7</v>
      </c>
      <c r="D396" s="1">
        <v>11</v>
      </c>
      <c r="E396" s="1">
        <v>2024</v>
      </c>
      <c r="F396" s="2">
        <v>45294</v>
      </c>
      <c r="G396" s="2">
        <v>45294</v>
      </c>
      <c r="H396" s="2">
        <v>45295</v>
      </c>
      <c r="I396" s="2">
        <f>WORKDAY.INTL(F396,IF(OR(C396="MELHORIA PEQUENA",C396="MELHORIA MÉDIA"),3,1),1,ListaFeriados)</f>
        <v>45299</v>
      </c>
      <c r="J396" s="2">
        <f>WORKDAY.INTL(I396,IF(C396="MELHORIA MÉDIA",20,IF(OR(C396="MELHORIA PEQUENA",C396="BUG NÃO IMPEDITIVO"),5,2)),1,$X:$X)</f>
        <v>45306</v>
      </c>
      <c r="K396" t="str">
        <f>IF(H396&gt;J396,"ATRASO","NO PRAZO")</f>
        <v>NO PRAZO</v>
      </c>
    </row>
    <row r="397" spans="1:11">
      <c r="A397" s="1">
        <v>15912</v>
      </c>
      <c r="B397" t="s">
        <v>9</v>
      </c>
      <c r="C397" t="s">
        <v>7</v>
      </c>
      <c r="D397" s="1">
        <v>99</v>
      </c>
      <c r="E397" s="1">
        <v>2024</v>
      </c>
      <c r="F397" s="2">
        <v>45300</v>
      </c>
      <c r="G397" s="2">
        <v>45301</v>
      </c>
      <c r="H397" s="2">
        <v>45301</v>
      </c>
      <c r="I397" s="2">
        <f>WORKDAY.INTL(F397,IF(OR(C397="MELHORIA PEQUENA",C397="MELHORIA MÉDIA"),3,1),1,ListaFeriados)</f>
        <v>45303</v>
      </c>
      <c r="J397" s="2">
        <f>WORKDAY.INTL(I397,IF(C397="MELHORIA MÉDIA",20,IF(OR(C397="MELHORIA PEQUENA",C397="BUG NÃO IMPEDITIVO"),5,2)),1,$X:$X)</f>
        <v>45310</v>
      </c>
      <c r="K397" t="str">
        <f>IF(H397&gt;J397,"ATRASO","NO PRAZO")</f>
        <v>NO PRAZO</v>
      </c>
    </row>
    <row r="398" spans="1:11">
      <c r="A398" s="1">
        <v>16029</v>
      </c>
      <c r="B398" t="s">
        <v>14</v>
      </c>
      <c r="C398" t="s">
        <v>7</v>
      </c>
      <c r="D398" s="1">
        <v>216</v>
      </c>
      <c r="E398" s="1">
        <v>2024</v>
      </c>
      <c r="F398" s="2">
        <v>45310</v>
      </c>
      <c r="G398" s="2">
        <v>45310</v>
      </c>
      <c r="H398" s="2">
        <v>45310</v>
      </c>
      <c r="I398" s="2">
        <f>WORKDAY.INTL(F398,IF(OR(C398="MELHORIA PEQUENA",C398="MELHORIA MÉDIA"),3,1),1,ListaFeriados)</f>
        <v>45315</v>
      </c>
      <c r="J398" s="2">
        <f>WORKDAY.INTL(I398,IF(C398="MELHORIA MÉDIA",20,IF(OR(C398="MELHORIA PEQUENA",C398="BUG NÃO IMPEDITIVO"),5,2)),1,$X:$X)</f>
        <v>45322</v>
      </c>
      <c r="K398" t="str">
        <f>IF(H398&gt;J398,"ATRASO","NO PRAZO")</f>
        <v>NO PRAZO</v>
      </c>
    </row>
    <row r="399" spans="1:11">
      <c r="A399" s="1">
        <v>15923</v>
      </c>
      <c r="B399" t="s">
        <v>8</v>
      </c>
      <c r="C399" t="s">
        <v>7</v>
      </c>
      <c r="D399" s="1">
        <v>110</v>
      </c>
      <c r="E399" s="1">
        <v>2024</v>
      </c>
      <c r="F399" s="2">
        <v>45301</v>
      </c>
      <c r="G399" s="2">
        <v>45302</v>
      </c>
      <c r="H399" s="2">
        <v>45308</v>
      </c>
      <c r="I399" s="2">
        <f>WORKDAY.INTL(F399,IF(OR(C399="MELHORIA PEQUENA",C399="MELHORIA MÉDIA"),3,1),1,ListaFeriados)</f>
        <v>45306</v>
      </c>
      <c r="J399" s="2">
        <f>WORKDAY.INTL(I399,IF(C399="MELHORIA MÉDIA",20,IF(OR(C399="MELHORIA PEQUENA",C399="BUG NÃO IMPEDITIVO"),5,2)),1,$X:$X)</f>
        <v>45313</v>
      </c>
      <c r="K399" t="str">
        <f>IF(H399&gt;J399,"ATRASO","NO PRAZO")</f>
        <v>NO PRAZO</v>
      </c>
    </row>
    <row r="400" spans="1:11">
      <c r="A400" s="1">
        <v>16401</v>
      </c>
      <c r="B400" t="s">
        <v>8</v>
      </c>
      <c r="C400" t="s">
        <v>7</v>
      </c>
      <c r="D400" s="1">
        <v>588</v>
      </c>
      <c r="E400" s="1">
        <v>2024</v>
      </c>
      <c r="F400" s="2">
        <v>45342</v>
      </c>
      <c r="G400" s="2">
        <v>45343</v>
      </c>
      <c r="H400" s="2">
        <v>45345</v>
      </c>
      <c r="I400" s="2">
        <f>WORKDAY.INTL(F400,IF(OR(C400="MELHORIA PEQUENA",C400="MELHORIA MÉDIA"),3,1),1,ListaFeriados)</f>
        <v>45345</v>
      </c>
      <c r="J400" s="2">
        <f>WORKDAY.INTL(I400,IF(C400="MELHORIA MÉDIA",20,IF(OR(C400="MELHORIA PEQUENA",C400="BUG NÃO IMPEDITIVO"),5,2)),1,$X:$X)</f>
        <v>45355</v>
      </c>
      <c r="K400" t="str">
        <f>IF(H400&gt;J400,"ATRASO","NO PRAZO")</f>
        <v>NO PRAZO</v>
      </c>
    </row>
    <row r="401" spans="1:11">
      <c r="A401" s="1">
        <v>16587</v>
      </c>
      <c r="B401" t="s">
        <v>8</v>
      </c>
      <c r="C401" t="s">
        <v>7</v>
      </c>
      <c r="D401" s="1">
        <v>774</v>
      </c>
      <c r="E401" s="1">
        <v>2024</v>
      </c>
      <c r="F401" s="2">
        <v>45356</v>
      </c>
      <c r="G401" s="2">
        <v>45357</v>
      </c>
      <c r="H401" s="2">
        <v>45362</v>
      </c>
      <c r="I401" s="2">
        <f>WORKDAY.INTL(F401,IF(OR(C401="MELHORIA PEQUENA",C401="MELHORIA MÉDIA"),3,1),1,ListaFeriados)</f>
        <v>45359</v>
      </c>
      <c r="J401" s="2">
        <f>WORKDAY.INTL(I401,IF(C401="MELHORIA MÉDIA",20,IF(OR(C401="MELHORIA PEQUENA",C401="BUG NÃO IMPEDITIVO"),5,2)),1,$X:$X)</f>
        <v>45366</v>
      </c>
      <c r="K401" t="str">
        <f>IF(H401&gt;J401,"ATRASO","NO PRAZO")</f>
        <v>NO PRAZO</v>
      </c>
    </row>
    <row r="402" spans="1:11">
      <c r="A402" s="1">
        <v>16537</v>
      </c>
      <c r="B402" t="s">
        <v>6</v>
      </c>
      <c r="C402" t="s">
        <v>7</v>
      </c>
      <c r="D402" s="1">
        <v>724</v>
      </c>
      <c r="E402" s="1">
        <v>2024</v>
      </c>
      <c r="F402" s="2">
        <v>45351</v>
      </c>
      <c r="G402" s="2">
        <v>45352</v>
      </c>
      <c r="H402" s="2">
        <v>45355</v>
      </c>
      <c r="I402" s="2">
        <f>WORKDAY.INTL(F402,IF(OR(C402="MELHORIA PEQUENA",C402="MELHORIA MÉDIA"),3,1),1,ListaFeriados)</f>
        <v>45357</v>
      </c>
      <c r="J402" s="2">
        <f>WORKDAY.INTL(I402,IF(C402="MELHORIA MÉDIA",20,IF(OR(C402="MELHORIA PEQUENA",C402="BUG NÃO IMPEDITIVO"),5,2)),1,$X:$X)</f>
        <v>45364</v>
      </c>
      <c r="K402" t="str">
        <f>IF(H402&gt;J402,"ATRASO","NO PRAZO")</f>
        <v>NO PRAZO</v>
      </c>
    </row>
    <row r="403" spans="1:11">
      <c r="A403" s="1">
        <v>16816</v>
      </c>
      <c r="B403" t="s">
        <v>6</v>
      </c>
      <c r="C403" t="s">
        <v>7</v>
      </c>
      <c r="D403" s="1">
        <v>1003</v>
      </c>
      <c r="E403" s="1">
        <v>2024</v>
      </c>
      <c r="F403" s="2">
        <v>45370</v>
      </c>
      <c r="G403" s="2">
        <v>45371</v>
      </c>
      <c r="H403" s="2">
        <v>45372</v>
      </c>
      <c r="I403" s="2">
        <f>WORKDAY.INTL(F403,IF(OR(C403="MELHORIA PEQUENA",C403="MELHORIA MÉDIA"),3,1),1,ListaFeriados)</f>
        <v>45373</v>
      </c>
      <c r="J403" s="2">
        <f>WORKDAY.INTL(I403,IF(C403="MELHORIA MÉDIA",20,IF(OR(C403="MELHORIA PEQUENA",C403="BUG NÃO IMPEDITIVO"),5,2)),1,$X:$X)</f>
        <v>45383</v>
      </c>
      <c r="K403" t="str">
        <f>IF(H403&gt;J403,"ATRASO","NO PRAZO")</f>
        <v>NO PRAZO</v>
      </c>
    </row>
    <row r="404" spans="1:11">
      <c r="A404" s="1">
        <v>16142</v>
      </c>
      <c r="B404" t="s">
        <v>6</v>
      </c>
      <c r="C404" t="s">
        <v>7</v>
      </c>
      <c r="D404" s="1">
        <v>329</v>
      </c>
      <c r="E404" s="1">
        <v>2024</v>
      </c>
      <c r="F404" s="2">
        <v>45322</v>
      </c>
      <c r="G404" s="2">
        <v>45323</v>
      </c>
      <c r="H404" s="2">
        <v>45328</v>
      </c>
      <c r="I404" s="2">
        <f>WORKDAY.INTL(F404,IF(OR(C404="MELHORIA PEQUENA",C404="MELHORIA MÉDIA"),3,1),1,ListaFeriados)</f>
        <v>45327</v>
      </c>
      <c r="J404" s="2">
        <f>WORKDAY.INTL(I404,IF(C404="MELHORIA MÉDIA",20,IF(OR(C404="MELHORIA PEQUENA",C404="BUG NÃO IMPEDITIVO"),5,2)),1,$X:$X)</f>
        <v>45336</v>
      </c>
      <c r="K404" t="str">
        <f>IF(H404&gt;J404,"ATRASO","NO PRAZO")</f>
        <v>NO PRAZO</v>
      </c>
    </row>
    <row r="405" spans="1:11">
      <c r="A405" s="1">
        <v>16576</v>
      </c>
      <c r="B405" t="s">
        <v>8</v>
      </c>
      <c r="C405" t="s">
        <v>7</v>
      </c>
      <c r="D405" s="1">
        <v>763</v>
      </c>
      <c r="E405" s="1">
        <v>2024</v>
      </c>
      <c r="F405" s="2">
        <v>45355</v>
      </c>
      <c r="G405" s="2">
        <v>45356</v>
      </c>
      <c r="H405" s="2">
        <v>45356</v>
      </c>
      <c r="I405" s="2">
        <f>WORKDAY.INTL(F405,IF(OR(C405="MELHORIA PEQUENA",C405="MELHORIA MÉDIA"),3,1),1,ListaFeriados)</f>
        <v>45358</v>
      </c>
      <c r="J405" s="2">
        <f>WORKDAY.INTL(I405,IF(C405="MELHORIA MÉDIA",20,IF(OR(C405="MELHORIA PEQUENA",C405="BUG NÃO IMPEDITIVO"),5,2)),1,$X:$X)</f>
        <v>45365</v>
      </c>
      <c r="K405" t="str">
        <f>IF(H405&gt;J405,"ATRASO","NO PRAZO")</f>
        <v>NO PRAZO</v>
      </c>
    </row>
    <row r="406" spans="1:11">
      <c r="A406" s="1">
        <v>16678</v>
      </c>
      <c r="B406" t="s">
        <v>8</v>
      </c>
      <c r="C406" t="s">
        <v>7</v>
      </c>
      <c r="D406" s="1">
        <v>865</v>
      </c>
      <c r="E406" s="1">
        <v>2024</v>
      </c>
      <c r="F406" s="2">
        <v>45362</v>
      </c>
      <c r="G406" s="2">
        <v>45362</v>
      </c>
      <c r="H406" s="2">
        <v>45362</v>
      </c>
      <c r="I406" s="2">
        <f>WORKDAY.INTL(F406,IF(OR(C406="MELHORIA PEQUENA",C406="MELHORIA MÉDIA"),3,1),1,ListaFeriados)</f>
        <v>45365</v>
      </c>
      <c r="J406" s="2">
        <f>WORKDAY.INTL(I406,IF(C406="MELHORIA MÉDIA",20,IF(OR(C406="MELHORIA PEQUENA",C406="BUG NÃO IMPEDITIVO"),5,2)),1,$X:$X)</f>
        <v>45372</v>
      </c>
      <c r="K406" t="str">
        <f>IF(H406&gt;J406,"ATRASO","NO PRAZO")</f>
        <v>NO PRAZO</v>
      </c>
    </row>
    <row r="407" spans="1:11">
      <c r="A407" s="1">
        <v>16690</v>
      </c>
      <c r="B407" t="s">
        <v>13</v>
      </c>
      <c r="C407" t="s">
        <v>7</v>
      </c>
      <c r="D407" s="1">
        <v>877</v>
      </c>
      <c r="E407" s="1">
        <v>2024</v>
      </c>
      <c r="F407" s="2">
        <v>45363</v>
      </c>
      <c r="G407" s="2">
        <v>45370</v>
      </c>
      <c r="H407" s="2">
        <v>45370</v>
      </c>
      <c r="I407" s="2">
        <f>WORKDAY.INTL(F407,IF(OR(C407="MELHORIA PEQUENA",C407="MELHORIA MÉDIA"),3,1),1,ListaFeriados)</f>
        <v>45366</v>
      </c>
      <c r="J407" s="2">
        <f>WORKDAY.INTL(I407,IF(C407="MELHORIA MÉDIA",20,IF(OR(C407="MELHORIA PEQUENA",C407="BUG NÃO IMPEDITIVO"),5,2)),1,$X:$X)</f>
        <v>45373</v>
      </c>
      <c r="K407" t="str">
        <f>IF(H407&gt;J407,"ATRASO","NO PRAZO")</f>
        <v>NO PRAZO</v>
      </c>
    </row>
    <row r="408" spans="1:11">
      <c r="A408" s="1">
        <v>16676</v>
      </c>
      <c r="B408" t="s">
        <v>8</v>
      </c>
      <c r="C408" t="s">
        <v>7</v>
      </c>
      <c r="D408" s="1">
        <v>863</v>
      </c>
      <c r="E408" s="1">
        <v>2024</v>
      </c>
      <c r="F408" s="2">
        <v>45362</v>
      </c>
      <c r="G408" s="2">
        <v>45363</v>
      </c>
      <c r="H408" s="2">
        <v>45364</v>
      </c>
      <c r="I408" s="2">
        <f>WORKDAY.INTL(F408,IF(OR(C408="MELHORIA PEQUENA",C408="MELHORIA MÉDIA"),3,1),1,ListaFeriados)</f>
        <v>45365</v>
      </c>
      <c r="J408" s="2">
        <f>WORKDAY.INTL(I408,IF(C408="MELHORIA MÉDIA",20,IF(OR(C408="MELHORIA PEQUENA",C408="BUG NÃO IMPEDITIVO"),5,2)),1,$X:$X)</f>
        <v>45372</v>
      </c>
      <c r="K408" t="str">
        <f>IF(H408&gt;J408,"ATRASO","NO PRAZO")</f>
        <v>NO PRAZO</v>
      </c>
    </row>
    <row r="409" spans="1:11">
      <c r="A409" s="1">
        <v>16911</v>
      </c>
      <c r="B409" t="s">
        <v>11</v>
      </c>
      <c r="C409" t="s">
        <v>7</v>
      </c>
      <c r="D409" s="1">
        <v>1098</v>
      </c>
      <c r="E409" s="1">
        <v>2024</v>
      </c>
      <c r="F409" s="2">
        <v>45377</v>
      </c>
      <c r="G409" s="2">
        <v>45377</v>
      </c>
      <c r="H409" s="2">
        <v>45378</v>
      </c>
      <c r="I409" s="2">
        <f>WORKDAY.INTL(F409,IF(OR(C409="MELHORIA PEQUENA",C409="MELHORIA MÉDIA"),3,1),1,ListaFeriados)</f>
        <v>45383</v>
      </c>
      <c r="J409" s="2">
        <f>WORKDAY.INTL(I409,IF(C409="MELHORIA MÉDIA",20,IF(OR(C409="MELHORIA PEQUENA",C409="BUG NÃO IMPEDITIVO"),5,2)),1,$X:$X)</f>
        <v>45390</v>
      </c>
      <c r="K409" t="str">
        <f>IF(H409&gt;J409,"ATRASO","NO PRAZO")</f>
        <v>NO PRAZO</v>
      </c>
    </row>
    <row r="410" spans="1:11">
      <c r="A410" s="1">
        <v>16847</v>
      </c>
      <c r="B410" t="s">
        <v>13</v>
      </c>
      <c r="C410" t="s">
        <v>7</v>
      </c>
      <c r="D410" s="1">
        <v>1034</v>
      </c>
      <c r="E410" s="1">
        <v>2024</v>
      </c>
      <c r="F410" s="2">
        <v>45371</v>
      </c>
      <c r="G410" s="2">
        <v>45372</v>
      </c>
      <c r="H410" s="2">
        <v>45376</v>
      </c>
      <c r="I410" s="2">
        <f>WORKDAY.INTL(F410,IF(OR(C410="MELHORIA PEQUENA",C410="MELHORIA MÉDIA"),3,1),1,ListaFeriados)</f>
        <v>45376</v>
      </c>
      <c r="J410" s="2">
        <f>WORKDAY.INTL(I410,IF(C410="MELHORIA MÉDIA",20,IF(OR(C410="MELHORIA PEQUENA",C410="BUG NÃO IMPEDITIVO"),5,2)),1,$X:$X)</f>
        <v>45384</v>
      </c>
      <c r="K410" t="str">
        <f>IF(H410&gt;J410,"ATRASO","NO PRAZO")</f>
        <v>NO PRAZO</v>
      </c>
    </row>
    <row r="411" spans="1:11">
      <c r="A411" s="1">
        <v>16003</v>
      </c>
      <c r="B411" t="s">
        <v>9</v>
      </c>
      <c r="C411" t="s">
        <v>7</v>
      </c>
      <c r="D411" s="1">
        <v>190</v>
      </c>
      <c r="E411" s="1">
        <v>2024</v>
      </c>
      <c r="F411" s="2">
        <v>45307</v>
      </c>
      <c r="G411" s="2">
        <v>45308</v>
      </c>
      <c r="H411" s="2">
        <v>45313</v>
      </c>
      <c r="I411" s="2">
        <f>WORKDAY.INTL(F411,IF(OR(C411="MELHORIA PEQUENA",C411="MELHORIA MÉDIA"),3,1),1,ListaFeriados)</f>
        <v>45310</v>
      </c>
      <c r="J411" s="2">
        <f>WORKDAY.INTL(I411,IF(C411="MELHORIA MÉDIA",20,IF(OR(C411="MELHORIA PEQUENA",C411="BUG NÃO IMPEDITIVO"),5,2)),1,$X:$X)</f>
        <v>45317</v>
      </c>
      <c r="K411" t="str">
        <f>IF(H411&gt;J411,"ATRASO","NO PRAZO")</f>
        <v>NO PRAZO</v>
      </c>
    </row>
    <row r="412" spans="1:11">
      <c r="A412" s="1">
        <v>16463</v>
      </c>
      <c r="B412" t="s">
        <v>8</v>
      </c>
      <c r="C412" t="s">
        <v>7</v>
      </c>
      <c r="D412" s="1">
        <v>650</v>
      </c>
      <c r="E412" s="1">
        <v>2024</v>
      </c>
      <c r="F412" s="2">
        <v>45348</v>
      </c>
      <c r="G412" s="2">
        <v>45355</v>
      </c>
      <c r="H412" s="2">
        <v>45355</v>
      </c>
      <c r="I412" s="2">
        <f>WORKDAY.INTL(F412,IF(OR(C412="MELHORIA PEQUENA",C412="MELHORIA MÉDIA"),3,1),1,ListaFeriados)</f>
        <v>45351</v>
      </c>
      <c r="J412" s="2">
        <f>WORKDAY.INTL(I412,IF(C412="MELHORIA MÉDIA",20,IF(OR(C412="MELHORIA PEQUENA",C412="BUG NÃO IMPEDITIVO"),5,2)),1,$X:$X)</f>
        <v>45359</v>
      </c>
      <c r="K412" t="str">
        <f>IF(H412&gt;J412,"ATRASO","NO PRAZO")</f>
        <v>NO PRAZO</v>
      </c>
    </row>
    <row r="413" spans="1:11">
      <c r="A413" s="1">
        <v>16765</v>
      </c>
      <c r="B413" t="s">
        <v>6</v>
      </c>
      <c r="C413" t="s">
        <v>7</v>
      </c>
      <c r="D413" s="1">
        <v>952</v>
      </c>
      <c r="E413" s="1">
        <v>2024</v>
      </c>
      <c r="F413" s="2">
        <v>45366</v>
      </c>
      <c r="G413" s="2">
        <v>45369</v>
      </c>
      <c r="H413" s="2">
        <v>45373</v>
      </c>
      <c r="I413" s="2">
        <f>WORKDAY.INTL(F413,IF(OR(C413="MELHORIA PEQUENA",C413="MELHORIA MÉDIA"),3,1),1,ListaFeriados)</f>
        <v>45371</v>
      </c>
      <c r="J413" s="2">
        <f>WORKDAY.INTL(I413,IF(C413="MELHORIA MÉDIA",20,IF(OR(C413="MELHORIA PEQUENA",C413="BUG NÃO IMPEDITIVO"),5,2)),1,$X:$X)</f>
        <v>45378</v>
      </c>
      <c r="K413" t="str">
        <f>IF(H413&gt;J413,"ATRASO","NO PRAZO")</f>
        <v>NO PRAZO</v>
      </c>
    </row>
    <row r="414" spans="1:11">
      <c r="A414" s="1">
        <v>16774</v>
      </c>
      <c r="B414" t="s">
        <v>9</v>
      </c>
      <c r="C414" t="s">
        <v>7</v>
      </c>
      <c r="D414" s="1">
        <v>961</v>
      </c>
      <c r="E414" s="1">
        <v>2024</v>
      </c>
      <c r="F414" s="2">
        <v>45366</v>
      </c>
      <c r="G414" s="2">
        <v>45369</v>
      </c>
      <c r="H414" s="2">
        <v>45372</v>
      </c>
      <c r="I414" s="2">
        <f>WORKDAY.INTL(F414,IF(OR(C414="MELHORIA PEQUENA",C414="MELHORIA MÉDIA"),3,1),1,ListaFeriados)</f>
        <v>45371</v>
      </c>
      <c r="J414" s="2">
        <f>WORKDAY.INTL(I414,IF(C414="MELHORIA MÉDIA",20,IF(OR(C414="MELHORIA PEQUENA",C414="BUG NÃO IMPEDITIVO"),5,2)),1,$X:$X)</f>
        <v>45378</v>
      </c>
      <c r="K414" t="str">
        <f>IF(H414&gt;J414,"ATRASO","NO PRAZO")</f>
        <v>NO PRAZO</v>
      </c>
    </row>
    <row r="415" spans="1:11">
      <c r="A415" s="1">
        <v>16665</v>
      </c>
      <c r="B415" t="s">
        <v>6</v>
      </c>
      <c r="C415" t="s">
        <v>7</v>
      </c>
      <c r="D415" s="1">
        <v>852</v>
      </c>
      <c r="E415" s="1">
        <v>2024</v>
      </c>
      <c r="F415" s="2">
        <v>45362</v>
      </c>
      <c r="G415" s="2">
        <v>45362</v>
      </c>
      <c r="H415" s="2">
        <v>45362</v>
      </c>
      <c r="I415" s="2">
        <f>WORKDAY.INTL(F415,IF(OR(C415="MELHORIA PEQUENA",C415="MELHORIA MÉDIA"),3,1),1,ListaFeriados)</f>
        <v>45365</v>
      </c>
      <c r="J415" s="2">
        <f>WORKDAY.INTL(I415,IF(C415="MELHORIA MÉDIA",20,IF(OR(C415="MELHORIA PEQUENA",C415="BUG NÃO IMPEDITIVO"),5,2)),1,$X:$X)</f>
        <v>45372</v>
      </c>
      <c r="K415" t="str">
        <f>IF(H415&gt;J415,"ATRASO","NO PRAZO")</f>
        <v>NO PRAZO</v>
      </c>
    </row>
    <row r="416" spans="1:11">
      <c r="A416" s="1">
        <v>16664</v>
      </c>
      <c r="B416" t="s">
        <v>6</v>
      </c>
      <c r="C416" t="s">
        <v>7</v>
      </c>
      <c r="D416" s="1">
        <v>851</v>
      </c>
      <c r="E416" s="1">
        <v>2024</v>
      </c>
      <c r="F416" s="2">
        <v>45362</v>
      </c>
      <c r="G416" s="2">
        <v>45362</v>
      </c>
      <c r="H416" s="2">
        <v>45362</v>
      </c>
      <c r="I416" s="2">
        <f>WORKDAY.INTL(F416,IF(OR(C416="MELHORIA PEQUENA",C416="MELHORIA MÉDIA"),3,1),1,ListaFeriados)</f>
        <v>45365</v>
      </c>
      <c r="J416" s="2">
        <f>WORKDAY.INTL(I416,IF(C416="MELHORIA MÉDIA",20,IF(OR(C416="MELHORIA PEQUENA",C416="BUG NÃO IMPEDITIVO"),5,2)),1,$X:$X)</f>
        <v>45372</v>
      </c>
      <c r="K416" t="str">
        <f>IF(H416&gt;J416,"ATRASO","NO PRAZO")</f>
        <v>NO PRAZO</v>
      </c>
    </row>
    <row r="417" spans="1:11">
      <c r="A417" s="1">
        <v>16849</v>
      </c>
      <c r="B417" t="s">
        <v>8</v>
      </c>
      <c r="C417" t="s">
        <v>7</v>
      </c>
      <c r="D417" s="1">
        <v>1036</v>
      </c>
      <c r="E417" s="1">
        <v>2024</v>
      </c>
      <c r="F417" s="2">
        <v>45371</v>
      </c>
      <c r="G417" s="2">
        <v>45372</v>
      </c>
      <c r="H417" s="2">
        <v>45373</v>
      </c>
      <c r="I417" s="2">
        <f>WORKDAY.INTL(F417,IF(OR(C417="MELHORIA PEQUENA",C417="MELHORIA MÉDIA"),3,1),1,ListaFeriados)</f>
        <v>45376</v>
      </c>
      <c r="J417" s="2">
        <f>WORKDAY.INTL(I417,IF(C417="MELHORIA MÉDIA",20,IF(OR(C417="MELHORIA PEQUENA",C417="BUG NÃO IMPEDITIVO"),5,2)),1,$X:$X)</f>
        <v>45384</v>
      </c>
      <c r="K417" t="str">
        <f>IF(H417&gt;J417,"ATRASO","NO PRAZO")</f>
        <v>NO PRAZO</v>
      </c>
    </row>
    <row r="418" spans="1:11">
      <c r="A418" s="1">
        <v>16876</v>
      </c>
      <c r="B418" t="s">
        <v>9</v>
      </c>
      <c r="C418" t="s">
        <v>7</v>
      </c>
      <c r="D418" s="1">
        <v>1063</v>
      </c>
      <c r="E418" s="1">
        <v>2024</v>
      </c>
      <c r="F418" s="2">
        <v>45373</v>
      </c>
      <c r="G418" s="2">
        <v>45373</v>
      </c>
      <c r="H418" s="2">
        <v>45377</v>
      </c>
      <c r="I418" s="2">
        <f>WORKDAY.INTL(F418,IF(OR(C418="MELHORIA PEQUENA",C418="MELHORIA MÉDIA"),3,1),1,ListaFeriados)</f>
        <v>45378</v>
      </c>
      <c r="J418" s="2">
        <f>WORKDAY.INTL(I418,IF(C418="MELHORIA MÉDIA",20,IF(OR(C418="MELHORIA PEQUENA",C418="BUG NÃO IMPEDITIVO"),5,2)),1,$X:$X)</f>
        <v>45386</v>
      </c>
      <c r="K418" t="str">
        <f>IF(H418&gt;J418,"ATRASO","NO PRAZO")</f>
        <v>NO PRAZO</v>
      </c>
    </row>
    <row r="419" spans="1:11">
      <c r="A419" s="1">
        <v>16199</v>
      </c>
      <c r="B419" t="s">
        <v>9</v>
      </c>
      <c r="C419" t="s">
        <v>7</v>
      </c>
      <c r="D419" s="1">
        <v>386</v>
      </c>
      <c r="E419" s="1">
        <v>2024</v>
      </c>
      <c r="F419" s="2">
        <v>45328</v>
      </c>
      <c r="G419" s="2">
        <v>45329</v>
      </c>
      <c r="H419" s="2">
        <v>45330</v>
      </c>
      <c r="I419" s="2">
        <f>WORKDAY.INTL(F419,IF(OR(C419="MELHORIA PEQUENA",C419="MELHORIA MÉDIA"),3,1),1,ListaFeriados)</f>
        <v>45331</v>
      </c>
      <c r="J419" s="2">
        <f>WORKDAY.INTL(I419,IF(C419="MELHORIA MÉDIA",20,IF(OR(C419="MELHORIA PEQUENA",C419="BUG NÃO IMPEDITIVO"),5,2)),1,$X:$X)</f>
        <v>45342</v>
      </c>
      <c r="K419" t="str">
        <f>IF(H419&gt;J419,"ATRASO","NO PRAZO")</f>
        <v>NO PRAZO</v>
      </c>
    </row>
    <row r="420" spans="1:11">
      <c r="A420" s="1">
        <v>16600</v>
      </c>
      <c r="B420" t="s">
        <v>6</v>
      </c>
      <c r="C420" t="s">
        <v>7</v>
      </c>
      <c r="D420" s="1">
        <v>787</v>
      </c>
      <c r="E420" s="1">
        <v>2024</v>
      </c>
      <c r="F420" s="2">
        <v>45356</v>
      </c>
      <c r="G420" s="2">
        <v>45356</v>
      </c>
      <c r="H420" s="2">
        <v>45358</v>
      </c>
      <c r="I420" s="2">
        <f>WORKDAY.INTL(F420,IF(OR(C420="MELHORIA PEQUENA",C420="MELHORIA MÉDIA"),3,1),1,ListaFeriados)</f>
        <v>45359</v>
      </c>
      <c r="J420" s="2">
        <f>WORKDAY.INTL(I420,IF(C420="MELHORIA MÉDIA",20,IF(OR(C420="MELHORIA PEQUENA",C420="BUG NÃO IMPEDITIVO"),5,2)),1,$X:$X)</f>
        <v>45366</v>
      </c>
      <c r="K420" t="str">
        <f>IF(H420&gt;J420,"ATRASO","NO PRAZO")</f>
        <v>NO PRAZO</v>
      </c>
    </row>
    <row r="421" spans="1:11">
      <c r="A421" s="1">
        <v>17221</v>
      </c>
      <c r="B421" t="s">
        <v>9</v>
      </c>
      <c r="C421" t="s">
        <v>7</v>
      </c>
      <c r="D421" s="1">
        <v>1408</v>
      </c>
      <c r="E421" s="1">
        <v>2024</v>
      </c>
      <c r="F421" s="2">
        <v>45404</v>
      </c>
      <c r="G421" s="2">
        <v>45406</v>
      </c>
      <c r="H421" s="2">
        <v>45407</v>
      </c>
      <c r="I421" s="2">
        <f>WORKDAY.INTL(F421,IF(OR(C421="MELHORIA PEQUENA",C421="MELHORIA MÉDIA"),3,1),1,ListaFeriados)</f>
        <v>45408</v>
      </c>
      <c r="J421" s="2">
        <f>WORKDAY.INTL(I421,IF(C421="MELHORIA MÉDIA",20,IF(OR(C421="MELHORIA PEQUENA",C421="BUG NÃO IMPEDITIVO"),5,2)),1,$X:$X)</f>
        <v>45418</v>
      </c>
      <c r="K421" t="str">
        <f>IF(H421&gt;J421,"ATRASO","NO PRAZO")</f>
        <v>NO PRAZO</v>
      </c>
    </row>
    <row r="422" spans="1:11">
      <c r="A422" s="1">
        <v>17190</v>
      </c>
      <c r="B422" t="s">
        <v>10</v>
      </c>
      <c r="C422" t="s">
        <v>7</v>
      </c>
      <c r="D422" s="1">
        <v>1377</v>
      </c>
      <c r="E422" s="1">
        <v>2024</v>
      </c>
      <c r="F422" s="2">
        <v>45400</v>
      </c>
      <c r="G422" s="2">
        <v>45400</v>
      </c>
      <c r="H422" s="2">
        <v>45401</v>
      </c>
      <c r="I422" s="2">
        <f>WORKDAY.INTL(F422,IF(OR(C422="MELHORIA PEQUENA",C422="MELHORIA MÉDIA"),3,1),1,ListaFeriados)</f>
        <v>45406</v>
      </c>
      <c r="J422" s="2">
        <f>WORKDAY.INTL(I422,IF(C422="MELHORIA MÉDIA",20,IF(OR(C422="MELHORIA PEQUENA",C422="BUG NÃO IMPEDITIVO"),5,2)),1,$X:$X)</f>
        <v>45414</v>
      </c>
      <c r="K422" t="str">
        <f>IF(H422&gt;J422,"ATRASO","NO PRAZO")</f>
        <v>NO PRAZO</v>
      </c>
    </row>
    <row r="423" spans="1:11">
      <c r="A423" s="1">
        <v>17042</v>
      </c>
      <c r="B423" t="s">
        <v>9</v>
      </c>
      <c r="C423" t="s">
        <v>7</v>
      </c>
      <c r="D423" s="1">
        <v>1229</v>
      </c>
      <c r="E423" s="1">
        <v>2024</v>
      </c>
      <c r="F423" s="2">
        <v>45391</v>
      </c>
      <c r="G423" s="2">
        <v>45394</v>
      </c>
      <c r="H423" s="2">
        <v>45398</v>
      </c>
      <c r="I423" s="2">
        <f>WORKDAY.INTL(F423,IF(OR(C423="MELHORIA PEQUENA",C423="MELHORIA MÉDIA"),3,1),1,ListaFeriados)</f>
        <v>45394</v>
      </c>
      <c r="J423" s="2">
        <f>WORKDAY.INTL(I423,IF(C423="MELHORIA MÉDIA",20,IF(OR(C423="MELHORIA PEQUENA",C423="BUG NÃO IMPEDITIVO"),5,2)),1,$X:$X)</f>
        <v>45401</v>
      </c>
      <c r="K423" t="str">
        <f>IF(H423&gt;J423,"ATRASO","NO PRAZO")</f>
        <v>NO PRAZO</v>
      </c>
    </row>
    <row r="424" spans="1:11">
      <c r="A424" s="1">
        <v>16700</v>
      </c>
      <c r="B424" t="s">
        <v>9</v>
      </c>
      <c r="C424" t="s">
        <v>7</v>
      </c>
      <c r="D424" s="1">
        <v>887</v>
      </c>
      <c r="E424" s="1">
        <v>2024</v>
      </c>
      <c r="F424" s="2">
        <v>45364</v>
      </c>
      <c r="G424" s="2">
        <v>45365</v>
      </c>
      <c r="H424" s="2">
        <v>45365</v>
      </c>
      <c r="I424" s="2">
        <f>WORKDAY.INTL(F424,IF(OR(C424="MELHORIA PEQUENA",C424="MELHORIA MÉDIA"),3,1),1,ListaFeriados)</f>
        <v>45369</v>
      </c>
      <c r="J424" s="2">
        <f>WORKDAY.INTL(I424,IF(C424="MELHORIA MÉDIA",20,IF(OR(C424="MELHORIA PEQUENA",C424="BUG NÃO IMPEDITIVO"),5,2)),1,$X:$X)</f>
        <v>45376</v>
      </c>
      <c r="K424" t="str">
        <f>IF(H424&gt;J424,"ATRASO","NO PRAZO")</f>
        <v>NO PRAZO</v>
      </c>
    </row>
    <row r="425" spans="1:11">
      <c r="A425" s="1">
        <v>16145</v>
      </c>
      <c r="B425" t="s">
        <v>9</v>
      </c>
      <c r="C425" t="s">
        <v>7</v>
      </c>
      <c r="D425" s="1">
        <v>332</v>
      </c>
      <c r="E425" s="1">
        <v>2024</v>
      </c>
      <c r="F425" s="2">
        <v>45323</v>
      </c>
      <c r="G425" s="2">
        <v>45323</v>
      </c>
      <c r="H425" s="2">
        <v>45328</v>
      </c>
      <c r="I425" s="2">
        <f>WORKDAY.INTL(F425,IF(OR(C425="MELHORIA PEQUENA",C425="MELHORIA MÉDIA"),3,1),1,ListaFeriados)</f>
        <v>45328</v>
      </c>
      <c r="J425" s="2">
        <f>WORKDAY.INTL(I425,IF(C425="MELHORIA MÉDIA",20,IF(OR(C425="MELHORIA PEQUENA",C425="BUG NÃO IMPEDITIVO"),5,2)),1,$X:$X)</f>
        <v>45337</v>
      </c>
      <c r="K425" t="str">
        <f>IF(H425&gt;J425,"ATRASO","NO PRAZO")</f>
        <v>NO PRAZO</v>
      </c>
    </row>
    <row r="426" spans="1:11">
      <c r="A426" s="1">
        <v>17043</v>
      </c>
      <c r="B426" t="s">
        <v>9</v>
      </c>
      <c r="C426" t="s">
        <v>7</v>
      </c>
      <c r="D426" s="1">
        <v>1230</v>
      </c>
      <c r="E426" s="1">
        <v>2024</v>
      </c>
      <c r="F426" s="2">
        <v>45391</v>
      </c>
      <c r="G426" s="2">
        <v>45394</v>
      </c>
      <c r="H426" s="2">
        <v>45398</v>
      </c>
      <c r="I426" s="2">
        <f>WORKDAY.INTL(F426,IF(OR(C426="MELHORIA PEQUENA",C426="MELHORIA MÉDIA"),3,1),1,ListaFeriados)</f>
        <v>45394</v>
      </c>
      <c r="J426" s="2">
        <f>WORKDAY.INTL(I426,IF(C426="MELHORIA MÉDIA",20,IF(OR(C426="MELHORIA PEQUENA",C426="BUG NÃO IMPEDITIVO"),5,2)),1,$X:$X)</f>
        <v>45401</v>
      </c>
      <c r="K426" t="str">
        <f>IF(H426&gt;J426,"ATRASO","NO PRAZO")</f>
        <v>NO PRAZO</v>
      </c>
    </row>
    <row r="427" spans="1:11">
      <c r="A427" s="1">
        <v>17086</v>
      </c>
      <c r="B427" t="s">
        <v>9</v>
      </c>
      <c r="C427" t="s">
        <v>7</v>
      </c>
      <c r="D427" s="1">
        <v>1273</v>
      </c>
      <c r="E427" s="1">
        <v>2024</v>
      </c>
      <c r="F427" s="2">
        <v>45392</v>
      </c>
      <c r="G427" s="2">
        <v>45398</v>
      </c>
      <c r="H427" s="2">
        <v>45398</v>
      </c>
      <c r="I427" s="2">
        <f>WORKDAY.INTL(F427,IF(OR(C427="MELHORIA PEQUENA",C427="MELHORIA MÉDIA"),3,1),1,ListaFeriados)</f>
        <v>45397</v>
      </c>
      <c r="J427" s="2">
        <f>WORKDAY.INTL(I427,IF(C427="MELHORIA MÉDIA",20,IF(OR(C427="MELHORIA PEQUENA",C427="BUG NÃO IMPEDITIVO"),5,2)),1,$X:$X)</f>
        <v>45404</v>
      </c>
      <c r="K427" t="str">
        <f>IF(H427&gt;J427,"ATRASO","NO PRAZO")</f>
        <v>NO PRAZO</v>
      </c>
    </row>
    <row r="428" spans="1:11">
      <c r="A428" s="1">
        <v>17087</v>
      </c>
      <c r="B428" t="s">
        <v>9</v>
      </c>
      <c r="C428" t="s">
        <v>7</v>
      </c>
      <c r="D428" s="1">
        <v>1274</v>
      </c>
      <c r="E428" s="1">
        <v>2024</v>
      </c>
      <c r="F428" s="2">
        <v>45392</v>
      </c>
      <c r="G428" s="2">
        <v>45398</v>
      </c>
      <c r="H428" s="2">
        <v>45398</v>
      </c>
      <c r="I428" s="2">
        <f>WORKDAY.INTL(F428,IF(OR(C428="MELHORIA PEQUENA",C428="MELHORIA MÉDIA"),3,1),1,ListaFeriados)</f>
        <v>45397</v>
      </c>
      <c r="J428" s="2">
        <f>WORKDAY.INTL(I428,IF(C428="MELHORIA MÉDIA",20,IF(OR(C428="MELHORIA PEQUENA",C428="BUG NÃO IMPEDITIVO"),5,2)),1,$X:$X)</f>
        <v>45404</v>
      </c>
      <c r="K428" t="str">
        <f>IF(H428&gt;J428,"ATRASO","NO PRAZO")</f>
        <v>NO PRAZO</v>
      </c>
    </row>
    <row r="429" spans="1:11">
      <c r="A429" s="1">
        <v>17174</v>
      </c>
      <c r="B429" t="s">
        <v>11</v>
      </c>
      <c r="C429" t="s">
        <v>7</v>
      </c>
      <c r="D429" s="1">
        <v>1361</v>
      </c>
      <c r="E429" s="1">
        <v>2024</v>
      </c>
      <c r="F429" s="2">
        <v>45398</v>
      </c>
      <c r="G429" s="2">
        <v>45399</v>
      </c>
      <c r="H429" s="2">
        <v>45400</v>
      </c>
      <c r="I429" s="2">
        <f>WORKDAY.INTL(F429,IF(OR(C429="MELHORIA PEQUENA",C429="MELHORIA MÉDIA"),3,1),1,ListaFeriados)</f>
        <v>45401</v>
      </c>
      <c r="J429" s="2">
        <f>WORKDAY.INTL(I429,IF(C429="MELHORIA MÉDIA",20,IF(OR(C429="MELHORIA PEQUENA",C429="BUG NÃO IMPEDITIVO"),5,2)),1,$X:$X)</f>
        <v>45411</v>
      </c>
      <c r="K429" t="str">
        <f>IF(H429&gt;J429,"ATRASO","NO PRAZO")</f>
        <v>NO PRAZO</v>
      </c>
    </row>
    <row r="430" spans="1:11">
      <c r="A430" s="1">
        <v>16321</v>
      </c>
      <c r="B430" t="s">
        <v>9</v>
      </c>
      <c r="C430" t="s">
        <v>7</v>
      </c>
      <c r="D430" s="1">
        <v>508</v>
      </c>
      <c r="E430" s="1">
        <v>2024</v>
      </c>
      <c r="F430" s="2">
        <v>45337</v>
      </c>
      <c r="G430" s="2">
        <v>45341</v>
      </c>
      <c r="H430" s="2">
        <v>45341</v>
      </c>
      <c r="I430" s="2">
        <f>WORKDAY.INTL(F430,IF(OR(C430="MELHORIA PEQUENA",C430="MELHORIA MÉDIA"),3,1),1,ListaFeriados)</f>
        <v>45342</v>
      </c>
      <c r="J430" s="2">
        <f>WORKDAY.INTL(I430,IF(C430="MELHORIA MÉDIA",20,IF(OR(C430="MELHORIA PEQUENA",C430="BUG NÃO IMPEDITIVO"),5,2)),1,$X:$X)</f>
        <v>45349</v>
      </c>
      <c r="K430" t="str">
        <f>IF(H430&gt;J430,"ATRASO","NO PRAZO")</f>
        <v>NO PRAZO</v>
      </c>
    </row>
    <row r="431" spans="1:11">
      <c r="A431" s="1">
        <v>16687</v>
      </c>
      <c r="B431" t="s">
        <v>6</v>
      </c>
      <c r="C431" t="s">
        <v>7</v>
      </c>
      <c r="D431" s="1">
        <v>874</v>
      </c>
      <c r="E431" s="1">
        <v>2024</v>
      </c>
      <c r="F431" s="2">
        <v>45363</v>
      </c>
      <c r="G431" s="2">
        <v>45364</v>
      </c>
      <c r="H431" s="2">
        <v>45365</v>
      </c>
      <c r="I431" s="2">
        <f>WORKDAY.INTL(F431,IF(OR(C431="MELHORIA PEQUENA",C431="MELHORIA MÉDIA"),3,1),1,ListaFeriados)</f>
        <v>45366</v>
      </c>
      <c r="J431" s="2">
        <f>WORKDAY.INTL(I431,IF(C431="MELHORIA MÉDIA",20,IF(OR(C431="MELHORIA PEQUENA",C431="BUG NÃO IMPEDITIVO"),5,2)),1,$X:$X)</f>
        <v>45373</v>
      </c>
      <c r="K431" t="str">
        <f>IF(H431&gt;J431,"ATRASO","NO PRAZO")</f>
        <v>NO PRAZO</v>
      </c>
    </row>
    <row r="432" spans="1:11">
      <c r="A432" s="1">
        <v>16921</v>
      </c>
      <c r="B432" t="s">
        <v>9</v>
      </c>
      <c r="C432" t="s">
        <v>7</v>
      </c>
      <c r="D432" s="1">
        <v>1108</v>
      </c>
      <c r="E432" s="1">
        <v>2024</v>
      </c>
      <c r="F432" s="2">
        <v>45378</v>
      </c>
      <c r="G432" s="2">
        <v>45379</v>
      </c>
      <c r="H432" s="2">
        <v>45383</v>
      </c>
      <c r="I432" s="2">
        <f>WORKDAY.INTL(F432,IF(OR(C432="MELHORIA PEQUENA",C432="MELHORIA MÉDIA"),3,1),1,ListaFeriados)</f>
        <v>45384</v>
      </c>
      <c r="J432" s="2">
        <f>WORKDAY.INTL(I432,IF(C432="MELHORIA MÉDIA",20,IF(OR(C432="MELHORIA PEQUENA",C432="BUG NÃO IMPEDITIVO"),5,2)),1,$X:$X)</f>
        <v>45391</v>
      </c>
      <c r="K432" t="str">
        <f>IF(H432&gt;J432,"ATRASO","NO PRAZO")</f>
        <v>NO PRAZO</v>
      </c>
    </row>
    <row r="433" spans="1:11">
      <c r="A433" s="1">
        <v>15960</v>
      </c>
      <c r="B433" t="s">
        <v>9</v>
      </c>
      <c r="C433" t="s">
        <v>7</v>
      </c>
      <c r="D433" s="1">
        <v>147</v>
      </c>
      <c r="E433" s="1">
        <v>2024</v>
      </c>
      <c r="F433" s="2">
        <v>45303</v>
      </c>
      <c r="G433" s="2">
        <v>45306</v>
      </c>
      <c r="H433" s="2">
        <v>45308</v>
      </c>
      <c r="I433" s="2">
        <f>WORKDAY.INTL(F433,IF(OR(C433="MELHORIA PEQUENA",C433="MELHORIA MÉDIA"),3,1),1,ListaFeriados)</f>
        <v>45308</v>
      </c>
      <c r="J433" s="2">
        <f>WORKDAY.INTL(I433,IF(C433="MELHORIA MÉDIA",20,IF(OR(C433="MELHORIA PEQUENA",C433="BUG NÃO IMPEDITIVO"),5,2)),1,$X:$X)</f>
        <v>45315</v>
      </c>
      <c r="K433" t="str">
        <f>IF(H433&gt;J433,"ATRASO","NO PRAZO")</f>
        <v>NO PRAZO</v>
      </c>
    </row>
    <row r="434" spans="1:11">
      <c r="A434" s="1">
        <v>15993</v>
      </c>
      <c r="B434" t="s">
        <v>6</v>
      </c>
      <c r="C434" t="s">
        <v>7</v>
      </c>
      <c r="D434" s="1">
        <v>180</v>
      </c>
      <c r="E434" s="1">
        <v>2024</v>
      </c>
      <c r="F434" s="2">
        <v>45307</v>
      </c>
      <c r="G434" s="2">
        <v>45308</v>
      </c>
      <c r="H434" s="2">
        <v>45313</v>
      </c>
      <c r="I434" s="2">
        <f>WORKDAY.INTL(F434,IF(OR(C434="MELHORIA PEQUENA",C434="MELHORIA MÉDIA"),3,1),1,ListaFeriados)</f>
        <v>45310</v>
      </c>
      <c r="J434" s="2">
        <f>WORKDAY.INTL(I434,IF(C434="MELHORIA MÉDIA",20,IF(OR(C434="MELHORIA PEQUENA",C434="BUG NÃO IMPEDITIVO"),5,2)),1,$X:$X)</f>
        <v>45317</v>
      </c>
      <c r="K434" t="str">
        <f>IF(H434&gt;J434,"ATRASO","NO PRAZO")</f>
        <v>NO PRAZO</v>
      </c>
    </row>
    <row r="435" spans="1:11">
      <c r="A435" s="1">
        <v>16313</v>
      </c>
      <c r="B435" t="s">
        <v>9</v>
      </c>
      <c r="C435" t="s">
        <v>7</v>
      </c>
      <c r="D435" s="1">
        <v>500</v>
      </c>
      <c r="E435" s="1">
        <v>2024</v>
      </c>
      <c r="F435" s="2">
        <v>45337</v>
      </c>
      <c r="G435" s="2">
        <v>45337</v>
      </c>
      <c r="H435" s="2">
        <v>45343</v>
      </c>
      <c r="I435" s="2">
        <f>WORKDAY.INTL(F435,IF(OR(C435="MELHORIA PEQUENA",C435="MELHORIA MÉDIA"),3,1),1,ListaFeriados)</f>
        <v>45342</v>
      </c>
      <c r="J435" s="2">
        <f>WORKDAY.INTL(I435,IF(C435="MELHORIA MÉDIA",20,IF(OR(C435="MELHORIA PEQUENA",C435="BUG NÃO IMPEDITIVO"),5,2)),1,$X:$X)</f>
        <v>45349</v>
      </c>
      <c r="K435" t="str">
        <f>IF(H435&gt;J435,"ATRASO","NO PRAZO")</f>
        <v>NO PRAZO</v>
      </c>
    </row>
    <row r="436" spans="1:11">
      <c r="A436" s="1">
        <v>17008</v>
      </c>
      <c r="B436" t="s">
        <v>9</v>
      </c>
      <c r="C436" t="s">
        <v>7</v>
      </c>
      <c r="D436" s="1">
        <v>1195</v>
      </c>
      <c r="E436" s="1">
        <v>2024</v>
      </c>
      <c r="F436" s="2">
        <v>45386</v>
      </c>
      <c r="G436" s="2">
        <v>45387</v>
      </c>
      <c r="H436" s="2">
        <v>45392</v>
      </c>
      <c r="I436" s="2">
        <f>WORKDAY.INTL(F436,IF(OR(C436="MELHORIA PEQUENA",C436="MELHORIA MÉDIA"),3,1),1,ListaFeriados)</f>
        <v>45391</v>
      </c>
      <c r="J436" s="2">
        <f>WORKDAY.INTL(I436,IF(C436="MELHORIA MÉDIA",20,IF(OR(C436="MELHORIA PEQUENA",C436="BUG NÃO IMPEDITIVO"),5,2)),1,$X:$X)</f>
        <v>45398</v>
      </c>
      <c r="K436" t="str">
        <f>IF(H436&gt;J436,"ATRASO","NO PRAZO")</f>
        <v>NO PRAZO</v>
      </c>
    </row>
    <row r="437" spans="1:11">
      <c r="A437" s="1">
        <v>16319</v>
      </c>
      <c r="B437" t="s">
        <v>8</v>
      </c>
      <c r="C437" t="s">
        <v>7</v>
      </c>
      <c r="D437" s="1">
        <v>506</v>
      </c>
      <c r="E437" s="1">
        <v>2024</v>
      </c>
      <c r="F437" s="2">
        <v>45337</v>
      </c>
      <c r="G437" s="2">
        <v>45338</v>
      </c>
      <c r="H437" s="2">
        <v>45341</v>
      </c>
      <c r="I437" s="2">
        <f>WORKDAY.INTL(F437,IF(OR(C437="MELHORIA PEQUENA",C437="MELHORIA MÉDIA"),3,1),1,ListaFeriados)</f>
        <v>45342</v>
      </c>
      <c r="J437" s="2">
        <f>WORKDAY.INTL(I437,IF(C437="MELHORIA MÉDIA",20,IF(OR(C437="MELHORIA PEQUENA",C437="BUG NÃO IMPEDITIVO"),5,2)),1,$X:$X)</f>
        <v>45349</v>
      </c>
      <c r="K437" t="str">
        <f>IF(H437&gt;J437,"ATRASO","NO PRAZO")</f>
        <v>NO PRAZO</v>
      </c>
    </row>
    <row r="438" spans="1:11">
      <c r="A438" s="1">
        <v>16546</v>
      </c>
      <c r="B438" t="s">
        <v>9</v>
      </c>
      <c r="C438" t="s">
        <v>7</v>
      </c>
      <c r="D438" s="1">
        <v>733</v>
      </c>
      <c r="E438" s="1">
        <v>2024</v>
      </c>
      <c r="F438" s="2">
        <v>45351</v>
      </c>
      <c r="G438" s="2">
        <v>45352</v>
      </c>
      <c r="H438" s="2">
        <v>45352</v>
      </c>
      <c r="I438" s="2">
        <f>WORKDAY.INTL(F438,IF(OR(C438="MELHORIA PEQUENA",C438="MELHORIA MÉDIA"),3,1),1,ListaFeriados)</f>
        <v>45357</v>
      </c>
      <c r="J438" s="2">
        <f>WORKDAY.INTL(I438,IF(C438="MELHORIA MÉDIA",20,IF(OR(C438="MELHORIA PEQUENA",C438="BUG NÃO IMPEDITIVO"),5,2)),1,$X:$X)</f>
        <v>45364</v>
      </c>
      <c r="K438" t="str">
        <f>IF(H438&gt;J438,"ATRASO","NO PRAZO")</f>
        <v>NO PRAZO</v>
      </c>
    </row>
    <row r="439" spans="1:11">
      <c r="A439" s="1">
        <v>17057</v>
      </c>
      <c r="B439" t="s">
        <v>6</v>
      </c>
      <c r="C439" t="s">
        <v>7</v>
      </c>
      <c r="D439" s="1">
        <v>1244</v>
      </c>
      <c r="E439" s="1">
        <v>2024</v>
      </c>
      <c r="F439" s="2">
        <v>45391</v>
      </c>
      <c r="G439" s="2">
        <v>45392</v>
      </c>
      <c r="H439" s="2">
        <v>45393</v>
      </c>
      <c r="I439" s="2">
        <f>WORKDAY.INTL(F439,IF(OR(C439="MELHORIA PEQUENA",C439="MELHORIA MÉDIA"),3,1),1,ListaFeriados)</f>
        <v>45394</v>
      </c>
      <c r="J439" s="2">
        <f>WORKDAY.INTL(I439,IF(C439="MELHORIA MÉDIA",20,IF(OR(C439="MELHORIA PEQUENA",C439="BUG NÃO IMPEDITIVO"),5,2)),1,$X:$X)</f>
        <v>45401</v>
      </c>
      <c r="K439" t="str">
        <f>IF(H439&gt;J439,"ATRASO","NO PRAZO")</f>
        <v>NO PRAZO</v>
      </c>
    </row>
    <row r="440" spans="1:11">
      <c r="A440" s="1">
        <v>17037</v>
      </c>
      <c r="B440" t="s">
        <v>9</v>
      </c>
      <c r="C440" t="s">
        <v>7</v>
      </c>
      <c r="D440" s="1">
        <v>1224</v>
      </c>
      <c r="E440" s="1">
        <v>2024</v>
      </c>
      <c r="F440" s="2">
        <v>45390</v>
      </c>
      <c r="G440" s="2">
        <v>45391</v>
      </c>
      <c r="H440" s="2">
        <v>45394</v>
      </c>
      <c r="I440" s="2">
        <f>WORKDAY.INTL(F440,IF(OR(C440="MELHORIA PEQUENA",C440="MELHORIA MÉDIA"),3,1),1,ListaFeriados)</f>
        <v>45393</v>
      </c>
      <c r="J440" s="2">
        <f>WORKDAY.INTL(I440,IF(C440="MELHORIA MÉDIA",20,IF(OR(C440="MELHORIA PEQUENA",C440="BUG NÃO IMPEDITIVO"),5,2)),1,$X:$X)</f>
        <v>45400</v>
      </c>
      <c r="K440" t="str">
        <f>IF(H440&gt;J440,"ATRASO","NO PRAZO")</f>
        <v>NO PRAZO</v>
      </c>
    </row>
    <row r="441" spans="1:11">
      <c r="A441" s="1">
        <v>17121</v>
      </c>
      <c r="B441" t="s">
        <v>9</v>
      </c>
      <c r="C441" t="s">
        <v>7</v>
      </c>
      <c r="D441" s="1">
        <v>1308</v>
      </c>
      <c r="E441" s="1">
        <v>2024</v>
      </c>
      <c r="F441" s="2">
        <v>45393</v>
      </c>
      <c r="G441" s="2">
        <v>45400</v>
      </c>
      <c r="H441" s="2">
        <v>45400</v>
      </c>
      <c r="I441" s="2">
        <f>WORKDAY.INTL(F441,IF(OR(C441="MELHORIA PEQUENA",C441="MELHORIA MÉDIA"),3,1),1,ListaFeriados)</f>
        <v>45398</v>
      </c>
      <c r="J441" s="2">
        <f>WORKDAY.INTL(I441,IF(C441="MELHORIA MÉDIA",20,IF(OR(C441="MELHORIA PEQUENA",C441="BUG NÃO IMPEDITIVO"),5,2)),1,$X:$X)</f>
        <v>45406</v>
      </c>
      <c r="K441" t="str">
        <f>IF(H441&gt;J441,"ATRASO","NO PRAZO")</f>
        <v>NO PRAZO</v>
      </c>
    </row>
    <row r="442" spans="1:11">
      <c r="A442" s="1">
        <v>17161</v>
      </c>
      <c r="B442" t="s">
        <v>8</v>
      </c>
      <c r="C442" t="s">
        <v>7</v>
      </c>
      <c r="D442" s="1">
        <v>1348</v>
      </c>
      <c r="E442" s="1">
        <v>2024</v>
      </c>
      <c r="F442" s="2">
        <v>45398</v>
      </c>
      <c r="G442" s="2">
        <v>45404</v>
      </c>
      <c r="H442" s="2">
        <v>45406</v>
      </c>
      <c r="I442" s="2">
        <f>WORKDAY.INTL(F442,IF(OR(C442="MELHORIA PEQUENA",C442="MELHORIA MÉDIA"),3,1),1,ListaFeriados)</f>
        <v>45401</v>
      </c>
      <c r="J442" s="2">
        <f>WORKDAY.INTL(I442,IF(C442="MELHORIA MÉDIA",20,IF(OR(C442="MELHORIA PEQUENA",C442="BUG NÃO IMPEDITIVO"),5,2)),1,$X:$X)</f>
        <v>45411</v>
      </c>
      <c r="K442" t="str">
        <f>IF(H442&gt;J442,"ATRASO","NO PRAZO")</f>
        <v>NO PRAZO</v>
      </c>
    </row>
    <row r="443" spans="1:11">
      <c r="A443" s="1">
        <v>16376</v>
      </c>
      <c r="B443" t="s">
        <v>6</v>
      </c>
      <c r="C443" t="s">
        <v>7</v>
      </c>
      <c r="D443" s="1">
        <v>563</v>
      </c>
      <c r="E443" s="1">
        <v>2024</v>
      </c>
      <c r="F443" s="2">
        <v>45341</v>
      </c>
      <c r="G443" s="2">
        <v>45342</v>
      </c>
      <c r="H443" s="2">
        <v>45342</v>
      </c>
      <c r="I443" s="2">
        <f>WORKDAY.INTL(F443,IF(OR(C443="MELHORIA PEQUENA",C443="MELHORIA MÉDIA"),3,1),1,ListaFeriados)</f>
        <v>45344</v>
      </c>
      <c r="J443" s="2">
        <f>WORKDAY.INTL(I443,IF(C443="MELHORIA MÉDIA",20,IF(OR(C443="MELHORIA PEQUENA",C443="BUG NÃO IMPEDITIVO"),5,2)),1,$X:$X)</f>
        <v>45351</v>
      </c>
      <c r="K443" t="str">
        <f>IF(H443&gt;J443,"ATRASO","NO PRAZO")</f>
        <v>NO PRAZO</v>
      </c>
    </row>
    <row r="444" spans="1:11">
      <c r="A444" s="1">
        <v>16686</v>
      </c>
      <c r="B444" t="s">
        <v>6</v>
      </c>
      <c r="C444" t="s">
        <v>7</v>
      </c>
      <c r="D444" s="1">
        <v>873</v>
      </c>
      <c r="E444" s="1">
        <v>2024</v>
      </c>
      <c r="F444" s="2">
        <v>45363</v>
      </c>
      <c r="G444" s="2">
        <v>45364</v>
      </c>
      <c r="H444" s="2">
        <v>45365</v>
      </c>
      <c r="I444" s="2">
        <f>WORKDAY.INTL(F444,IF(OR(C444="MELHORIA PEQUENA",C444="MELHORIA MÉDIA"),3,1),1,ListaFeriados)</f>
        <v>45366</v>
      </c>
      <c r="J444" s="2">
        <f>WORKDAY.INTL(I444,IF(C444="MELHORIA MÉDIA",20,IF(OR(C444="MELHORIA PEQUENA",C444="BUG NÃO IMPEDITIVO"),5,2)),1,$X:$X)</f>
        <v>45373</v>
      </c>
      <c r="K444" t="str">
        <f>IF(H444&gt;J444,"ATRASO","NO PRAZO")</f>
        <v>NO PRAZO</v>
      </c>
    </row>
    <row r="445" spans="1:11">
      <c r="A445" s="1">
        <v>16421</v>
      </c>
      <c r="B445" t="s">
        <v>9</v>
      </c>
      <c r="C445" t="s">
        <v>7</v>
      </c>
      <c r="D445" s="1">
        <v>608</v>
      </c>
      <c r="E445" s="1">
        <v>2024</v>
      </c>
      <c r="F445" s="2">
        <v>45344</v>
      </c>
      <c r="G445" s="2">
        <v>45345</v>
      </c>
      <c r="H445" s="2">
        <v>45350</v>
      </c>
      <c r="I445" s="2">
        <f>WORKDAY.INTL(F445,IF(OR(C445="MELHORIA PEQUENA",C445="MELHORIA MÉDIA"),3,1),1,ListaFeriados)</f>
        <v>45349</v>
      </c>
      <c r="J445" s="2">
        <f>WORKDAY.INTL(I445,IF(C445="MELHORIA MÉDIA",20,IF(OR(C445="MELHORIA PEQUENA",C445="BUG NÃO IMPEDITIVO"),5,2)),1,$X:$X)</f>
        <v>45357</v>
      </c>
      <c r="K445" t="str">
        <f>IF(H445&gt;J445,"ATRASO","NO PRAZO")</f>
        <v>NO PRAZO</v>
      </c>
    </row>
    <row r="446" spans="1:11">
      <c r="A446" s="1">
        <v>16593</v>
      </c>
      <c r="B446" t="s">
        <v>8</v>
      </c>
      <c r="C446" t="s">
        <v>7</v>
      </c>
      <c r="D446" s="1">
        <v>780</v>
      </c>
      <c r="E446" s="1">
        <v>2024</v>
      </c>
      <c r="F446" s="2">
        <v>45356</v>
      </c>
      <c r="G446" s="2">
        <v>45357</v>
      </c>
      <c r="H446" s="2">
        <v>45358</v>
      </c>
      <c r="I446" s="2">
        <f>WORKDAY.INTL(F446,IF(OR(C446="MELHORIA PEQUENA",C446="MELHORIA MÉDIA"),3,1),1,ListaFeriados)</f>
        <v>45359</v>
      </c>
      <c r="J446" s="2">
        <f>WORKDAY.INTL(I446,IF(C446="MELHORIA MÉDIA",20,IF(OR(C446="MELHORIA PEQUENA",C446="BUG NÃO IMPEDITIVO"),5,2)),1,$X:$X)</f>
        <v>45366</v>
      </c>
      <c r="K446" t="str">
        <f>IF(H446&gt;J446,"ATRASO","NO PRAZO")</f>
        <v>NO PRAZO</v>
      </c>
    </row>
    <row r="447" spans="1:11">
      <c r="A447" s="1">
        <v>15828</v>
      </c>
      <c r="B447" t="s">
        <v>9</v>
      </c>
      <c r="C447" t="s">
        <v>7</v>
      </c>
      <c r="D447" s="1">
        <v>15</v>
      </c>
      <c r="E447" s="1">
        <v>2024</v>
      </c>
      <c r="F447" s="2">
        <v>45294</v>
      </c>
      <c r="G447" s="2">
        <v>45299</v>
      </c>
      <c r="H447" s="2">
        <v>45303</v>
      </c>
      <c r="I447" s="2">
        <f>WORKDAY.INTL(F447,IF(OR(C447="MELHORIA PEQUENA",C447="MELHORIA MÉDIA"),3,1),1,ListaFeriados)</f>
        <v>45299</v>
      </c>
      <c r="J447" s="2">
        <f>WORKDAY.INTL(I447,IF(C447="MELHORIA MÉDIA",20,IF(OR(C447="MELHORIA PEQUENA",C447="BUG NÃO IMPEDITIVO"),5,2)),1,$X:$X)</f>
        <v>45306</v>
      </c>
      <c r="K447" t="str">
        <f>IF(H447&gt;J447,"ATRASO","NO PRAZO")</f>
        <v>NO PRAZO</v>
      </c>
    </row>
    <row r="448" spans="1:11">
      <c r="A448" s="1">
        <v>16517</v>
      </c>
      <c r="B448" t="s">
        <v>10</v>
      </c>
      <c r="C448" t="s">
        <v>7</v>
      </c>
      <c r="D448" s="1">
        <v>704</v>
      </c>
      <c r="E448" s="1">
        <v>2024</v>
      </c>
      <c r="F448" s="2">
        <v>45350</v>
      </c>
      <c r="G448" s="2">
        <v>45350</v>
      </c>
      <c r="H448" s="2">
        <v>45351</v>
      </c>
      <c r="I448" s="2">
        <f>WORKDAY.INTL(F448,IF(OR(C448="MELHORIA PEQUENA",C448="MELHORIA MÉDIA"),3,1),1,ListaFeriados)</f>
        <v>45356</v>
      </c>
      <c r="J448" s="2">
        <f>WORKDAY.INTL(I448,IF(C448="MELHORIA MÉDIA",20,IF(OR(C448="MELHORIA PEQUENA",C448="BUG NÃO IMPEDITIVO"),5,2)),1,$X:$X)</f>
        <v>45363</v>
      </c>
      <c r="K448" t="str">
        <f>IF(H448&gt;J448,"ATRASO","NO PRAZO")</f>
        <v>NO PRAZO</v>
      </c>
    </row>
    <row r="449" spans="1:11">
      <c r="A449" s="1">
        <v>16751</v>
      </c>
      <c r="B449" t="s">
        <v>10</v>
      </c>
      <c r="C449" t="s">
        <v>7</v>
      </c>
      <c r="D449" s="1">
        <v>938</v>
      </c>
      <c r="E449" s="1">
        <v>2024</v>
      </c>
      <c r="F449" s="2">
        <v>45365</v>
      </c>
      <c r="G449" s="2">
        <v>45370</v>
      </c>
      <c r="H449" s="2">
        <v>45370</v>
      </c>
      <c r="I449" s="2">
        <f>WORKDAY.INTL(F449,IF(OR(C449="MELHORIA PEQUENA",C449="MELHORIA MÉDIA"),3,1),1,ListaFeriados)</f>
        <v>45370</v>
      </c>
      <c r="J449" s="2">
        <f>WORKDAY.INTL(I449,IF(C449="MELHORIA MÉDIA",20,IF(OR(C449="MELHORIA PEQUENA",C449="BUG NÃO IMPEDITIVO"),5,2)),1,$X:$X)</f>
        <v>45377</v>
      </c>
      <c r="K449" t="str">
        <f>IF(H449&gt;J449,"ATRASO","NO PRAZO")</f>
        <v>NO PRAZO</v>
      </c>
    </row>
    <row r="450" spans="1:11">
      <c r="A450" s="1">
        <v>16117</v>
      </c>
      <c r="B450" t="s">
        <v>9</v>
      </c>
      <c r="C450" t="s">
        <v>7</v>
      </c>
      <c r="D450" s="1">
        <v>304</v>
      </c>
      <c r="E450" s="1">
        <v>2024</v>
      </c>
      <c r="F450" s="2">
        <v>45320</v>
      </c>
      <c r="G450" s="2">
        <v>45321</v>
      </c>
      <c r="H450" s="2">
        <v>45324</v>
      </c>
      <c r="I450" s="2">
        <f>WORKDAY.INTL(F450,IF(OR(C450="MELHORIA PEQUENA",C450="MELHORIA MÉDIA"),3,1),1,ListaFeriados)</f>
        <v>45323</v>
      </c>
      <c r="J450" s="2">
        <f>WORKDAY.INTL(I450,IF(C450="MELHORIA MÉDIA",20,IF(OR(C450="MELHORIA PEQUENA",C450="BUG NÃO IMPEDITIVO"),5,2)),1,$X:$X)</f>
        <v>45330</v>
      </c>
      <c r="K450" t="str">
        <f>IF(H450&gt;J450,"ATRASO","NO PRAZO")</f>
        <v>NO PRAZO</v>
      </c>
    </row>
    <row r="451" spans="1:11">
      <c r="A451" s="1">
        <v>16888</v>
      </c>
      <c r="B451" t="s">
        <v>6</v>
      </c>
      <c r="C451" t="s">
        <v>7</v>
      </c>
      <c r="D451" s="1">
        <v>1075</v>
      </c>
      <c r="E451" s="1">
        <v>2024</v>
      </c>
      <c r="F451" s="2">
        <v>45373</v>
      </c>
      <c r="G451" s="2">
        <v>45376</v>
      </c>
      <c r="H451" s="2">
        <v>45379</v>
      </c>
      <c r="I451" s="2">
        <f>WORKDAY.INTL(F451,IF(OR(C451="MELHORIA PEQUENA",C451="MELHORIA MÉDIA"),3,1),1,ListaFeriados)</f>
        <v>45378</v>
      </c>
      <c r="J451" s="2">
        <f>WORKDAY.INTL(I451,IF(C451="MELHORIA MÉDIA",20,IF(OR(C451="MELHORIA PEQUENA",C451="BUG NÃO IMPEDITIVO"),5,2)),1,$X:$X)</f>
        <v>45386</v>
      </c>
      <c r="K451" t="str">
        <f>IF(H451&gt;J451,"ATRASO","NO PRAZO")</f>
        <v>NO PRAZO</v>
      </c>
    </row>
    <row r="452" spans="1:11">
      <c r="A452" s="1">
        <v>16913</v>
      </c>
      <c r="B452" t="s">
        <v>6</v>
      </c>
      <c r="C452" t="s">
        <v>7</v>
      </c>
      <c r="D452" s="1">
        <v>1100</v>
      </c>
      <c r="E452" s="1">
        <v>2024</v>
      </c>
      <c r="F452" s="2">
        <v>45377</v>
      </c>
      <c r="G452" s="2">
        <v>45378</v>
      </c>
      <c r="H452" s="2">
        <v>45379</v>
      </c>
      <c r="I452" s="2">
        <f>WORKDAY.INTL(F452,IF(OR(C452="MELHORIA PEQUENA",C452="MELHORIA MÉDIA"),3,1),1,ListaFeriados)</f>
        <v>45383</v>
      </c>
      <c r="J452" s="2">
        <f>WORKDAY.INTL(I452,IF(C452="MELHORIA MÉDIA",20,IF(OR(C452="MELHORIA PEQUENA",C452="BUG NÃO IMPEDITIVO"),5,2)),1,$X:$X)</f>
        <v>45390</v>
      </c>
      <c r="K452" t="str">
        <f>IF(H452&gt;J452,"ATRASO","NO PRAZO")</f>
        <v>NO PRAZO</v>
      </c>
    </row>
    <row r="453" spans="1:11">
      <c r="A453" s="1">
        <v>16119</v>
      </c>
      <c r="B453" t="s">
        <v>9</v>
      </c>
      <c r="C453" t="s">
        <v>7</v>
      </c>
      <c r="D453" s="1">
        <v>306</v>
      </c>
      <c r="E453" s="1">
        <v>2024</v>
      </c>
      <c r="F453" s="2">
        <v>45321</v>
      </c>
      <c r="G453" s="2">
        <v>45323</v>
      </c>
      <c r="H453" s="2">
        <v>45324</v>
      </c>
      <c r="I453" s="2">
        <f>WORKDAY.INTL(F453,IF(OR(C453="MELHORIA PEQUENA",C453="MELHORIA MÉDIA"),3,1),1,ListaFeriados)</f>
        <v>45324</v>
      </c>
      <c r="J453" s="2">
        <f>WORKDAY.INTL(I453,IF(C453="MELHORIA MÉDIA",20,IF(OR(C453="MELHORIA PEQUENA",C453="BUG NÃO IMPEDITIVO"),5,2)),1,$X:$X)</f>
        <v>45331</v>
      </c>
      <c r="K453" t="str">
        <f>IF(H453&gt;J453,"ATRASO","NO PRAZO")</f>
        <v>NO PRAZO</v>
      </c>
    </row>
    <row r="454" spans="1:11">
      <c r="A454" s="1">
        <v>16160</v>
      </c>
      <c r="B454" t="s">
        <v>9</v>
      </c>
      <c r="C454" t="s">
        <v>15</v>
      </c>
      <c r="D454" s="1">
        <v>347</v>
      </c>
      <c r="E454" s="1">
        <v>2024</v>
      </c>
      <c r="F454" s="2">
        <v>45323</v>
      </c>
      <c r="G454" s="2">
        <v>45337</v>
      </c>
      <c r="H454" s="2">
        <v>45341</v>
      </c>
      <c r="I454" s="2">
        <f>WORKDAY.INTL(F454,IF(OR(C454="MELHORIA PEQUENA",C454="MELHORIA MÉDIA"),3,1),1,ListaFeriados)</f>
        <v>45328</v>
      </c>
      <c r="J454" s="2">
        <f>WORKDAY.INTL(I454,IF(C454="MELHORIA MÉDIA",20,IF(OR(C454="MELHORIA PEQUENA",C454="BUG NÃO IMPEDITIVO"),5,2)),1,$X:$X)</f>
        <v>45359</v>
      </c>
      <c r="K454" t="str">
        <f>IF(H454&gt;J454,"ATRASO","NO PRAZO")</f>
        <v>NO PRAZO</v>
      </c>
    </row>
    <row r="455" spans="1:11">
      <c r="A455" s="1">
        <v>16596</v>
      </c>
      <c r="B455" t="s">
        <v>9</v>
      </c>
      <c r="C455" t="s">
        <v>15</v>
      </c>
      <c r="D455" s="1">
        <v>783</v>
      </c>
      <c r="E455" s="1">
        <v>2024</v>
      </c>
      <c r="F455" s="2">
        <v>45356</v>
      </c>
      <c r="G455" s="2">
        <v>45357</v>
      </c>
      <c r="H455" s="2">
        <v>45362</v>
      </c>
      <c r="I455" s="2">
        <f>WORKDAY.INTL(F455,IF(OR(C455="MELHORIA PEQUENA",C455="MELHORIA MÉDIA"),3,1),1,ListaFeriados)</f>
        <v>45359</v>
      </c>
      <c r="J455" s="2">
        <f>WORKDAY.INTL(I455,IF(C455="MELHORIA MÉDIA",20,IF(OR(C455="MELHORIA PEQUENA",C455="BUG NÃO IMPEDITIVO"),5,2)),1,$X:$X)</f>
        <v>45390</v>
      </c>
      <c r="K455" t="str">
        <f>IF(H455&gt;J455,"ATRASO","NO PRAZO")</f>
        <v>NO PRAZO</v>
      </c>
    </row>
    <row r="456" spans="1:11">
      <c r="A456" s="1">
        <v>17126</v>
      </c>
      <c r="B456" t="s">
        <v>8</v>
      </c>
      <c r="C456" t="s">
        <v>15</v>
      </c>
      <c r="D456" s="1">
        <v>1313</v>
      </c>
      <c r="E456" s="1">
        <v>2024</v>
      </c>
      <c r="F456" s="2">
        <v>45393</v>
      </c>
      <c r="G456" s="2">
        <v>45394</v>
      </c>
      <c r="H456" s="2">
        <v>45404</v>
      </c>
      <c r="I456" s="2">
        <f>WORKDAY.INTL(F456,IF(OR(C456="MELHORIA PEQUENA",C456="MELHORIA MÉDIA"),3,1),1,ListaFeriados)</f>
        <v>45398</v>
      </c>
      <c r="J456" s="2">
        <f>WORKDAY.INTL(I456,IF(C456="MELHORIA MÉDIA",20,IF(OR(C456="MELHORIA PEQUENA",C456="BUG NÃO IMPEDITIVO"),5,2)),1,$X:$X)</f>
        <v>45428</v>
      </c>
      <c r="K456" t="str">
        <f>IF(H456&gt;J456,"ATRASO","NO PRAZO")</f>
        <v>NO PRAZO</v>
      </c>
    </row>
    <row r="457" spans="1:11">
      <c r="A457" s="1">
        <v>17714</v>
      </c>
      <c r="B457" t="s">
        <v>9</v>
      </c>
      <c r="C457" t="s">
        <v>15</v>
      </c>
      <c r="D457" s="1">
        <v>1901</v>
      </c>
      <c r="E457" s="1">
        <v>2024</v>
      </c>
      <c r="F457" s="2">
        <v>45450</v>
      </c>
      <c r="G457" s="2">
        <v>45453</v>
      </c>
      <c r="H457" s="2">
        <v>45471</v>
      </c>
      <c r="I457" s="2">
        <f>WORKDAY.INTL(F457,IF(OR(C457="MELHORIA PEQUENA",C457="MELHORIA MÉDIA"),3,1),1,ListaFeriados)</f>
        <v>45455</v>
      </c>
      <c r="J457" s="2">
        <f>WORKDAY.INTL(I457,IF(C457="MELHORIA MÉDIA",20,IF(OR(C457="MELHORIA PEQUENA",C457="BUG NÃO IMPEDITIVO"),5,2)),1,$X:$X)</f>
        <v>45483</v>
      </c>
      <c r="K457" t="str">
        <f>IF(H457&gt;J457,"ATRASO","NO PRAZO")</f>
        <v>NO PRAZO</v>
      </c>
    </row>
    <row r="458" spans="1:11">
      <c r="A458" s="1">
        <v>17768</v>
      </c>
      <c r="B458" t="s">
        <v>8</v>
      </c>
      <c r="C458" t="s">
        <v>15</v>
      </c>
      <c r="D458" s="1">
        <v>1955</v>
      </c>
      <c r="E458" s="1">
        <v>2024</v>
      </c>
      <c r="F458" s="2">
        <v>45455</v>
      </c>
      <c r="G458" s="2">
        <v>45456</v>
      </c>
      <c r="H458" s="2">
        <v>45513</v>
      </c>
      <c r="I458" s="2">
        <f>WORKDAY.INTL(F458,IF(OR(C458="MELHORIA PEQUENA",C458="MELHORIA MÉDIA"),3,1),1,ListaFeriados)</f>
        <v>45460</v>
      </c>
      <c r="J458" s="2">
        <f>WORKDAY.INTL(I458,IF(C458="MELHORIA MÉDIA",20,IF(OR(C458="MELHORIA PEQUENA",C458="BUG NÃO IMPEDITIVO"),5,2)),1,$X:$X)</f>
        <v>45488</v>
      </c>
      <c r="K458" t="str">
        <f>IF(H458&gt;J458,"ATRASO","NO PRAZO")</f>
        <v>ATRASO</v>
      </c>
    </row>
    <row r="459" spans="1:11">
      <c r="A459" s="1">
        <v>16191</v>
      </c>
      <c r="B459" t="s">
        <v>9</v>
      </c>
      <c r="C459" t="s">
        <v>15</v>
      </c>
      <c r="D459" s="1">
        <v>378</v>
      </c>
      <c r="E459" s="1">
        <v>2024</v>
      </c>
      <c r="F459" s="2">
        <v>45327</v>
      </c>
      <c r="G459" s="2">
        <v>45328</v>
      </c>
      <c r="H459" s="2">
        <v>45384</v>
      </c>
      <c r="I459" s="2">
        <f>WORKDAY.INTL(F459,IF(OR(C459="MELHORIA PEQUENA",C459="MELHORIA MÉDIA"),3,1),1,ListaFeriados)</f>
        <v>45330</v>
      </c>
      <c r="J459" s="2">
        <f>WORKDAY.INTL(I459,IF(C459="MELHORIA MÉDIA",20,IF(OR(C459="MELHORIA PEQUENA",C459="BUG NÃO IMPEDITIVO"),5,2)),1,$X:$X)</f>
        <v>45363</v>
      </c>
      <c r="K459" t="str">
        <f>IF(H459&gt;J459,"ATRASO","NO PRAZO")</f>
        <v>ATRASO</v>
      </c>
    </row>
    <row r="460" spans="1:11">
      <c r="A460" s="1">
        <v>17217</v>
      </c>
      <c r="B460" t="s">
        <v>9</v>
      </c>
      <c r="C460" t="s">
        <v>15</v>
      </c>
      <c r="D460" s="1">
        <v>1404</v>
      </c>
      <c r="E460" s="1">
        <v>2024</v>
      </c>
      <c r="F460" s="2">
        <v>45404</v>
      </c>
      <c r="G460" s="2">
        <v>45449</v>
      </c>
      <c r="H460" s="2">
        <v>45449</v>
      </c>
      <c r="I460" s="2">
        <f>WORKDAY.INTL(F460,IF(OR(C460="MELHORIA PEQUENA",C460="MELHORIA MÉDIA"),3,1),1,ListaFeriados)</f>
        <v>45408</v>
      </c>
      <c r="J460" s="2">
        <f>WORKDAY.INTL(I460,IF(C460="MELHORIA MÉDIA",20,IF(OR(C460="MELHORIA PEQUENA",C460="BUG NÃO IMPEDITIVO"),5,2)),1,$X:$X)</f>
        <v>45439</v>
      </c>
      <c r="K460" t="str">
        <f>IF(H460&gt;J460,"ATRASO","NO PRAZO")</f>
        <v>ATRASO</v>
      </c>
    </row>
    <row r="461" spans="1:11">
      <c r="A461" s="1">
        <v>17939</v>
      </c>
      <c r="B461" t="s">
        <v>9</v>
      </c>
      <c r="C461" t="s">
        <v>15</v>
      </c>
      <c r="D461" s="1">
        <v>2126</v>
      </c>
      <c r="E461" s="1">
        <v>2024</v>
      </c>
      <c r="F461" s="2">
        <v>45475</v>
      </c>
      <c r="G461" s="2">
        <v>45518</v>
      </c>
      <c r="H461" s="2">
        <v>45527</v>
      </c>
      <c r="I461" s="2">
        <f>WORKDAY.INTL(F461,IF(OR(C461="MELHORIA PEQUENA",C461="MELHORIA MÉDIA"),3,1),1,ListaFeriados)</f>
        <v>45478</v>
      </c>
      <c r="J461" s="2">
        <f>WORKDAY.INTL(I461,IF(C461="MELHORIA MÉDIA",20,IF(OR(C461="MELHORIA PEQUENA",C461="BUG NÃO IMPEDITIVO"),5,2)),1,$X:$X)</f>
        <v>45506</v>
      </c>
      <c r="K461" t="str">
        <f>IF(H461&gt;J461,"ATRASO","NO PRAZO")</f>
        <v>ATRASO</v>
      </c>
    </row>
    <row r="462" spans="1:11">
      <c r="A462" s="1">
        <v>18548</v>
      </c>
      <c r="B462" t="s">
        <v>9</v>
      </c>
      <c r="C462" t="s">
        <v>15</v>
      </c>
      <c r="D462" s="1">
        <v>2735</v>
      </c>
      <c r="E462" s="1">
        <v>2024</v>
      </c>
      <c r="F462" s="2">
        <v>45558</v>
      </c>
      <c r="G462" s="2">
        <v>45559</v>
      </c>
      <c r="H462" s="2">
        <v>45567</v>
      </c>
      <c r="I462" s="2">
        <f>WORKDAY.INTL(F462,IF(OR(C462="MELHORIA PEQUENA",C462="MELHORIA MÉDIA"),3,1),1,ListaFeriados)</f>
        <v>45561</v>
      </c>
      <c r="J462" s="2">
        <f>WORKDAY.INTL(I462,IF(C462="MELHORIA MÉDIA",20,IF(OR(C462="MELHORIA PEQUENA",C462="BUG NÃO IMPEDITIVO"),5,2)),1,$X:$X)</f>
        <v>45590</v>
      </c>
      <c r="K462" t="str">
        <f>IF(H462&gt;J462,"ATRASO","NO PRAZO")</f>
        <v>NO PRAZO</v>
      </c>
    </row>
    <row r="463" spans="1:11">
      <c r="A463" s="1">
        <v>18304</v>
      </c>
      <c r="B463" t="s">
        <v>9</v>
      </c>
      <c r="C463" t="s">
        <v>15</v>
      </c>
      <c r="D463" s="1">
        <v>2491</v>
      </c>
      <c r="E463" s="1">
        <v>2024</v>
      </c>
      <c r="F463" s="2">
        <v>45524</v>
      </c>
      <c r="G463" s="2">
        <v>45526</v>
      </c>
      <c r="H463" s="2">
        <v>45554</v>
      </c>
      <c r="I463" s="2">
        <f>WORKDAY.INTL(F463,IF(OR(C463="MELHORIA PEQUENA",C463="MELHORIA MÉDIA"),3,1),1,ListaFeriados)</f>
        <v>45527</v>
      </c>
      <c r="J463" s="2">
        <f>WORKDAY.INTL(I463,IF(C463="MELHORIA MÉDIA",20,IF(OR(C463="MELHORIA PEQUENA",C463="BUG NÃO IMPEDITIVO"),5,2)),1,$X:$X)</f>
        <v>45555</v>
      </c>
      <c r="K463" t="str">
        <f>IF(H463&gt;J463,"ATRASO","NO PRAZO")</f>
        <v>NO PRAZO</v>
      </c>
    </row>
    <row r="464" spans="1:11">
      <c r="A464" s="1">
        <v>18220</v>
      </c>
      <c r="B464" t="s">
        <v>11</v>
      </c>
      <c r="C464" t="s">
        <v>15</v>
      </c>
      <c r="D464" s="1">
        <v>2407</v>
      </c>
      <c r="E464" s="1">
        <v>2024</v>
      </c>
      <c r="F464" s="2">
        <v>45516</v>
      </c>
      <c r="G464" s="2">
        <v>45519</v>
      </c>
      <c r="H464" s="2">
        <v>45520</v>
      </c>
      <c r="I464" s="2">
        <f>WORKDAY.INTL(F464,IF(OR(C464="MELHORIA PEQUENA",C464="MELHORIA MÉDIA"),3,1),1,ListaFeriados)</f>
        <v>45520</v>
      </c>
      <c r="J464" s="2">
        <f>WORKDAY.INTL(I464,IF(C464="MELHORIA MÉDIA",20,IF(OR(C464="MELHORIA PEQUENA",C464="BUG NÃO IMPEDITIVO"),5,2)),1,$X:$X)</f>
        <v>45548</v>
      </c>
      <c r="K464" t="str">
        <f>IF(H464&gt;J464,"ATRASO","NO PRAZO")</f>
        <v>NO PRAZO</v>
      </c>
    </row>
    <row r="465" spans="1:11">
      <c r="A465" s="1">
        <v>17601</v>
      </c>
      <c r="B465" t="s">
        <v>14</v>
      </c>
      <c r="C465" t="s">
        <v>15</v>
      </c>
      <c r="D465" s="1">
        <v>1788</v>
      </c>
      <c r="E465" s="1">
        <v>2024</v>
      </c>
      <c r="F465" s="2">
        <v>45435</v>
      </c>
      <c r="G465" s="2">
        <v>45446</v>
      </c>
      <c r="H465" s="2">
        <v>45454</v>
      </c>
      <c r="I465" s="2">
        <f>WORKDAY.INTL(F465,IF(OR(C465="MELHORIA PEQUENA",C465="MELHORIA MÉDIA"),3,1),1,ListaFeriados)</f>
        <v>45440</v>
      </c>
      <c r="J465" s="2">
        <f>WORKDAY.INTL(I465,IF(C465="MELHORIA MÉDIA",20,IF(OR(C465="MELHORIA PEQUENA",C465="BUG NÃO IMPEDITIVO"),5,2)),1,$X:$X)</f>
        <v>45469</v>
      </c>
      <c r="K465" t="str">
        <f>IF(H465&gt;J465,"ATRASO","NO PRAZO")</f>
        <v>NO PRAZO</v>
      </c>
    </row>
    <row r="466" spans="1:11">
      <c r="A466" s="1">
        <v>17301</v>
      </c>
      <c r="B466" t="s">
        <v>9</v>
      </c>
      <c r="C466" t="s">
        <v>15</v>
      </c>
      <c r="D466" s="1">
        <v>1488</v>
      </c>
      <c r="E466" s="1">
        <v>2024</v>
      </c>
      <c r="F466" s="2">
        <v>45412</v>
      </c>
      <c r="G466" s="2">
        <v>45414</v>
      </c>
      <c r="H466" s="2">
        <v>45440</v>
      </c>
      <c r="I466" s="2">
        <f>WORKDAY.INTL(F466,IF(OR(C466="MELHORIA PEQUENA",C466="MELHORIA MÉDIA"),3,1),1,ListaFeriados)</f>
        <v>45418</v>
      </c>
      <c r="J466" s="2">
        <f>WORKDAY.INTL(I466,IF(C466="MELHORIA MÉDIA",20,IF(OR(C466="MELHORIA PEQUENA",C466="BUG NÃO IMPEDITIVO"),5,2)),1,$X:$X)</f>
        <v>45447</v>
      </c>
      <c r="K466" t="str">
        <f>IF(H466&gt;J466,"ATRASO","NO PRAZO")</f>
        <v>NO PRAZO</v>
      </c>
    </row>
    <row r="467" spans="1:11">
      <c r="A467" s="1">
        <v>17697</v>
      </c>
      <c r="B467" t="s">
        <v>9</v>
      </c>
      <c r="C467" t="s">
        <v>15</v>
      </c>
      <c r="D467" s="1">
        <v>1884</v>
      </c>
      <c r="E467" s="1">
        <v>2024</v>
      </c>
      <c r="F467" s="2">
        <v>45448</v>
      </c>
      <c r="G467" s="2">
        <v>45455</v>
      </c>
      <c r="H467" s="2">
        <v>45460</v>
      </c>
      <c r="I467" s="2">
        <f>WORKDAY.INTL(F467,IF(OR(C467="MELHORIA PEQUENA",C467="MELHORIA MÉDIA"),3,1),1,ListaFeriados)</f>
        <v>45453</v>
      </c>
      <c r="J467" s="2">
        <f>WORKDAY.INTL(I467,IF(C467="MELHORIA MÉDIA",20,IF(OR(C467="MELHORIA PEQUENA",C467="BUG NÃO IMPEDITIVO"),5,2)),1,$X:$X)</f>
        <v>45481</v>
      </c>
      <c r="K467" t="str">
        <f>IF(H467&gt;J467,"ATRASO","NO PRAZO")</f>
        <v>NO PRAZO</v>
      </c>
    </row>
    <row r="468" spans="1:11">
      <c r="A468" s="1">
        <v>18319</v>
      </c>
      <c r="B468" t="s">
        <v>8</v>
      </c>
      <c r="C468" t="s">
        <v>15</v>
      </c>
      <c r="D468" s="1">
        <v>2506</v>
      </c>
      <c r="E468" s="1">
        <v>2024</v>
      </c>
      <c r="F468" s="2">
        <v>45525</v>
      </c>
      <c r="G468" s="2">
        <v>45526</v>
      </c>
      <c r="H468" s="2">
        <v>45538</v>
      </c>
      <c r="I468" s="2">
        <f>WORKDAY.INTL(F468,IF(OR(C468="MELHORIA PEQUENA",C468="MELHORIA MÉDIA"),3,1),1,ListaFeriados)</f>
        <v>45530</v>
      </c>
      <c r="J468" s="2">
        <f>WORKDAY.INTL(I468,IF(C468="MELHORIA MÉDIA",20,IF(OR(C468="MELHORIA PEQUENA",C468="BUG NÃO IMPEDITIVO"),5,2)),1,$X:$X)</f>
        <v>45558</v>
      </c>
      <c r="K468" t="str">
        <f>IF(H468&gt;J468,"ATRASO","NO PRAZO")</f>
        <v>NO PRAZO</v>
      </c>
    </row>
    <row r="469" spans="1:11">
      <c r="A469" s="1">
        <v>17375</v>
      </c>
      <c r="B469" t="s">
        <v>9</v>
      </c>
      <c r="C469" t="s">
        <v>15</v>
      </c>
      <c r="D469" s="1">
        <v>1562</v>
      </c>
      <c r="E469" s="1">
        <v>2024</v>
      </c>
      <c r="F469" s="2">
        <v>45419</v>
      </c>
      <c r="G469" s="2">
        <v>45469</v>
      </c>
      <c r="H469" s="2">
        <v>45559</v>
      </c>
      <c r="I469" s="2">
        <f>WORKDAY.INTL(F469,IF(OR(C469="MELHORIA PEQUENA",C469="MELHORIA MÉDIA"),3,1),1,ListaFeriados)</f>
        <v>45422</v>
      </c>
      <c r="J469" s="2">
        <f>WORKDAY.INTL(I469,IF(C469="MELHORIA MÉDIA",20,IF(OR(C469="MELHORIA PEQUENA",C469="BUG NÃO IMPEDITIVO"),5,2)),1,$X:$X)</f>
        <v>45453</v>
      </c>
      <c r="K469" t="str">
        <f>IF(H469&gt;J469,"ATRASO","NO PRAZO")</f>
        <v>ATRASO</v>
      </c>
    </row>
    <row r="470" spans="1:11">
      <c r="A470" s="1">
        <v>19036</v>
      </c>
      <c r="B470" t="s">
        <v>6</v>
      </c>
      <c r="C470" t="s">
        <v>15</v>
      </c>
      <c r="D470" s="1">
        <v>3223</v>
      </c>
      <c r="E470" s="1">
        <v>2024</v>
      </c>
      <c r="F470" s="2">
        <v>45644</v>
      </c>
      <c r="G470" s="2">
        <v>45644</v>
      </c>
      <c r="H470" s="2">
        <v>45646</v>
      </c>
      <c r="I470" s="2">
        <f>WORKDAY.INTL(F470,IF(OR(C470="MELHORIA PEQUENA",C470="MELHORIA MÉDIA"),3,1),1,ListaFeriados)</f>
        <v>45649</v>
      </c>
      <c r="J470" s="2">
        <f>WORKDAY.INTL(I470,IF(C470="MELHORIA MÉDIA",20,IF(OR(C470="MELHORIA PEQUENA",C470="BUG NÃO IMPEDITIVO"),5,2)),1,$X:$X)</f>
        <v>45680</v>
      </c>
      <c r="K470" t="str">
        <f>IF(H470&gt;J470,"ATRASO","NO PRAZO")</f>
        <v>NO PRAZO</v>
      </c>
    </row>
    <row r="471" spans="1:11">
      <c r="A471" s="1">
        <v>19456</v>
      </c>
      <c r="B471" t="s">
        <v>14</v>
      </c>
      <c r="C471" t="s">
        <v>15</v>
      </c>
      <c r="D471" s="1">
        <v>368</v>
      </c>
      <c r="E471" s="1">
        <v>2025</v>
      </c>
      <c r="F471" s="2">
        <v>45716</v>
      </c>
      <c r="G471" s="2">
        <v>45716</v>
      </c>
      <c r="H471" s="2">
        <v>45716</v>
      </c>
      <c r="I471" s="2">
        <f>WORKDAY.INTL(F471,IF(OR(C471="MELHORIA PEQUENA",C471="MELHORIA MÉDIA"),3,1),1,ListaFeriados)</f>
        <v>45723</v>
      </c>
      <c r="J471" s="2">
        <f>WORKDAY.INTL(I471,IF(C471="MELHORIA MÉDIA",20,IF(OR(C471="MELHORIA PEQUENA",C471="BUG NÃO IMPEDITIVO"),5,2)),1,$X:$X)</f>
        <v>45751</v>
      </c>
      <c r="K471" t="str">
        <f>IF(H471&gt;J471,"ATRASO","NO PRAZO")</f>
        <v>NO PRAZO</v>
      </c>
    </row>
    <row r="472" spans="1:11">
      <c r="A472" s="1">
        <v>18378</v>
      </c>
      <c r="B472" t="s">
        <v>9</v>
      </c>
      <c r="C472" t="s">
        <v>15</v>
      </c>
      <c r="D472" s="1">
        <v>2565</v>
      </c>
      <c r="E472" s="1">
        <v>2024</v>
      </c>
      <c r="F472" s="2">
        <v>45533</v>
      </c>
      <c r="G472" s="2">
        <v>45541</v>
      </c>
      <c r="H472" s="2">
        <v>45583</v>
      </c>
      <c r="I472" s="2">
        <f>WORKDAY.INTL(F472,IF(OR(C472="MELHORIA PEQUENA",C472="MELHORIA MÉDIA"),3,1),1,ListaFeriados)</f>
        <v>45538</v>
      </c>
      <c r="J472" s="2">
        <f>WORKDAY.INTL(I472,IF(C472="MELHORIA MÉDIA",20,IF(OR(C472="MELHORIA PEQUENA",C472="BUG NÃO IMPEDITIVO"),5,2)),1,$X:$X)</f>
        <v>45566</v>
      </c>
      <c r="K472" t="str">
        <f>IF(H472&gt;J472,"ATRASO","NO PRAZO")</f>
        <v>ATRASO</v>
      </c>
    </row>
    <row r="473" spans="1:11">
      <c r="A473" s="1">
        <v>18388</v>
      </c>
      <c r="B473" t="s">
        <v>9</v>
      </c>
      <c r="C473" t="s">
        <v>15</v>
      </c>
      <c r="D473" s="1">
        <v>2575</v>
      </c>
      <c r="E473" s="1">
        <v>2024</v>
      </c>
      <c r="F473" s="2">
        <v>45537</v>
      </c>
      <c r="G473" s="2">
        <v>45541</v>
      </c>
      <c r="H473" s="2">
        <v>45573</v>
      </c>
      <c r="I473" s="2">
        <f>WORKDAY.INTL(F473,IF(OR(C473="MELHORIA PEQUENA",C473="MELHORIA MÉDIA"),3,1),1,ListaFeriados)</f>
        <v>45540</v>
      </c>
      <c r="J473" s="2">
        <f>WORKDAY.INTL(I473,IF(C473="MELHORIA MÉDIA",20,IF(OR(C473="MELHORIA PEQUENA",C473="BUG NÃO IMPEDITIVO"),5,2)),1,$X:$X)</f>
        <v>45568</v>
      </c>
      <c r="K473" t="str">
        <f>IF(H473&gt;J473,"ATRASO","NO PRAZO")</f>
        <v>ATRASO</v>
      </c>
    </row>
    <row r="474" spans="1:11">
      <c r="A474" s="1">
        <v>18717</v>
      </c>
      <c r="B474" t="s">
        <v>13</v>
      </c>
      <c r="C474" t="s">
        <v>15</v>
      </c>
      <c r="D474" s="1">
        <v>2904</v>
      </c>
      <c r="E474" s="1">
        <v>2024</v>
      </c>
      <c r="F474" s="2">
        <v>45581</v>
      </c>
      <c r="G474" s="2">
        <v>45604</v>
      </c>
      <c r="H474" s="2">
        <v>45609</v>
      </c>
      <c r="I474" s="2">
        <f>WORKDAY.INTL(F474,IF(OR(C474="MELHORIA PEQUENA",C474="MELHORIA MÉDIA"),3,1),1,ListaFeriados)</f>
        <v>45586</v>
      </c>
      <c r="J474" s="2">
        <f>WORKDAY.INTL(I474,IF(C474="MELHORIA MÉDIA",20,IF(OR(C474="MELHORIA PEQUENA",C474="BUG NÃO IMPEDITIVO"),5,2)),1,$X:$X)</f>
        <v>45617</v>
      </c>
      <c r="K474" t="str">
        <f>IF(H474&gt;J474,"ATRASO","NO PRAZO")</f>
        <v>NO PRAZO</v>
      </c>
    </row>
    <row r="475" spans="1:11">
      <c r="A475" s="1">
        <v>19253</v>
      </c>
      <c r="B475" t="s">
        <v>9</v>
      </c>
      <c r="C475" t="s">
        <v>15</v>
      </c>
      <c r="D475" s="1">
        <v>165</v>
      </c>
      <c r="E475" s="1">
        <v>2025</v>
      </c>
      <c r="F475" s="2">
        <v>45686</v>
      </c>
      <c r="G475" s="2">
        <v>45699</v>
      </c>
      <c r="H475" s="2">
        <v>45705</v>
      </c>
      <c r="I475" s="2">
        <f>WORKDAY.INTL(F475,IF(OR(C475="MELHORIA PEQUENA",C475="MELHORIA MÉDIA"),3,1),1,ListaFeriados)</f>
        <v>45691</v>
      </c>
      <c r="J475" s="2">
        <f>WORKDAY.INTL(I475,IF(C475="MELHORIA MÉDIA",20,IF(OR(C475="MELHORIA PEQUENA",C475="BUG NÃO IMPEDITIVO"),5,2)),1,$X:$X)</f>
        <v>45721</v>
      </c>
      <c r="K475" t="str">
        <f>IF(H475&gt;J475,"ATRASO","NO PRAZO")</f>
        <v>NO PRAZO</v>
      </c>
    </row>
    <row r="476" spans="1:11">
      <c r="A476" s="1">
        <v>18644</v>
      </c>
      <c r="B476" t="s">
        <v>9</v>
      </c>
      <c r="C476" t="s">
        <v>15</v>
      </c>
      <c r="D476" s="1">
        <v>2831</v>
      </c>
      <c r="E476" s="1">
        <v>2024</v>
      </c>
      <c r="F476" s="2">
        <v>45572</v>
      </c>
      <c r="G476" s="2">
        <v>45575</v>
      </c>
      <c r="H476" s="2">
        <v>45581</v>
      </c>
      <c r="I476" s="2">
        <f>WORKDAY.INTL(F476,IF(OR(C476="MELHORIA PEQUENA",C476="MELHORIA MÉDIA"),3,1),1,ListaFeriados)</f>
        <v>45575</v>
      </c>
      <c r="J476" s="2">
        <f>WORKDAY.INTL(I476,IF(C476="MELHORIA MÉDIA",20,IF(OR(C476="MELHORIA PEQUENA",C476="BUG NÃO IMPEDITIVO"),5,2)),1,$X:$X)</f>
        <v>45607</v>
      </c>
      <c r="K476" t="str">
        <f>IF(H476&gt;J476,"ATRASO","NO PRAZO")</f>
        <v>NO PRAZO</v>
      </c>
    </row>
    <row r="477" spans="1:11">
      <c r="A477" s="1">
        <v>17800</v>
      </c>
      <c r="B477" t="s">
        <v>9</v>
      </c>
      <c r="C477" t="s">
        <v>15</v>
      </c>
      <c r="D477" s="1">
        <v>1987</v>
      </c>
      <c r="E477" s="1">
        <v>2024</v>
      </c>
      <c r="F477" s="2">
        <v>45457</v>
      </c>
      <c r="G477" s="2">
        <v>45497</v>
      </c>
      <c r="H477" s="2">
        <v>45582</v>
      </c>
      <c r="I477" s="2">
        <f>WORKDAY.INTL(F477,IF(OR(C477="MELHORIA PEQUENA",C477="MELHORIA MÉDIA"),3,1),1,ListaFeriados)</f>
        <v>45462</v>
      </c>
      <c r="J477" s="2">
        <f>WORKDAY.INTL(I477,IF(C477="MELHORIA MÉDIA",20,IF(OR(C477="MELHORIA PEQUENA",C477="BUG NÃO IMPEDITIVO"),5,2)),1,$X:$X)</f>
        <v>45490</v>
      </c>
      <c r="K477" t="str">
        <f>IF(H477&gt;J477,"ATRASO","NO PRAZO")</f>
        <v>ATRASO</v>
      </c>
    </row>
    <row r="478" spans="1:11">
      <c r="A478" s="1">
        <v>20471</v>
      </c>
      <c r="B478" t="s">
        <v>9</v>
      </c>
      <c r="C478" t="s">
        <v>15</v>
      </c>
      <c r="D478" s="1">
        <v>1383</v>
      </c>
      <c r="E478" s="1">
        <v>2025</v>
      </c>
      <c r="F478" s="2">
        <v>45875</v>
      </c>
      <c r="G478" s="2">
        <v>45887</v>
      </c>
      <c r="H478" s="2">
        <v>45895</v>
      </c>
      <c r="I478" s="2">
        <f>WORKDAY.INTL(F478,IF(OR(C478="MELHORIA PEQUENA",C478="MELHORIA MÉDIA"),3,1),1,ListaFeriados)</f>
        <v>45880</v>
      </c>
      <c r="J478" s="2">
        <f>WORKDAY.INTL(I478,IF(C478="MELHORIA MÉDIA",20,IF(OR(C478="MELHORIA PEQUENA",C478="BUG NÃO IMPEDITIVO"),5,2)),1,$X:$X)</f>
        <v>45909</v>
      </c>
      <c r="K478" t="str">
        <f>IF(H478&gt;J478,"ATRASO","NO PRAZO")</f>
        <v>NO PRAZO</v>
      </c>
    </row>
    <row r="479" spans="1:11">
      <c r="A479" s="1">
        <v>19604</v>
      </c>
      <c r="B479" t="s">
        <v>9</v>
      </c>
      <c r="C479" t="s">
        <v>15</v>
      </c>
      <c r="D479" s="1">
        <v>516</v>
      </c>
      <c r="E479" s="1">
        <v>2025</v>
      </c>
      <c r="F479" s="2">
        <v>45740</v>
      </c>
      <c r="G479" s="2">
        <v>45741</v>
      </c>
      <c r="H479" s="2">
        <v>45806</v>
      </c>
      <c r="I479" s="2">
        <f>WORKDAY.INTL(F479,IF(OR(C479="MELHORIA PEQUENA",C479="MELHORIA MÉDIA"),3,1),1,ListaFeriados)</f>
        <v>45743</v>
      </c>
      <c r="J479" s="2">
        <f>WORKDAY.INTL(I479,IF(C479="MELHORIA MÉDIA",20,IF(OR(C479="MELHORIA PEQUENA",C479="BUG NÃO IMPEDITIVO"),5,2)),1,$X:$X)</f>
        <v>45776</v>
      </c>
      <c r="K479" t="str">
        <f>IF(H479&gt;J479,"ATRASO","NO PRAZO")</f>
        <v>ATRASO</v>
      </c>
    </row>
    <row r="480" spans="1:11">
      <c r="A480" s="1">
        <v>20571</v>
      </c>
      <c r="B480" t="s">
        <v>12</v>
      </c>
      <c r="C480" t="s">
        <v>15</v>
      </c>
      <c r="D480" s="1">
        <v>1483</v>
      </c>
      <c r="E480" s="1">
        <v>2025</v>
      </c>
      <c r="F480" s="2">
        <v>45888</v>
      </c>
      <c r="G480" s="2">
        <v>45888</v>
      </c>
      <c r="H480" s="2">
        <v>45890</v>
      </c>
      <c r="I480" s="2">
        <f>WORKDAY.INTL(F480,IF(OR(C480="MELHORIA PEQUENA",C480="MELHORIA MÉDIA"),3,1),1,ListaFeriados)</f>
        <v>45891</v>
      </c>
      <c r="J480" s="2">
        <f>WORKDAY.INTL(I480,IF(C480="MELHORIA MÉDIA",20,IF(OR(C480="MELHORIA PEQUENA",C480="BUG NÃO IMPEDITIVO"),5,2)),1,$X:$X)</f>
        <v>45919</v>
      </c>
      <c r="K480" t="str">
        <f>IF(H480&gt;J480,"ATRASO","NO PRAZO")</f>
        <v>NO PRAZO</v>
      </c>
    </row>
    <row r="481" spans="1:11">
      <c r="A481" s="1">
        <v>19830</v>
      </c>
      <c r="B481" t="s">
        <v>9</v>
      </c>
      <c r="C481" t="s">
        <v>15</v>
      </c>
      <c r="D481" s="1">
        <v>742</v>
      </c>
      <c r="E481" s="1">
        <v>2025</v>
      </c>
      <c r="F481" s="2">
        <v>45782</v>
      </c>
      <c r="G481" s="2">
        <v>45793</v>
      </c>
      <c r="H481" s="2">
        <v>45793</v>
      </c>
      <c r="I481" s="2">
        <f>WORKDAY.INTL(F481,IF(OR(C481="MELHORIA PEQUENA",C481="MELHORIA MÉDIA"),3,1),1,ListaFeriados)</f>
        <v>45785</v>
      </c>
      <c r="J481" s="2">
        <f>WORKDAY.INTL(I481,IF(C481="MELHORIA MÉDIA",20,IF(OR(C481="MELHORIA PEQUENA",C481="BUG NÃO IMPEDITIVO"),5,2)),1,$X:$X)</f>
        <v>45813</v>
      </c>
      <c r="K481" t="str">
        <f>IF(H481&gt;J481,"ATRASO","NO PRAZO")</f>
        <v>NO PRAZO</v>
      </c>
    </row>
    <row r="482" spans="1:11">
      <c r="A482" s="1">
        <v>20664</v>
      </c>
      <c r="B482" t="s">
        <v>9</v>
      </c>
      <c r="C482" t="s">
        <v>15</v>
      </c>
      <c r="D482" s="1">
        <v>1576</v>
      </c>
      <c r="E482" s="1">
        <v>2025</v>
      </c>
      <c r="F482" s="2">
        <v>45903</v>
      </c>
      <c r="G482" s="2">
        <v>45925</v>
      </c>
      <c r="H482" s="2">
        <v>45925</v>
      </c>
      <c r="I482" s="2">
        <f>WORKDAY.INTL(F482,IF(OR(C482="MELHORIA PEQUENA",C482="MELHORIA MÉDIA"),3,1),1,ListaFeriados)</f>
        <v>45908</v>
      </c>
      <c r="J482" s="2">
        <f>WORKDAY.INTL(I482,IF(C482="MELHORIA MÉDIA",20,IF(OR(C482="MELHORIA PEQUENA",C482="BUG NÃO IMPEDITIVO"),5,2)),1,$X:$X)</f>
        <v>45936</v>
      </c>
      <c r="K482" t="str">
        <f>IF(H482&gt;J482,"ATRASO","NO PRAZO")</f>
        <v>NO PRAZO</v>
      </c>
    </row>
    <row r="483" spans="1:11">
      <c r="A483" s="1">
        <v>20417</v>
      </c>
      <c r="B483" t="s">
        <v>9</v>
      </c>
      <c r="C483" t="s">
        <v>15</v>
      </c>
      <c r="D483" s="1">
        <v>1329</v>
      </c>
      <c r="E483" s="1">
        <v>2025</v>
      </c>
      <c r="F483" s="2">
        <v>45867</v>
      </c>
      <c r="G483" s="2">
        <v>45890</v>
      </c>
      <c r="H483" s="2">
        <v>45933</v>
      </c>
      <c r="I483" s="2">
        <f>WORKDAY.INTL(F483,IF(OR(C483="MELHORIA PEQUENA",C483="MELHORIA MÉDIA"),3,1),1,ListaFeriados)</f>
        <v>45870</v>
      </c>
      <c r="J483" s="2">
        <f>WORKDAY.INTL(I483,IF(C483="MELHORIA MÉDIA",20,IF(OR(C483="MELHORIA PEQUENA",C483="BUG NÃO IMPEDITIVO"),5,2)),1,$X:$X)</f>
        <v>45901</v>
      </c>
      <c r="K483" t="str">
        <f>IF(H483&gt;J483,"ATRASO","NO PRAZO")</f>
        <v>ATRASO</v>
      </c>
    </row>
    <row r="484" spans="1:11">
      <c r="A484" s="1">
        <v>20653</v>
      </c>
      <c r="B484" t="s">
        <v>12</v>
      </c>
      <c r="C484" t="s">
        <v>15</v>
      </c>
      <c r="D484" s="1">
        <v>1565</v>
      </c>
      <c r="E484" s="1">
        <v>2025</v>
      </c>
      <c r="F484" s="2">
        <v>45901</v>
      </c>
      <c r="G484" s="2">
        <v>45910</v>
      </c>
      <c r="H484" s="2">
        <v>45943</v>
      </c>
      <c r="I484" s="2">
        <f>WORKDAY.INTL(F484,IF(OR(C484="MELHORIA PEQUENA",C484="MELHORIA MÉDIA"),3,1),1,ListaFeriados)</f>
        <v>45904</v>
      </c>
      <c r="J484" s="2">
        <f>WORKDAY.INTL(I484,IF(C484="MELHORIA MÉDIA",20,IF(OR(C484="MELHORIA PEQUENA",C484="BUG NÃO IMPEDITIVO"),5,2)),1,$X:$X)</f>
        <v>45932</v>
      </c>
      <c r="K484" t="str">
        <f>IF(H484&gt;J484,"ATRASO","NO PRAZO")</f>
        <v>ATRASO</v>
      </c>
    </row>
    <row r="485" spans="1:11">
      <c r="A485" s="1">
        <v>20586</v>
      </c>
      <c r="B485" t="s">
        <v>9</v>
      </c>
      <c r="C485" t="s">
        <v>15</v>
      </c>
      <c r="D485" s="1">
        <v>1498</v>
      </c>
      <c r="E485" s="1">
        <v>2025</v>
      </c>
      <c r="F485" s="2">
        <v>45890</v>
      </c>
      <c r="G485" s="2">
        <v>45891</v>
      </c>
      <c r="H485" s="2">
        <v>45918</v>
      </c>
      <c r="I485" s="2">
        <f>WORKDAY.INTL(F485,IF(OR(C485="MELHORIA PEQUENA",C485="MELHORIA MÉDIA"),3,1),1,ListaFeriados)</f>
        <v>45895</v>
      </c>
      <c r="J485" s="2">
        <f>WORKDAY.INTL(I485,IF(C485="MELHORIA MÉDIA",20,IF(OR(C485="MELHORIA PEQUENA",C485="BUG NÃO IMPEDITIVO"),5,2)),1,$X:$X)</f>
        <v>45923</v>
      </c>
      <c r="K485" t="str">
        <f>IF(H485&gt;J485,"ATRASO","NO PRAZO")</f>
        <v>NO PRAZO</v>
      </c>
    </row>
    <row r="486" spans="1:11">
      <c r="A486" s="1">
        <v>19740</v>
      </c>
      <c r="B486" t="s">
        <v>13</v>
      </c>
      <c r="C486" t="s">
        <v>15</v>
      </c>
      <c r="D486" s="1">
        <v>652</v>
      </c>
      <c r="E486" s="1">
        <v>2025</v>
      </c>
      <c r="F486" s="2">
        <v>45761</v>
      </c>
      <c r="G486" s="2">
        <v>45761</v>
      </c>
      <c r="H486" s="2">
        <v>45785</v>
      </c>
      <c r="I486" s="2">
        <f>WORKDAY.INTL(F486,IF(OR(C486="MELHORIA PEQUENA",C486="MELHORIA MÉDIA"),3,1),1,ListaFeriados)</f>
        <v>45764</v>
      </c>
      <c r="J486" s="2">
        <f>WORKDAY.INTL(I486,IF(C486="MELHORIA MÉDIA",20,IF(OR(C486="MELHORIA PEQUENA",C486="BUG NÃO IMPEDITIVO"),5,2)),1,$X:$X)</f>
        <v>45798</v>
      </c>
      <c r="K486" t="str">
        <f>IF(H486&gt;J486,"ATRASO","NO PRAZO")</f>
        <v>NO PRAZO</v>
      </c>
    </row>
    <row r="487" spans="1:11">
      <c r="A487" s="1">
        <v>21389</v>
      </c>
      <c r="B487" t="s">
        <v>9</v>
      </c>
      <c r="C487" t="s">
        <v>15</v>
      </c>
      <c r="D487" s="1">
        <v>2301</v>
      </c>
      <c r="E487" s="1">
        <v>2025</v>
      </c>
      <c r="F487" s="2">
        <v>45982</v>
      </c>
      <c r="G487" s="2">
        <v>45982</v>
      </c>
      <c r="H487" s="2">
        <v>46010</v>
      </c>
      <c r="I487" s="2">
        <f>WORKDAY.INTL(F487,IF(OR(C487="MELHORIA PEQUENA",C487="MELHORIA MÉDIA"),3,1),1,ListaFeriados)</f>
        <v>45987</v>
      </c>
      <c r="J487" s="2">
        <f>WORKDAY.INTL(I487,IF(C487="MELHORIA MÉDIA",20,IF(OR(C487="MELHORIA PEQUENA",C487="BUG NÃO IMPEDITIVO"),5,2)),1,$X:$X)</f>
        <v>46015</v>
      </c>
      <c r="K487" t="str">
        <f>IF(H487&gt;J487,"ATRASO","NO PRAZO")</f>
        <v>NO PRAZO</v>
      </c>
    </row>
    <row r="488" spans="1:11">
      <c r="A488" s="1">
        <v>21390</v>
      </c>
      <c r="B488" t="s">
        <v>14</v>
      </c>
      <c r="C488" t="s">
        <v>15</v>
      </c>
      <c r="D488" s="1">
        <v>2302</v>
      </c>
      <c r="E488" s="1">
        <v>2025</v>
      </c>
      <c r="F488" s="2">
        <v>45982</v>
      </c>
      <c r="G488" s="2">
        <v>45985</v>
      </c>
      <c r="H488" s="2">
        <v>46010</v>
      </c>
      <c r="I488" s="2">
        <f>WORKDAY.INTL(F488,IF(OR(C488="MELHORIA PEQUENA",C488="MELHORIA MÉDIA"),3,1),1,ListaFeriados)</f>
        <v>45987</v>
      </c>
      <c r="J488" s="2">
        <f>WORKDAY.INTL(I488,IF(C488="MELHORIA MÉDIA",20,IF(OR(C488="MELHORIA PEQUENA",C488="BUG NÃO IMPEDITIVO"),5,2)),1,$X:$X)</f>
        <v>46015</v>
      </c>
      <c r="K488" t="str">
        <f>IF(H488&gt;J488,"ATRASO","NO PRAZO")</f>
        <v>NO PRAZO</v>
      </c>
    </row>
    <row r="489" spans="1:11">
      <c r="A489" s="1">
        <v>21551</v>
      </c>
      <c r="B489" t="s">
        <v>9</v>
      </c>
      <c r="C489" t="s">
        <v>15</v>
      </c>
      <c r="D489" s="1">
        <v>2463</v>
      </c>
      <c r="E489" s="1">
        <v>2025</v>
      </c>
      <c r="F489" s="2">
        <v>46008</v>
      </c>
      <c r="G489" s="2">
        <v>46014</v>
      </c>
      <c r="H489" s="2">
        <v>46036</v>
      </c>
      <c r="I489" s="2">
        <f>WORKDAY.INTL(F489,IF(OR(C489="MELHORIA PEQUENA",C489="MELHORIA MÉDIA"),3,1),1,ListaFeriados)</f>
        <v>46013</v>
      </c>
      <c r="J489" s="2">
        <f>WORKDAY.INTL(I489,IF(C489="MELHORIA MÉDIA",20,IF(OR(C489="MELHORIA PEQUENA",C489="BUG NÃO IMPEDITIVO"),5,2)),1,$X:$X)</f>
        <v>46044</v>
      </c>
      <c r="K489" t="str">
        <f>IF(H489&gt;J489,"ATRASO","NO PRAZO")</f>
        <v>NO PRAZO</v>
      </c>
    </row>
    <row r="490" spans="1:11">
      <c r="A490" s="1">
        <v>21146</v>
      </c>
      <c r="B490" t="s">
        <v>10</v>
      </c>
      <c r="C490" t="s">
        <v>15</v>
      </c>
      <c r="D490" s="1">
        <v>2058</v>
      </c>
      <c r="E490" s="1">
        <v>2025</v>
      </c>
      <c r="F490" s="2">
        <v>45943</v>
      </c>
      <c r="G490" s="2">
        <v>45950</v>
      </c>
      <c r="H490" s="2">
        <v>45967</v>
      </c>
      <c r="I490" s="2">
        <f>WORKDAY.INTL(F490,IF(OR(C490="MELHORIA PEQUENA",C490="MELHORIA MÉDIA"),3,1),1,ListaFeriados)</f>
        <v>45947</v>
      </c>
      <c r="J490" s="2">
        <f>WORKDAY.INTL(I490,IF(C490="MELHORIA MÉDIA",20,IF(OR(C490="MELHORIA PEQUENA",C490="BUG NÃO IMPEDITIVO"),5,2)),1,$X:$X)</f>
        <v>45978</v>
      </c>
      <c r="K490" t="str">
        <f>IF(H490&gt;J490,"ATRASO","NO PRAZO")</f>
        <v>NO PRAZO</v>
      </c>
    </row>
    <row r="491" spans="1:11">
      <c r="A491" s="1">
        <v>21484</v>
      </c>
      <c r="B491" t="s">
        <v>10</v>
      </c>
      <c r="C491" t="s">
        <v>15</v>
      </c>
      <c r="D491" s="1">
        <v>2396</v>
      </c>
      <c r="E491" s="1">
        <v>2025</v>
      </c>
      <c r="F491" s="2">
        <v>45996</v>
      </c>
      <c r="G491" s="2">
        <v>45996</v>
      </c>
      <c r="H491" s="2">
        <v>46021</v>
      </c>
      <c r="I491" s="2">
        <f>WORKDAY.INTL(F491,IF(OR(C491="MELHORIA PEQUENA",C491="MELHORIA MÉDIA"),3,1),1,ListaFeriados)</f>
        <v>46001</v>
      </c>
      <c r="J491" s="2">
        <f>WORKDAY.INTL(I491,IF(C491="MELHORIA MÉDIA",20,IF(OR(C491="MELHORIA PEQUENA",C491="BUG NÃO IMPEDITIVO"),5,2)),1,$X:$X)</f>
        <v>46031</v>
      </c>
      <c r="K491" t="str">
        <f>IF(H491&gt;J491,"ATRASO","NO PRAZO")</f>
        <v>NO PRAZO</v>
      </c>
    </row>
    <row r="492" spans="1:11">
      <c r="A492" s="1">
        <v>21093</v>
      </c>
      <c r="B492" t="s">
        <v>8</v>
      </c>
      <c r="C492" t="s">
        <v>15</v>
      </c>
      <c r="D492" s="1">
        <v>2005</v>
      </c>
      <c r="E492" s="1">
        <v>2025</v>
      </c>
      <c r="F492" s="2">
        <v>45933</v>
      </c>
      <c r="G492" s="2">
        <v>45936</v>
      </c>
      <c r="H492" s="2">
        <v>45964</v>
      </c>
      <c r="I492" s="2">
        <f>WORKDAY.INTL(F492,IF(OR(C492="MELHORIA PEQUENA",C492="MELHORIA MÉDIA"),3,1),1,ListaFeriados)</f>
        <v>45938</v>
      </c>
      <c r="J492" s="2">
        <f>WORKDAY.INTL(I492,IF(C492="MELHORIA MÉDIA",20,IF(OR(C492="MELHORIA PEQUENA",C492="BUG NÃO IMPEDITIVO"),5,2)),1,$X:$X)</f>
        <v>45968</v>
      </c>
      <c r="K492" t="str">
        <f>IF(H492&gt;J492,"ATRASO","NO PRAZO")</f>
        <v>NO PRAZO</v>
      </c>
    </row>
    <row r="493" spans="1:11">
      <c r="A493" s="1">
        <v>21247</v>
      </c>
      <c r="B493" t="s">
        <v>9</v>
      </c>
      <c r="C493" t="s">
        <v>15</v>
      </c>
      <c r="D493" s="1">
        <v>2159</v>
      </c>
      <c r="E493" s="1">
        <v>2025</v>
      </c>
      <c r="F493" s="2">
        <v>45960</v>
      </c>
      <c r="G493" s="2">
        <v>45987</v>
      </c>
      <c r="H493" s="2">
        <v>45987</v>
      </c>
      <c r="I493" s="2">
        <f>WORKDAY.INTL(F493,IF(OR(C493="MELHORIA PEQUENA",C493="MELHORIA MÉDIA"),3,1),1,ListaFeriados)</f>
        <v>45965</v>
      </c>
      <c r="J493" s="2">
        <f>WORKDAY.INTL(I493,IF(C493="MELHORIA MÉDIA",20,IF(OR(C493="MELHORIA PEQUENA",C493="BUG NÃO IMPEDITIVO"),5,2)),1,$X:$X)</f>
        <v>45994</v>
      </c>
      <c r="K493" t="str">
        <f>IF(H493&gt;J493,"ATRASO","NO PRAZO")</f>
        <v>NO PRAZO</v>
      </c>
    </row>
    <row r="494" spans="1:11">
      <c r="A494" s="1">
        <v>21431</v>
      </c>
      <c r="B494" t="s">
        <v>9</v>
      </c>
      <c r="C494" t="s">
        <v>15</v>
      </c>
      <c r="D494" s="1">
        <v>2343</v>
      </c>
      <c r="E494" s="1">
        <v>2025</v>
      </c>
      <c r="F494" s="2">
        <v>45989</v>
      </c>
      <c r="G494" s="2">
        <v>46006</v>
      </c>
      <c r="H494" s="2">
        <v>46014</v>
      </c>
      <c r="I494" s="2">
        <f>WORKDAY.INTL(F494,IF(OR(C494="MELHORIA PEQUENA",C494="MELHORIA MÉDIA"),3,1),1,ListaFeriados)</f>
        <v>45994</v>
      </c>
      <c r="J494" s="2">
        <f>WORKDAY.INTL(I494,IF(C494="MELHORIA MÉDIA",20,IF(OR(C494="MELHORIA PEQUENA",C494="BUG NÃO IMPEDITIVO"),5,2)),1,$X:$X)</f>
        <v>46024</v>
      </c>
      <c r="K494" t="str">
        <f>IF(H494&gt;J494,"ATRASO","NO PRAZO")</f>
        <v>NO PRAZO</v>
      </c>
    </row>
    <row r="495" spans="1:11">
      <c r="A495" s="1">
        <v>21643</v>
      </c>
      <c r="B495" t="s">
        <v>9</v>
      </c>
      <c r="C495" t="s">
        <v>15</v>
      </c>
      <c r="D495" s="1">
        <v>49</v>
      </c>
      <c r="E495" s="1">
        <v>2026</v>
      </c>
      <c r="F495" s="2">
        <v>46031</v>
      </c>
      <c r="G495" s="2">
        <v>46037</v>
      </c>
      <c r="H495" s="2">
        <v>46055</v>
      </c>
      <c r="I495" s="2">
        <f>WORKDAY.INTL(F495,IF(OR(C495="MELHORIA PEQUENA",C495="MELHORIA MÉDIA"),3,1),1,ListaFeriados)</f>
        <v>46036</v>
      </c>
      <c r="J495" s="2">
        <f>WORKDAY.INTL(I495,IF(C495="MELHORIA MÉDIA",20,IF(OR(C495="MELHORIA PEQUENA",C495="BUG NÃO IMPEDITIVO"),5,2)),1,$X:$X)</f>
        <v>46065</v>
      </c>
      <c r="K495" t="str">
        <f>IF(H495&gt;J495,"ATRASO","NO PRAZO")</f>
        <v>NO PRAZO</v>
      </c>
    </row>
    <row r="496" spans="1:11">
      <c r="A496" s="1">
        <v>21452</v>
      </c>
      <c r="B496" t="s">
        <v>9</v>
      </c>
      <c r="C496" t="s">
        <v>15</v>
      </c>
      <c r="D496" s="1">
        <v>2364</v>
      </c>
      <c r="E496" s="1">
        <v>2025</v>
      </c>
      <c r="F496" s="2">
        <v>45994</v>
      </c>
      <c r="G496" s="2">
        <v>45999</v>
      </c>
      <c r="H496" s="2">
        <v>46021</v>
      </c>
      <c r="I496" s="2">
        <f>WORKDAY.INTL(F496,IF(OR(C496="MELHORIA PEQUENA",C496="MELHORIA MÉDIA"),3,1),1,ListaFeriados)</f>
        <v>45999</v>
      </c>
      <c r="J496" s="2">
        <f>WORKDAY.INTL(I496,IF(C496="MELHORIA MÉDIA",20,IF(OR(C496="MELHORIA PEQUENA",C496="BUG NÃO IMPEDITIVO"),5,2)),1,$X:$X)</f>
        <v>46029</v>
      </c>
      <c r="K496" t="str">
        <f>IF(H496&gt;J496,"ATRASO","NO PRAZO")</f>
        <v>NO PRAZO</v>
      </c>
    </row>
    <row r="497" spans="1:11">
      <c r="A497" s="1">
        <v>21560</v>
      </c>
      <c r="B497" t="s">
        <v>9</v>
      </c>
      <c r="C497" t="s">
        <v>15</v>
      </c>
      <c r="D497" s="1">
        <v>2472</v>
      </c>
      <c r="E497" s="1">
        <v>2025</v>
      </c>
      <c r="F497" s="2">
        <v>46009</v>
      </c>
      <c r="G497" s="2">
        <v>46029</v>
      </c>
      <c r="H497" s="2">
        <v>46037</v>
      </c>
      <c r="I497" s="2">
        <f>WORKDAY.INTL(F497,IF(OR(C497="MELHORIA PEQUENA",C497="MELHORIA MÉDIA"),3,1),1,ListaFeriados)</f>
        <v>46014</v>
      </c>
      <c r="J497" s="2">
        <f>WORKDAY.INTL(I497,IF(C497="MELHORIA MÉDIA",20,IF(OR(C497="MELHORIA PEQUENA",C497="BUG NÃO IMPEDITIVO"),5,2)),1,$X:$X)</f>
        <v>46045</v>
      </c>
      <c r="K497" t="str">
        <f>IF(H497&gt;J497,"ATRASO","NO PRAZO")</f>
        <v>NO PRAZO</v>
      </c>
    </row>
    <row r="498" spans="1:11">
      <c r="A498" s="1">
        <v>21670</v>
      </c>
      <c r="B498" t="s">
        <v>8</v>
      </c>
      <c r="C498" t="s">
        <v>15</v>
      </c>
      <c r="D498" s="1">
        <v>76</v>
      </c>
      <c r="E498" s="1">
        <v>2026</v>
      </c>
      <c r="F498" s="2">
        <v>46037</v>
      </c>
      <c r="G498" s="2">
        <v>46044</v>
      </c>
      <c r="H498" s="2">
        <v>46062</v>
      </c>
      <c r="I498" s="2">
        <f>WORKDAY.INTL(F498,IF(OR(C498="MELHORIA PEQUENA",C498="MELHORIA MÉDIA"),3,1),1,ListaFeriados)</f>
        <v>46043</v>
      </c>
      <c r="J498" s="2">
        <f>WORKDAY.INTL(I498,IF(C498="MELHORIA MÉDIA",20,IF(OR(C498="MELHORIA PEQUENA",C498="BUG NÃO IMPEDITIVO"),5,2)),1,$X:$X)</f>
        <v>46073</v>
      </c>
      <c r="K498" t="str">
        <f>IF(H498&gt;J498,"ATRASO","NO PRAZO")</f>
        <v>NO PRAZO</v>
      </c>
    </row>
    <row r="499" spans="1:11">
      <c r="A499" s="1">
        <v>20958</v>
      </c>
      <c r="B499" t="s">
        <v>13</v>
      </c>
      <c r="C499" t="s">
        <v>15</v>
      </c>
      <c r="D499" s="1">
        <v>1870</v>
      </c>
      <c r="E499" s="1">
        <v>2025</v>
      </c>
      <c r="F499" s="2">
        <v>45915</v>
      </c>
      <c r="G499" s="2">
        <v>45933</v>
      </c>
      <c r="H499" s="2">
        <v>46094</v>
      </c>
      <c r="I499" s="2">
        <f>WORKDAY.INTL(F499,IF(OR(C499="MELHORIA PEQUENA",C499="MELHORIA MÉDIA"),3,1),1,ListaFeriados)</f>
        <v>45918</v>
      </c>
      <c r="J499" s="2">
        <f>WORKDAY.INTL(I499,IF(C499="MELHORIA MÉDIA",20,IF(OR(C499="MELHORIA PEQUENA",C499="BUG NÃO IMPEDITIVO"),5,2)),1,$X:$X)</f>
        <v>45947</v>
      </c>
      <c r="K499" t="str">
        <f>IF(H499&gt;J499,"ATRASO","NO PRAZO")</f>
        <v>ATRASO</v>
      </c>
    </row>
    <row r="500" spans="1:11">
      <c r="A500" s="1">
        <v>21414</v>
      </c>
      <c r="B500" t="s">
        <v>9</v>
      </c>
      <c r="C500" t="s">
        <v>15</v>
      </c>
      <c r="D500" s="1">
        <v>2326</v>
      </c>
      <c r="E500" s="1">
        <v>2025</v>
      </c>
      <c r="F500" s="2">
        <v>45987</v>
      </c>
      <c r="G500" s="2">
        <v>45988</v>
      </c>
      <c r="H500" s="2">
        <v>45994</v>
      </c>
      <c r="I500" s="2">
        <f>WORKDAY.INTL(F500,IF(OR(C500="MELHORIA PEQUENA",C500="MELHORIA MÉDIA"),3,1),1,ListaFeriados)</f>
        <v>45992</v>
      </c>
      <c r="J500" s="2">
        <f>WORKDAY.INTL(I500,IF(C500="MELHORIA MÉDIA",20,IF(OR(C500="MELHORIA PEQUENA",C500="BUG NÃO IMPEDITIVO"),5,2)),1,$X:$X)</f>
        <v>46021</v>
      </c>
      <c r="K500" t="str">
        <f>IF(H500&gt;J500,"ATRASO","NO PRAZO")</f>
        <v>NO PRAZO</v>
      </c>
    </row>
    <row r="501" spans="1:11">
      <c r="A501" s="1">
        <v>17335</v>
      </c>
      <c r="B501" t="s">
        <v>11</v>
      </c>
      <c r="C501" t="s">
        <v>16</v>
      </c>
      <c r="D501" s="1">
        <v>1522</v>
      </c>
      <c r="E501" s="1">
        <v>2024</v>
      </c>
      <c r="F501" s="2">
        <v>45418</v>
      </c>
      <c r="G501" s="2">
        <v>45418</v>
      </c>
      <c r="H501" s="2">
        <v>45422</v>
      </c>
      <c r="I501" s="2">
        <f>WORKDAY.INTL(F501,IF(OR(C501="MELHORIA PEQUENA",C501="MELHORIA MÉDIA"),3,1),1,ListaFeriados)</f>
        <v>45419</v>
      </c>
      <c r="J501" s="2">
        <f>WORKDAY.INTL(I501,IF(C501="MELHORIA MÉDIA",20,IF(OR(C501="MELHORIA PEQUENA",C501="BUG NÃO IMPEDITIVO"),5,2)),1,$X:$X)</f>
        <v>45426</v>
      </c>
      <c r="K501" t="str">
        <f>IF(H501&gt;J501,"ATRASO","NO PRAZO")</f>
        <v>NO PRAZO</v>
      </c>
    </row>
    <row r="502" spans="1:11">
      <c r="A502" s="1">
        <v>17189</v>
      </c>
      <c r="B502" t="s">
        <v>9</v>
      </c>
      <c r="C502" t="s">
        <v>16</v>
      </c>
      <c r="D502" s="1">
        <v>1376</v>
      </c>
      <c r="E502" s="1">
        <v>2024</v>
      </c>
      <c r="F502" s="2">
        <v>45400</v>
      </c>
      <c r="G502" s="2">
        <v>45407</v>
      </c>
      <c r="H502" s="2">
        <v>45407</v>
      </c>
      <c r="I502" s="2">
        <f>WORKDAY.INTL(F502,IF(OR(C502="MELHORIA PEQUENA",C502="MELHORIA MÉDIA"),3,1),1,ListaFeriados)</f>
        <v>45401</v>
      </c>
      <c r="J502" s="2">
        <f>WORKDAY.INTL(I502,IF(C502="MELHORIA MÉDIA",20,IF(OR(C502="MELHORIA PEQUENA",C502="BUG NÃO IMPEDITIVO"),5,2)),1,$X:$X)</f>
        <v>45411</v>
      </c>
      <c r="K502" t="str">
        <f>IF(H502&gt;J502,"ATRASO","NO PRAZO")</f>
        <v>NO PRAZO</v>
      </c>
    </row>
    <row r="503" spans="1:11">
      <c r="A503" s="1">
        <v>17238</v>
      </c>
      <c r="B503" t="s">
        <v>9</v>
      </c>
      <c r="C503" t="s">
        <v>16</v>
      </c>
      <c r="D503" s="1">
        <v>1425</v>
      </c>
      <c r="E503" s="1">
        <v>2024</v>
      </c>
      <c r="F503" s="2">
        <v>45406</v>
      </c>
      <c r="G503" s="2">
        <v>45412</v>
      </c>
      <c r="H503" s="2">
        <v>45412</v>
      </c>
      <c r="I503" s="2">
        <f>WORKDAY.INTL(F503,IF(OR(C503="MELHORIA PEQUENA",C503="MELHORIA MÉDIA"),3,1),1,ListaFeriados)</f>
        <v>45407</v>
      </c>
      <c r="J503" s="2">
        <f>WORKDAY.INTL(I503,IF(C503="MELHORIA MÉDIA",20,IF(OR(C503="MELHORIA PEQUENA",C503="BUG NÃO IMPEDITIVO"),5,2)),1,$X:$X)</f>
        <v>45415</v>
      </c>
      <c r="K503" t="str">
        <f>IF(H503&gt;J503,"ATRASO","NO PRAZO")</f>
        <v>NO PRAZO</v>
      </c>
    </row>
    <row r="504" spans="1:11">
      <c r="A504" s="1">
        <v>18368</v>
      </c>
      <c r="B504" t="s">
        <v>8</v>
      </c>
      <c r="C504" t="s">
        <v>16</v>
      </c>
      <c r="D504" s="1">
        <v>2555</v>
      </c>
      <c r="E504" s="1">
        <v>2024</v>
      </c>
      <c r="F504" s="2">
        <v>45532</v>
      </c>
      <c r="G504" s="2">
        <v>45534</v>
      </c>
      <c r="H504" s="2">
        <v>45537</v>
      </c>
      <c r="I504" s="2">
        <f>WORKDAY.INTL(F504,IF(OR(C504="MELHORIA PEQUENA",C504="MELHORIA MÉDIA"),3,1),1,ListaFeriados)</f>
        <v>45533</v>
      </c>
      <c r="J504" s="2">
        <f>WORKDAY.INTL(I504,IF(C504="MELHORIA MÉDIA",20,IF(OR(C504="MELHORIA PEQUENA",C504="BUG NÃO IMPEDITIVO"),5,2)),1,$X:$X)</f>
        <v>45540</v>
      </c>
      <c r="K504" t="str">
        <f>IF(H504&gt;J504,"ATRASO","NO PRAZO")</f>
        <v>NO PRAZO</v>
      </c>
    </row>
    <row r="505" spans="1:11">
      <c r="A505" s="1">
        <v>17787</v>
      </c>
      <c r="B505" t="s">
        <v>6</v>
      </c>
      <c r="C505" t="s">
        <v>16</v>
      </c>
      <c r="D505" s="1">
        <v>1974</v>
      </c>
      <c r="E505" s="1">
        <v>2024</v>
      </c>
      <c r="F505" s="2">
        <v>45456</v>
      </c>
      <c r="G505" s="2">
        <v>45457</v>
      </c>
      <c r="H505" s="2">
        <v>45464</v>
      </c>
      <c r="I505" s="2">
        <f>WORKDAY.INTL(F505,IF(OR(C505="MELHORIA PEQUENA",C505="MELHORIA MÉDIA"),3,1),1,ListaFeriados)</f>
        <v>45457</v>
      </c>
      <c r="J505" s="2">
        <f>WORKDAY.INTL(I505,IF(C505="MELHORIA MÉDIA",20,IF(OR(C505="MELHORIA PEQUENA",C505="BUG NÃO IMPEDITIVO"),5,2)),1,$X:$X)</f>
        <v>45464</v>
      </c>
      <c r="K505" t="str">
        <f>IF(H505&gt;J505,"ATRASO","NO PRAZO")</f>
        <v>NO PRAZO</v>
      </c>
    </row>
    <row r="506" spans="1:11">
      <c r="A506" s="1">
        <v>17788</v>
      </c>
      <c r="B506" t="s">
        <v>6</v>
      </c>
      <c r="C506" t="s">
        <v>16</v>
      </c>
      <c r="D506" s="1">
        <v>1975</v>
      </c>
      <c r="E506" s="1">
        <v>2024</v>
      </c>
      <c r="F506" s="2">
        <v>45456</v>
      </c>
      <c r="G506" s="2">
        <v>45457</v>
      </c>
      <c r="H506" s="2">
        <v>45464</v>
      </c>
      <c r="I506" s="2">
        <f>WORKDAY.INTL(F506,IF(OR(C506="MELHORIA PEQUENA",C506="MELHORIA MÉDIA"),3,1),1,ListaFeriados)</f>
        <v>45457</v>
      </c>
      <c r="J506" s="2">
        <f>WORKDAY.INTL(I506,IF(C506="MELHORIA MÉDIA",20,IF(OR(C506="MELHORIA PEQUENA",C506="BUG NÃO IMPEDITIVO"),5,2)),1,$X:$X)</f>
        <v>45464</v>
      </c>
      <c r="K506" t="str">
        <f>IF(H506&gt;J506,"ATRASO","NO PRAZO")</f>
        <v>NO PRAZO</v>
      </c>
    </row>
    <row r="507" spans="1:11">
      <c r="A507" s="1">
        <v>18468</v>
      </c>
      <c r="B507" t="s">
        <v>9</v>
      </c>
      <c r="C507" t="s">
        <v>16</v>
      </c>
      <c r="D507" s="1">
        <v>2655</v>
      </c>
      <c r="E507" s="1">
        <v>2024</v>
      </c>
      <c r="F507" s="2">
        <v>45546</v>
      </c>
      <c r="G507" s="2">
        <v>45554</v>
      </c>
      <c r="H507" s="2">
        <v>45554</v>
      </c>
      <c r="I507" s="2">
        <f>WORKDAY.INTL(F507,IF(OR(C507="MELHORIA PEQUENA",C507="MELHORIA MÉDIA"),3,1),1,ListaFeriados)</f>
        <v>45547</v>
      </c>
      <c r="J507" s="2">
        <f>WORKDAY.INTL(I507,IF(C507="MELHORIA MÉDIA",20,IF(OR(C507="MELHORIA PEQUENA",C507="BUG NÃO IMPEDITIVO"),5,2)),1,$X:$X)</f>
        <v>45554</v>
      </c>
      <c r="K507" t="str">
        <f>IF(H507&gt;J507,"ATRASO","NO PRAZO")</f>
        <v>NO PRAZO</v>
      </c>
    </row>
    <row r="508" spans="1:11">
      <c r="A508" s="1">
        <v>18479</v>
      </c>
      <c r="B508" t="s">
        <v>13</v>
      </c>
      <c r="C508" t="s">
        <v>16</v>
      </c>
      <c r="D508" s="1">
        <v>2666</v>
      </c>
      <c r="E508" s="1">
        <v>2024</v>
      </c>
      <c r="F508" s="2">
        <v>45547</v>
      </c>
      <c r="G508" s="2">
        <v>45548</v>
      </c>
      <c r="H508" s="2">
        <v>45553</v>
      </c>
      <c r="I508" s="2">
        <f>WORKDAY.INTL(F508,IF(OR(C508="MELHORIA PEQUENA",C508="MELHORIA MÉDIA"),3,1),1,ListaFeriados)</f>
        <v>45548</v>
      </c>
      <c r="J508" s="2">
        <f>WORKDAY.INTL(I508,IF(C508="MELHORIA MÉDIA",20,IF(OR(C508="MELHORIA PEQUENA",C508="BUG NÃO IMPEDITIVO"),5,2)),1,$X:$X)</f>
        <v>45555</v>
      </c>
      <c r="K508" t="str">
        <f>IF(H508&gt;J508,"ATRASO","NO PRAZO")</f>
        <v>NO PRAZO</v>
      </c>
    </row>
    <row r="509" spans="1:11">
      <c r="A509" s="1">
        <v>18461</v>
      </c>
      <c r="B509" t="s">
        <v>9</v>
      </c>
      <c r="C509" t="s">
        <v>16</v>
      </c>
      <c r="D509" s="1">
        <v>2648</v>
      </c>
      <c r="E509" s="1">
        <v>2024</v>
      </c>
      <c r="F509" s="2">
        <v>45545</v>
      </c>
      <c r="G509" s="2">
        <v>45554</v>
      </c>
      <c r="H509" s="2">
        <v>45555</v>
      </c>
      <c r="I509" s="2">
        <f>WORKDAY.INTL(F509,IF(OR(C509="MELHORIA PEQUENA",C509="MELHORIA MÉDIA"),3,1),1,ListaFeriados)</f>
        <v>45546</v>
      </c>
      <c r="J509" s="2">
        <f>WORKDAY.INTL(I509,IF(C509="MELHORIA MÉDIA",20,IF(OR(C509="MELHORIA PEQUENA",C509="BUG NÃO IMPEDITIVO"),5,2)),1,$X:$X)</f>
        <v>45553</v>
      </c>
      <c r="K509" t="str">
        <f>IF(H509&gt;J509,"ATRASO","NO PRAZO")</f>
        <v>ATRASO</v>
      </c>
    </row>
    <row r="510" spans="1:11">
      <c r="A510" s="1">
        <v>17648</v>
      </c>
      <c r="B510" t="s">
        <v>13</v>
      </c>
      <c r="C510" t="s">
        <v>16</v>
      </c>
      <c r="D510" s="1">
        <v>1835</v>
      </c>
      <c r="E510" s="1">
        <v>2024</v>
      </c>
      <c r="F510" s="2">
        <v>45440</v>
      </c>
      <c r="G510" s="2">
        <v>45441</v>
      </c>
      <c r="H510" s="2">
        <v>45441</v>
      </c>
      <c r="I510" s="2">
        <f>WORKDAY.INTL(F510,IF(OR(C510="MELHORIA PEQUENA",C510="MELHORIA MÉDIA"),3,1),1,ListaFeriados)</f>
        <v>45441</v>
      </c>
      <c r="J510" s="2">
        <f>WORKDAY.INTL(I510,IF(C510="MELHORIA MÉDIA",20,IF(OR(C510="MELHORIA PEQUENA",C510="BUG NÃO IMPEDITIVO"),5,2)),1,$X:$X)</f>
        <v>45449</v>
      </c>
      <c r="K510" t="str">
        <f>IF(H510&gt;J510,"ATRASO","NO PRAZO")</f>
        <v>NO PRAZO</v>
      </c>
    </row>
    <row r="511" spans="1:11">
      <c r="A511" s="1">
        <v>18090</v>
      </c>
      <c r="B511" t="s">
        <v>9</v>
      </c>
      <c r="C511" t="s">
        <v>16</v>
      </c>
      <c r="D511" s="1">
        <v>2277</v>
      </c>
      <c r="E511" s="1">
        <v>2024</v>
      </c>
      <c r="F511" s="2">
        <v>45498</v>
      </c>
      <c r="G511" s="2">
        <v>45502</v>
      </c>
      <c r="H511" s="2">
        <v>45504</v>
      </c>
      <c r="I511" s="2">
        <f>WORKDAY.INTL(F511,IF(OR(C511="MELHORIA PEQUENA",C511="MELHORIA MÉDIA"),3,1),1,ListaFeriados)</f>
        <v>45499</v>
      </c>
      <c r="J511" s="2">
        <f>WORKDAY.INTL(I511,IF(C511="MELHORIA MÉDIA",20,IF(OR(C511="MELHORIA PEQUENA",C511="BUG NÃO IMPEDITIVO"),5,2)),1,$X:$X)</f>
        <v>45506</v>
      </c>
      <c r="K511" t="str">
        <f>IF(H511&gt;J511,"ATRASO","NO PRAZO")</f>
        <v>NO PRAZO</v>
      </c>
    </row>
    <row r="512" spans="1:11">
      <c r="A512" s="1">
        <v>17658</v>
      </c>
      <c r="B512" t="s">
        <v>9</v>
      </c>
      <c r="C512" t="s">
        <v>16</v>
      </c>
      <c r="D512" s="1">
        <v>1845</v>
      </c>
      <c r="E512" s="1">
        <v>2024</v>
      </c>
      <c r="F512" s="2">
        <v>45441</v>
      </c>
      <c r="G512" s="2">
        <v>45446</v>
      </c>
      <c r="H512" s="2">
        <v>45448</v>
      </c>
      <c r="I512" s="2">
        <f>WORKDAY.INTL(F512,IF(OR(C512="MELHORIA PEQUENA",C512="MELHORIA MÉDIA"),3,1),1,ListaFeriados)</f>
        <v>45443</v>
      </c>
      <c r="J512" s="2">
        <f>WORKDAY.INTL(I512,IF(C512="MELHORIA MÉDIA",20,IF(OR(C512="MELHORIA PEQUENA",C512="BUG NÃO IMPEDITIVO"),5,2)),1,$X:$X)</f>
        <v>45450</v>
      </c>
      <c r="K512" t="str">
        <f>IF(H512&gt;J512,"ATRASO","NO PRAZO")</f>
        <v>NO PRAZO</v>
      </c>
    </row>
    <row r="513" spans="1:11">
      <c r="A513" s="1">
        <v>18576</v>
      </c>
      <c r="B513" t="s">
        <v>8</v>
      </c>
      <c r="C513" t="s">
        <v>16</v>
      </c>
      <c r="D513" s="1">
        <v>2763</v>
      </c>
      <c r="E513" s="1">
        <v>2024</v>
      </c>
      <c r="F513" s="2">
        <v>45562</v>
      </c>
      <c r="G513" s="2">
        <v>45565</v>
      </c>
      <c r="H513" s="2">
        <v>45569</v>
      </c>
      <c r="I513" s="2">
        <f>WORKDAY.INTL(F513,IF(OR(C513="MELHORIA PEQUENA",C513="MELHORIA MÉDIA"),3,1),1,ListaFeriados)</f>
        <v>45565</v>
      </c>
      <c r="J513" s="2">
        <f>WORKDAY.INTL(I513,IF(C513="MELHORIA MÉDIA",20,IF(OR(C513="MELHORIA PEQUENA",C513="BUG NÃO IMPEDITIVO"),5,2)),1,$X:$X)</f>
        <v>45572</v>
      </c>
      <c r="K513" t="str">
        <f>IF(H513&gt;J513,"ATRASO","NO PRAZO")</f>
        <v>NO PRAZO</v>
      </c>
    </row>
    <row r="514" spans="1:11">
      <c r="A514" s="1">
        <v>18063</v>
      </c>
      <c r="B514" t="s">
        <v>10</v>
      </c>
      <c r="C514" t="s">
        <v>16</v>
      </c>
      <c r="D514" s="1">
        <v>2250</v>
      </c>
      <c r="E514" s="1">
        <v>2024</v>
      </c>
      <c r="F514" s="2">
        <v>45495</v>
      </c>
      <c r="G514" s="2">
        <v>45496</v>
      </c>
      <c r="H514" s="2">
        <v>45513</v>
      </c>
      <c r="I514" s="2">
        <f>WORKDAY.INTL(F514,IF(OR(C514="MELHORIA PEQUENA",C514="MELHORIA MÉDIA"),3,1),1,ListaFeriados)</f>
        <v>45496</v>
      </c>
      <c r="J514" s="2">
        <f>WORKDAY.INTL(I514,IF(C514="MELHORIA MÉDIA",20,IF(OR(C514="MELHORIA PEQUENA",C514="BUG NÃO IMPEDITIVO"),5,2)),1,$X:$X)</f>
        <v>45503</v>
      </c>
      <c r="K514" t="str">
        <f>IF(H514&gt;J514,"ATRASO","NO PRAZO")</f>
        <v>ATRASO</v>
      </c>
    </row>
    <row r="515" spans="1:11">
      <c r="A515" s="1">
        <v>17823</v>
      </c>
      <c r="B515" t="s">
        <v>8</v>
      </c>
      <c r="C515" t="s">
        <v>16</v>
      </c>
      <c r="D515" s="1">
        <v>2010</v>
      </c>
      <c r="E515" s="1">
        <v>2024</v>
      </c>
      <c r="F515" s="2">
        <v>45461</v>
      </c>
      <c r="G515" s="2">
        <v>45462</v>
      </c>
      <c r="H515" s="2">
        <v>45463</v>
      </c>
      <c r="I515" s="2">
        <f>WORKDAY.INTL(F515,IF(OR(C515="MELHORIA PEQUENA",C515="MELHORIA MÉDIA"),3,1),1,ListaFeriados)</f>
        <v>45462</v>
      </c>
      <c r="J515" s="2">
        <f>WORKDAY.INTL(I515,IF(C515="MELHORIA MÉDIA",20,IF(OR(C515="MELHORIA PEQUENA",C515="BUG NÃO IMPEDITIVO"),5,2)),1,$X:$X)</f>
        <v>45469</v>
      </c>
      <c r="K515" t="str">
        <f>IF(H515&gt;J515,"ATRASO","NO PRAZO")</f>
        <v>NO PRAZO</v>
      </c>
    </row>
    <row r="516" spans="1:11">
      <c r="A516" s="1">
        <v>18481</v>
      </c>
      <c r="B516" t="s">
        <v>13</v>
      </c>
      <c r="C516" t="s">
        <v>16</v>
      </c>
      <c r="D516" s="1">
        <v>2668</v>
      </c>
      <c r="E516" s="1">
        <v>2024</v>
      </c>
      <c r="F516" s="2">
        <v>45547</v>
      </c>
      <c r="G516" s="2">
        <v>45548</v>
      </c>
      <c r="H516" s="2">
        <v>45572</v>
      </c>
      <c r="I516" s="2">
        <f>WORKDAY.INTL(F516,IF(OR(C516="MELHORIA PEQUENA",C516="MELHORIA MÉDIA"),3,1),1,ListaFeriados)</f>
        <v>45548</v>
      </c>
      <c r="J516" s="2">
        <f>WORKDAY.INTL(I516,IF(C516="MELHORIA MÉDIA",20,IF(OR(C516="MELHORIA PEQUENA",C516="BUG NÃO IMPEDITIVO"),5,2)),1,$X:$X)</f>
        <v>45555</v>
      </c>
      <c r="K516" t="str">
        <f>IF(H516&gt;J516,"ATRASO","NO PRAZO")</f>
        <v>ATRASO</v>
      </c>
    </row>
    <row r="517" spans="1:11">
      <c r="A517" s="1">
        <v>17875</v>
      </c>
      <c r="B517" t="s">
        <v>8</v>
      </c>
      <c r="C517" t="s">
        <v>16</v>
      </c>
      <c r="D517" s="1">
        <v>2062</v>
      </c>
      <c r="E517" s="1">
        <v>2024</v>
      </c>
      <c r="F517" s="2">
        <v>45467</v>
      </c>
      <c r="G517" s="2">
        <v>45469</v>
      </c>
      <c r="H517" s="2">
        <v>45470</v>
      </c>
      <c r="I517" s="2">
        <f>WORKDAY.INTL(F517,IF(OR(C517="MELHORIA PEQUENA",C517="MELHORIA MÉDIA"),3,1),1,ListaFeriados)</f>
        <v>45468</v>
      </c>
      <c r="J517" s="2">
        <f>WORKDAY.INTL(I517,IF(C517="MELHORIA MÉDIA",20,IF(OR(C517="MELHORIA PEQUENA",C517="BUG NÃO IMPEDITIVO"),5,2)),1,$X:$X)</f>
        <v>45475</v>
      </c>
      <c r="K517" t="str">
        <f>IF(H517&gt;J517,"ATRASO","NO PRAZO")</f>
        <v>NO PRAZO</v>
      </c>
    </row>
    <row r="518" spans="1:11">
      <c r="A518" s="1">
        <v>18568</v>
      </c>
      <c r="B518" t="s">
        <v>9</v>
      </c>
      <c r="C518" t="s">
        <v>16</v>
      </c>
      <c r="D518" s="1">
        <v>2755</v>
      </c>
      <c r="E518" s="1">
        <v>2024</v>
      </c>
      <c r="F518" s="2">
        <v>45561</v>
      </c>
      <c r="G518" s="2">
        <v>45565</v>
      </c>
      <c r="H518" s="2">
        <v>45573</v>
      </c>
      <c r="I518" s="2">
        <f>WORKDAY.INTL(F518,IF(OR(C518="MELHORIA PEQUENA",C518="MELHORIA MÉDIA"),3,1),1,ListaFeriados)</f>
        <v>45562</v>
      </c>
      <c r="J518" s="2">
        <f>WORKDAY.INTL(I518,IF(C518="MELHORIA MÉDIA",20,IF(OR(C518="MELHORIA PEQUENA",C518="BUG NÃO IMPEDITIVO"),5,2)),1,$X:$X)</f>
        <v>45569</v>
      </c>
      <c r="K518" t="str">
        <f>IF(H518&gt;J518,"ATRASO","NO PRAZO")</f>
        <v>ATRASO</v>
      </c>
    </row>
    <row r="519" spans="1:11">
      <c r="A519" s="1">
        <v>18354</v>
      </c>
      <c r="B519" t="s">
        <v>8</v>
      </c>
      <c r="C519" t="s">
        <v>16</v>
      </c>
      <c r="D519" s="1">
        <v>2541</v>
      </c>
      <c r="E519" s="1">
        <v>2024</v>
      </c>
      <c r="F519" s="2">
        <v>45530</v>
      </c>
      <c r="G519" s="2">
        <v>45532</v>
      </c>
      <c r="H519" s="2">
        <v>45537</v>
      </c>
      <c r="I519" s="2">
        <f>WORKDAY.INTL(F519,IF(OR(C519="MELHORIA PEQUENA",C519="MELHORIA MÉDIA"),3,1),1,ListaFeriados)</f>
        <v>45531</v>
      </c>
      <c r="J519" s="2">
        <f>WORKDAY.INTL(I519,IF(C519="MELHORIA MÉDIA",20,IF(OR(C519="MELHORIA PEQUENA",C519="BUG NÃO IMPEDITIVO"),5,2)),1,$X:$X)</f>
        <v>45538</v>
      </c>
      <c r="K519" t="str">
        <f>IF(H519&gt;J519,"ATRASO","NO PRAZO")</f>
        <v>NO PRAZO</v>
      </c>
    </row>
    <row r="520" spans="1:11">
      <c r="A520" s="1">
        <v>18524</v>
      </c>
      <c r="B520" t="s">
        <v>13</v>
      </c>
      <c r="C520" t="s">
        <v>16</v>
      </c>
      <c r="D520" s="1">
        <v>2711</v>
      </c>
      <c r="E520" s="1">
        <v>2024</v>
      </c>
      <c r="F520" s="2">
        <v>45553</v>
      </c>
      <c r="G520" s="2">
        <v>45554</v>
      </c>
      <c r="H520" s="2">
        <v>45574</v>
      </c>
      <c r="I520" s="2">
        <f>WORKDAY.INTL(F520,IF(OR(C520="MELHORIA PEQUENA",C520="MELHORIA MÉDIA"),3,1),1,ListaFeriados)</f>
        <v>45554</v>
      </c>
      <c r="J520" s="2">
        <f>WORKDAY.INTL(I520,IF(C520="MELHORIA MÉDIA",20,IF(OR(C520="MELHORIA PEQUENA",C520="BUG NÃO IMPEDITIVO"),5,2)),1,$X:$X)</f>
        <v>45561</v>
      </c>
      <c r="K520" t="str">
        <f>IF(H520&gt;J520,"ATRASO","NO PRAZO")</f>
        <v>ATRASO</v>
      </c>
    </row>
    <row r="521" spans="1:11">
      <c r="A521" s="1">
        <v>22023</v>
      </c>
      <c r="B521" t="s">
        <v>10</v>
      </c>
      <c r="C521" t="s">
        <v>16</v>
      </c>
      <c r="D521" s="1">
        <v>429</v>
      </c>
      <c r="E521" s="1">
        <v>2026</v>
      </c>
      <c r="F521" s="2">
        <v>46100</v>
      </c>
      <c r="G521" s="2">
        <v>46101</v>
      </c>
      <c r="H521" s="2">
        <v>46118</v>
      </c>
      <c r="I521" s="2">
        <f>WORKDAY.INTL(F521,IF(OR(C521="MELHORIA PEQUENA",C521="MELHORIA MÉDIA"),3,1),1,ListaFeriados)</f>
        <v>46101</v>
      </c>
      <c r="J521" s="2">
        <f>WORKDAY.INTL(I521,IF(C521="MELHORIA MÉDIA",20,IF(OR(C521="MELHORIA PEQUENA",C521="BUG NÃO IMPEDITIVO"),5,2)),1,$X:$X)</f>
        <v>46108</v>
      </c>
      <c r="K521" t="str">
        <f>IF(H521&gt;J521,"ATRASO","NO PRAZO")</f>
        <v>ATRASO</v>
      </c>
    </row>
    <row r="522" spans="1:11">
      <c r="A522" s="1">
        <v>21424</v>
      </c>
      <c r="B522" t="s">
        <v>12</v>
      </c>
      <c r="C522" t="s">
        <v>16</v>
      </c>
      <c r="D522" s="1">
        <v>2336</v>
      </c>
      <c r="E522" s="1">
        <v>2025</v>
      </c>
      <c r="F522" s="2">
        <v>45988</v>
      </c>
      <c r="G522" s="2">
        <v>45994</v>
      </c>
      <c r="H522" s="2">
        <v>45994</v>
      </c>
      <c r="I522" s="2">
        <f>WORKDAY.INTL(F522,IF(OR(C522="MELHORIA PEQUENA",C522="MELHORIA MÉDIA"),3,1),1,ListaFeriados)</f>
        <v>45989</v>
      </c>
      <c r="J522" s="2">
        <f>WORKDAY.INTL(I522,IF(C522="MELHORIA MÉDIA",20,IF(OR(C522="MELHORIA PEQUENA",C522="BUG NÃO IMPEDITIVO"),5,2)),1,$X:$X)</f>
        <v>45996</v>
      </c>
      <c r="K522" t="str">
        <f>IF(H522&gt;J522,"ATRASO","NO PRAZO")</f>
        <v>NO PRAZO</v>
      </c>
    </row>
    <row r="523" spans="1:11">
      <c r="A523" s="1">
        <v>22014</v>
      </c>
      <c r="B523" t="s">
        <v>6</v>
      </c>
      <c r="C523" t="s">
        <v>16</v>
      </c>
      <c r="D523" s="1">
        <v>420</v>
      </c>
      <c r="E523" s="1">
        <v>2026</v>
      </c>
      <c r="F523" s="2">
        <v>46098</v>
      </c>
      <c r="G523" s="2">
        <v>46105</v>
      </c>
      <c r="H523" s="2">
        <v>46106</v>
      </c>
      <c r="I523" s="2">
        <f>WORKDAY.INTL(F523,IF(OR(C523="MELHORIA PEQUENA",C523="MELHORIA MÉDIA"),3,1),1,ListaFeriados)</f>
        <v>46099</v>
      </c>
      <c r="J523" s="2">
        <f>WORKDAY.INTL(I523,IF(C523="MELHORIA MÉDIA",20,IF(OR(C523="MELHORIA PEQUENA",C523="BUG NÃO IMPEDITIVO"),5,2)),1,$X:$X)</f>
        <v>46106</v>
      </c>
      <c r="K523" t="str">
        <f>IF(H523&gt;J523,"ATRASO","NO PRAZO")</f>
        <v>NO PRAZO</v>
      </c>
    </row>
    <row r="524" spans="1:11">
      <c r="A524" s="1">
        <v>22072</v>
      </c>
      <c r="B524" t="s">
        <v>6</v>
      </c>
      <c r="C524" t="s">
        <v>16</v>
      </c>
      <c r="D524" s="1">
        <v>478</v>
      </c>
      <c r="E524" s="1">
        <v>2026</v>
      </c>
      <c r="F524" s="2">
        <v>46107</v>
      </c>
      <c r="G524" s="2">
        <v>46111</v>
      </c>
      <c r="H524" s="2">
        <v>46113</v>
      </c>
      <c r="I524" s="2">
        <f>WORKDAY.INTL(F524,IF(OR(C524="MELHORIA PEQUENA",C524="MELHORIA MÉDIA"),3,1),1,ListaFeriados)</f>
        <v>46108</v>
      </c>
      <c r="J524" s="2">
        <f>WORKDAY.INTL(I524,IF(C524="MELHORIA MÉDIA",20,IF(OR(C524="MELHORIA PEQUENA",C524="BUG NÃO IMPEDITIVO"),5,2)),1,$X:$X)</f>
        <v>46118</v>
      </c>
      <c r="K524" t="str">
        <f>IF(H524&gt;J524,"ATRASO","NO PRAZO")</f>
        <v>NO PRAZO</v>
      </c>
    </row>
    <row r="525" spans="1:11">
      <c r="A525" s="1">
        <v>22109</v>
      </c>
      <c r="B525" t="s">
        <v>6</v>
      </c>
      <c r="C525" t="s">
        <v>16</v>
      </c>
      <c r="D525" s="1">
        <v>515</v>
      </c>
      <c r="E525" s="1">
        <v>2026</v>
      </c>
      <c r="F525" s="2">
        <v>46114</v>
      </c>
      <c r="G525" s="2">
        <v>46119</v>
      </c>
      <c r="H525" s="2">
        <v>46121</v>
      </c>
      <c r="I525" s="2">
        <f>WORKDAY.INTL(F525,IF(OR(C525="MELHORIA PEQUENA",C525="MELHORIA MÉDIA"),3,1),1,ListaFeriados)</f>
        <v>46118</v>
      </c>
      <c r="J525" s="2">
        <f>WORKDAY.INTL(I525,IF(C525="MELHORIA MÉDIA",20,IF(OR(C525="MELHORIA PEQUENA",C525="BUG NÃO IMPEDITIVO"),5,2)),1,$X:$X)</f>
        <v>46125</v>
      </c>
      <c r="K525" t="str">
        <f>IF(H525&gt;J525,"ATRASO","NO PRAZO")</f>
        <v>NO PRAZO</v>
      </c>
    </row>
    <row r="526" spans="1:11">
      <c r="A526" s="1">
        <v>21376</v>
      </c>
      <c r="B526" t="s">
        <v>9</v>
      </c>
      <c r="C526" t="s">
        <v>16</v>
      </c>
      <c r="D526" s="1">
        <v>2288</v>
      </c>
      <c r="E526" s="1">
        <v>2025</v>
      </c>
      <c r="F526" s="2">
        <v>45979</v>
      </c>
      <c r="G526" s="2">
        <v>45982</v>
      </c>
      <c r="H526" s="2">
        <v>45986</v>
      </c>
      <c r="I526" s="2">
        <f>WORKDAY.INTL(F526,IF(OR(C526="MELHORIA PEQUENA",C526="MELHORIA MÉDIA"),3,1),1,ListaFeriados)</f>
        <v>45980</v>
      </c>
      <c r="J526" s="2">
        <f>WORKDAY.INTL(I526,IF(C526="MELHORIA MÉDIA",20,IF(OR(C526="MELHORIA PEQUENA",C526="BUG NÃO IMPEDITIVO"),5,2)),1,$X:$X)</f>
        <v>45988</v>
      </c>
      <c r="K526" t="str">
        <f>IF(H526&gt;J526,"ATRASO","NO PRAZO")</f>
        <v>NO PRAZO</v>
      </c>
    </row>
    <row r="527" spans="1:11">
      <c r="A527" s="1">
        <v>21387</v>
      </c>
      <c r="B527" t="s">
        <v>8</v>
      </c>
      <c r="C527" t="s">
        <v>16</v>
      </c>
      <c r="D527" s="1">
        <v>2299</v>
      </c>
      <c r="E527" s="1">
        <v>2025</v>
      </c>
      <c r="F527" s="2">
        <v>45982</v>
      </c>
      <c r="G527" s="2">
        <v>45989</v>
      </c>
      <c r="H527" s="2">
        <v>45999</v>
      </c>
      <c r="I527" s="2">
        <f>WORKDAY.INTL(F527,IF(OR(C527="MELHORIA PEQUENA",C527="MELHORIA MÉDIA"),3,1),1,ListaFeriados)</f>
        <v>45985</v>
      </c>
      <c r="J527" s="2">
        <f>WORKDAY.INTL(I527,IF(C527="MELHORIA MÉDIA",20,IF(OR(C527="MELHORIA PEQUENA",C527="BUG NÃO IMPEDITIVO"),5,2)),1,$X:$X)</f>
        <v>45992</v>
      </c>
      <c r="K527" t="str">
        <f>IF(H527&gt;J527,"ATRASO","NO PRAZO")</f>
        <v>ATRASO</v>
      </c>
    </row>
    <row r="528" spans="1:11">
      <c r="A528" s="1">
        <v>18453</v>
      </c>
      <c r="B528" t="s">
        <v>9</v>
      </c>
      <c r="C528" t="s">
        <v>16</v>
      </c>
      <c r="D528" s="1">
        <v>2640</v>
      </c>
      <c r="E528" s="1">
        <v>2024</v>
      </c>
      <c r="F528" s="2">
        <v>45544</v>
      </c>
      <c r="G528" s="2">
        <v>45553</v>
      </c>
      <c r="H528" s="2">
        <v>45558</v>
      </c>
      <c r="I528" s="2">
        <f>WORKDAY.INTL(F528,IF(OR(C528="MELHORIA PEQUENA",C528="MELHORIA MÉDIA"),3,1),1,ListaFeriados)</f>
        <v>45545</v>
      </c>
      <c r="J528" s="2">
        <f>WORKDAY.INTL(I528,IF(C528="MELHORIA MÉDIA",20,IF(OR(C528="MELHORIA PEQUENA",C528="BUG NÃO IMPEDITIVO"),5,2)),1,$X:$X)</f>
        <v>45552</v>
      </c>
      <c r="K528" t="str">
        <f>IF(H528&gt;J528,"ATRASO","NO PRAZO")</f>
        <v>ATRASO</v>
      </c>
    </row>
    <row r="529" spans="1:11">
      <c r="A529" s="1">
        <v>18604</v>
      </c>
      <c r="B529" t="s">
        <v>14</v>
      </c>
      <c r="C529" t="s">
        <v>16</v>
      </c>
      <c r="D529" s="1">
        <v>2791</v>
      </c>
      <c r="E529" s="1">
        <v>2024</v>
      </c>
      <c r="F529" s="2">
        <v>45566</v>
      </c>
      <c r="G529" s="2">
        <v>45568</v>
      </c>
      <c r="H529" s="2">
        <v>45569</v>
      </c>
      <c r="I529" s="2">
        <f>WORKDAY.INTL(F529,IF(OR(C529="MELHORIA PEQUENA",C529="MELHORIA MÉDIA"),3,1),1,ListaFeriados)</f>
        <v>45567</v>
      </c>
      <c r="J529" s="2">
        <f>WORKDAY.INTL(I529,IF(C529="MELHORIA MÉDIA",20,IF(OR(C529="MELHORIA PEQUENA",C529="BUG NÃO IMPEDITIVO"),5,2)),1,$X:$X)</f>
        <v>45574</v>
      </c>
      <c r="K529" t="str">
        <f>IF(H529&gt;J529,"ATRASO","NO PRAZO")</f>
        <v>NO PRAZO</v>
      </c>
    </row>
    <row r="530" spans="1:11">
      <c r="A530" s="1">
        <v>18490</v>
      </c>
      <c r="B530" t="s">
        <v>6</v>
      </c>
      <c r="C530" t="s">
        <v>16</v>
      </c>
      <c r="D530" s="1">
        <v>2677</v>
      </c>
      <c r="E530" s="1">
        <v>2024</v>
      </c>
      <c r="F530" s="2">
        <v>45548</v>
      </c>
      <c r="G530" s="2">
        <v>45551</v>
      </c>
      <c r="H530" s="2">
        <v>45553</v>
      </c>
      <c r="I530" s="2">
        <f>WORKDAY.INTL(F530,IF(OR(C530="MELHORIA PEQUENA",C530="MELHORIA MÉDIA"),3,1),1,ListaFeriados)</f>
        <v>45551</v>
      </c>
      <c r="J530" s="2">
        <f>WORKDAY.INTL(I530,IF(C530="MELHORIA MÉDIA",20,IF(OR(C530="MELHORIA PEQUENA",C530="BUG NÃO IMPEDITIVO"),5,2)),1,$X:$X)</f>
        <v>45558</v>
      </c>
      <c r="K530" t="str">
        <f>IF(H530&gt;J530,"ATRASO","NO PRAZO")</f>
        <v>NO PRAZO</v>
      </c>
    </row>
    <row r="531" spans="1:11">
      <c r="A531" s="1">
        <v>19317</v>
      </c>
      <c r="B531" t="s">
        <v>9</v>
      </c>
      <c r="C531" t="s">
        <v>16</v>
      </c>
      <c r="D531" s="1">
        <v>229</v>
      </c>
      <c r="E531" s="1">
        <v>2025</v>
      </c>
      <c r="F531" s="2">
        <v>45694</v>
      </c>
      <c r="G531" s="2">
        <v>45695</v>
      </c>
      <c r="H531" s="2">
        <v>45699</v>
      </c>
      <c r="I531" s="2">
        <f>WORKDAY.INTL(F531,IF(OR(C531="MELHORIA PEQUENA",C531="MELHORIA MÉDIA"),3,1),1,ListaFeriados)</f>
        <v>45695</v>
      </c>
      <c r="J531" s="2">
        <f>WORKDAY.INTL(I531,IF(C531="MELHORIA MÉDIA",20,IF(OR(C531="MELHORIA PEQUENA",C531="BUG NÃO IMPEDITIVO"),5,2)),1,$X:$X)</f>
        <v>45702</v>
      </c>
      <c r="K531" t="str">
        <f>IF(H531&gt;J531,"ATRASO","NO PRAZO")</f>
        <v>NO PRAZO</v>
      </c>
    </row>
    <row r="532" spans="1:11">
      <c r="A532" s="1">
        <v>19032</v>
      </c>
      <c r="B532" t="s">
        <v>10</v>
      </c>
      <c r="C532" t="s">
        <v>16</v>
      </c>
      <c r="D532" s="1">
        <v>3219</v>
      </c>
      <c r="E532" s="1">
        <v>2024</v>
      </c>
      <c r="F532" s="2">
        <v>45643</v>
      </c>
      <c r="G532" s="2">
        <v>45646</v>
      </c>
      <c r="H532" s="2">
        <v>45646</v>
      </c>
      <c r="I532" s="2">
        <f>WORKDAY.INTL(F532,IF(OR(C532="MELHORIA PEQUENA",C532="MELHORIA MÉDIA"),3,1),1,ListaFeriados)</f>
        <v>45644</v>
      </c>
      <c r="J532" s="2">
        <f>WORKDAY.INTL(I532,IF(C532="MELHORIA MÉDIA",20,IF(OR(C532="MELHORIA PEQUENA",C532="BUG NÃO IMPEDITIVO"),5,2)),1,$X:$X)</f>
        <v>45652</v>
      </c>
      <c r="K532" t="str">
        <f>IF(H532&gt;J532,"ATRASO","NO PRAZO")</f>
        <v>NO PRAZO</v>
      </c>
    </row>
    <row r="533" spans="1:11">
      <c r="A533" s="1">
        <v>18948</v>
      </c>
      <c r="B533" t="s">
        <v>6</v>
      </c>
      <c r="C533" t="s">
        <v>16</v>
      </c>
      <c r="D533" s="1">
        <v>3135</v>
      </c>
      <c r="E533" s="1">
        <v>2024</v>
      </c>
      <c r="F533" s="2">
        <v>45630</v>
      </c>
      <c r="G533" s="2">
        <v>45632</v>
      </c>
      <c r="H533" s="2">
        <v>45632</v>
      </c>
      <c r="I533" s="2">
        <f>WORKDAY.INTL(F533,IF(OR(C533="MELHORIA PEQUENA",C533="MELHORIA MÉDIA"),3,1),1,ListaFeriados)</f>
        <v>45631</v>
      </c>
      <c r="J533" s="2">
        <f>WORKDAY.INTL(I533,IF(C533="MELHORIA MÉDIA",20,IF(OR(C533="MELHORIA PEQUENA",C533="BUG NÃO IMPEDITIVO"),5,2)),1,$X:$X)</f>
        <v>45638</v>
      </c>
      <c r="K533" t="str">
        <f>IF(H533&gt;J533,"ATRASO","NO PRAZO")</f>
        <v>NO PRAZO</v>
      </c>
    </row>
    <row r="534" spans="1:11">
      <c r="A534" s="1">
        <v>19452</v>
      </c>
      <c r="B534" t="s">
        <v>11</v>
      </c>
      <c r="C534" t="s">
        <v>16</v>
      </c>
      <c r="D534" s="1">
        <v>364</v>
      </c>
      <c r="E534" s="1">
        <v>2025</v>
      </c>
      <c r="F534" s="2">
        <v>45715</v>
      </c>
      <c r="G534" s="2">
        <v>45722</v>
      </c>
      <c r="H534" s="2">
        <v>45722</v>
      </c>
      <c r="I534" s="2">
        <f>WORKDAY.INTL(F534,IF(OR(C534="MELHORIA PEQUENA",C534="MELHORIA MÉDIA"),3,1),1,ListaFeriados)</f>
        <v>45716</v>
      </c>
      <c r="J534" s="2">
        <f>WORKDAY.INTL(I534,IF(C534="MELHORIA MÉDIA",20,IF(OR(C534="MELHORIA PEQUENA",C534="BUG NÃO IMPEDITIVO"),5,2)),1,$X:$X)</f>
        <v>45727</v>
      </c>
      <c r="K534" t="str">
        <f>IF(H534&gt;J534,"ATRASO","NO PRAZO")</f>
        <v>NO PRAZO</v>
      </c>
    </row>
    <row r="535" spans="1:11">
      <c r="A535" s="1">
        <v>19482</v>
      </c>
      <c r="B535" t="s">
        <v>11</v>
      </c>
      <c r="C535" t="s">
        <v>16</v>
      </c>
      <c r="D535" s="1">
        <v>394</v>
      </c>
      <c r="E535" s="1">
        <v>2025</v>
      </c>
      <c r="F535" s="2">
        <v>45727</v>
      </c>
      <c r="G535" s="2">
        <v>45727</v>
      </c>
      <c r="H535" s="2">
        <v>45730</v>
      </c>
      <c r="I535" s="2">
        <f>WORKDAY.INTL(F535,IF(OR(C535="MELHORIA PEQUENA",C535="MELHORIA MÉDIA"),3,1),1,ListaFeriados)</f>
        <v>45728</v>
      </c>
      <c r="J535" s="2">
        <f>WORKDAY.INTL(I535,IF(C535="MELHORIA MÉDIA",20,IF(OR(C535="MELHORIA PEQUENA",C535="BUG NÃO IMPEDITIVO"),5,2)),1,$X:$X)</f>
        <v>45735</v>
      </c>
      <c r="K535" t="str">
        <f>IF(H535&gt;J535,"ATRASO","NO PRAZO")</f>
        <v>NO PRAZO</v>
      </c>
    </row>
    <row r="536" spans="1:11">
      <c r="A536" s="1">
        <v>19652</v>
      </c>
      <c r="B536" t="s">
        <v>14</v>
      </c>
      <c r="C536" t="s">
        <v>16</v>
      </c>
      <c r="D536" s="1">
        <v>564</v>
      </c>
      <c r="E536" s="1">
        <v>2025</v>
      </c>
      <c r="F536" s="2">
        <v>45748</v>
      </c>
      <c r="G536" s="2">
        <v>45749</v>
      </c>
      <c r="H536" s="2">
        <v>45754</v>
      </c>
      <c r="I536" s="2">
        <f>WORKDAY.INTL(F536,IF(OR(C536="MELHORIA PEQUENA",C536="MELHORIA MÉDIA"),3,1),1,ListaFeriados)</f>
        <v>45749</v>
      </c>
      <c r="J536" s="2">
        <f>WORKDAY.INTL(I536,IF(C536="MELHORIA MÉDIA",20,IF(OR(C536="MELHORIA PEQUENA",C536="BUG NÃO IMPEDITIVO"),5,2)),1,$X:$X)</f>
        <v>45756</v>
      </c>
      <c r="K536" t="str">
        <f>IF(H536&gt;J536,"ATRASO","NO PRAZO")</f>
        <v>NO PRAZO</v>
      </c>
    </row>
    <row r="537" spans="1:11">
      <c r="A537" s="1">
        <v>19757</v>
      </c>
      <c r="B537" t="s">
        <v>9</v>
      </c>
      <c r="C537" t="s">
        <v>16</v>
      </c>
      <c r="D537" s="1">
        <v>669</v>
      </c>
      <c r="E537" s="1">
        <v>2025</v>
      </c>
      <c r="F537" s="2">
        <v>45764</v>
      </c>
      <c r="G537" s="2">
        <v>45764</v>
      </c>
      <c r="H537" s="2">
        <v>45775</v>
      </c>
      <c r="I537" s="2">
        <f>WORKDAY.INTL(F537,IF(OR(C537="MELHORIA PEQUENA",C537="MELHORIA MÉDIA"),3,1),1,ListaFeriados)</f>
        <v>45769</v>
      </c>
      <c r="J537" s="2">
        <f>WORKDAY.INTL(I537,IF(C537="MELHORIA MÉDIA",20,IF(OR(C537="MELHORIA PEQUENA",C537="BUG NÃO IMPEDITIVO"),5,2)),1,$X:$X)</f>
        <v>45777</v>
      </c>
      <c r="K537" t="str">
        <f>IF(H537&gt;J537,"ATRASO","NO PRAZO")</f>
        <v>NO PRAZO</v>
      </c>
    </row>
    <row r="538" spans="1:11">
      <c r="A538" s="1">
        <v>18967</v>
      </c>
      <c r="B538" t="s">
        <v>6</v>
      </c>
      <c r="C538" t="s">
        <v>16</v>
      </c>
      <c r="D538" s="1">
        <v>3154</v>
      </c>
      <c r="E538" s="1">
        <v>2024</v>
      </c>
      <c r="F538" s="2">
        <v>45631</v>
      </c>
      <c r="G538" s="2">
        <v>45632</v>
      </c>
      <c r="H538" s="2">
        <v>45637</v>
      </c>
      <c r="I538" s="2">
        <f>WORKDAY.INTL(F538,IF(OR(C538="MELHORIA PEQUENA",C538="MELHORIA MÉDIA"),3,1),1,ListaFeriados)</f>
        <v>45632</v>
      </c>
      <c r="J538" s="2">
        <f>WORKDAY.INTL(I538,IF(C538="MELHORIA MÉDIA",20,IF(OR(C538="MELHORIA PEQUENA",C538="BUG NÃO IMPEDITIVO"),5,2)),1,$X:$X)</f>
        <v>45639</v>
      </c>
      <c r="K538" t="str">
        <f>IF(H538&gt;J538,"ATRASO","NO PRAZO")</f>
        <v>NO PRAZO</v>
      </c>
    </row>
    <row r="539" spans="1:11">
      <c r="A539" s="1">
        <v>18988</v>
      </c>
      <c r="B539" t="s">
        <v>6</v>
      </c>
      <c r="C539" t="s">
        <v>16</v>
      </c>
      <c r="D539" s="1">
        <v>3175</v>
      </c>
      <c r="E539" s="1">
        <v>2024</v>
      </c>
      <c r="F539" s="2">
        <v>45636</v>
      </c>
      <c r="G539" s="2">
        <v>45637</v>
      </c>
      <c r="H539" s="2">
        <v>45639</v>
      </c>
      <c r="I539" s="2">
        <f>WORKDAY.INTL(F539,IF(OR(C539="MELHORIA PEQUENA",C539="MELHORIA MÉDIA"),3,1),1,ListaFeriados)</f>
        <v>45637</v>
      </c>
      <c r="J539" s="2">
        <f>WORKDAY.INTL(I539,IF(C539="MELHORIA MÉDIA",20,IF(OR(C539="MELHORIA PEQUENA",C539="BUG NÃO IMPEDITIVO"),5,2)),1,$X:$X)</f>
        <v>45644</v>
      </c>
      <c r="K539" t="str">
        <f>IF(H539&gt;J539,"ATRASO","NO PRAZO")</f>
        <v>NO PRAZO</v>
      </c>
    </row>
    <row r="540" spans="1:11">
      <c r="A540" s="1">
        <v>19193</v>
      </c>
      <c r="B540" t="s">
        <v>9</v>
      </c>
      <c r="C540" t="s">
        <v>16</v>
      </c>
      <c r="D540" s="1">
        <v>105</v>
      </c>
      <c r="E540" s="1">
        <v>2025</v>
      </c>
      <c r="F540" s="2">
        <v>45674</v>
      </c>
      <c r="G540" s="2">
        <v>45679</v>
      </c>
      <c r="H540" s="2">
        <v>45685</v>
      </c>
      <c r="I540" s="2">
        <f>WORKDAY.INTL(F540,IF(OR(C540="MELHORIA PEQUENA",C540="MELHORIA MÉDIA"),3,1),1,ListaFeriados)</f>
        <v>45678</v>
      </c>
      <c r="J540" s="2">
        <f>WORKDAY.INTL(I540,IF(C540="MELHORIA MÉDIA",20,IF(OR(C540="MELHORIA PEQUENA",C540="BUG NÃO IMPEDITIVO"),5,2)),1,$X:$X)</f>
        <v>45685</v>
      </c>
      <c r="K540" t="str">
        <f>IF(H540&gt;J540,"ATRASO","NO PRAZO")</f>
        <v>NO PRAZO</v>
      </c>
    </row>
    <row r="541" spans="1:11">
      <c r="A541" s="1">
        <v>19372</v>
      </c>
      <c r="B541" t="s">
        <v>9</v>
      </c>
      <c r="C541" t="s">
        <v>16</v>
      </c>
      <c r="D541" s="1">
        <v>284</v>
      </c>
      <c r="E541" s="1">
        <v>2025</v>
      </c>
      <c r="F541" s="2">
        <v>45705</v>
      </c>
      <c r="G541" s="2">
        <v>45706</v>
      </c>
      <c r="H541" s="2">
        <v>45712</v>
      </c>
      <c r="I541" s="2">
        <f>WORKDAY.INTL(F541,IF(OR(C541="MELHORIA PEQUENA",C541="MELHORIA MÉDIA"),3,1),1,ListaFeriados)</f>
        <v>45706</v>
      </c>
      <c r="J541" s="2">
        <f>WORKDAY.INTL(I541,IF(C541="MELHORIA MÉDIA",20,IF(OR(C541="MELHORIA PEQUENA",C541="BUG NÃO IMPEDITIVO"),5,2)),1,$X:$X)</f>
        <v>45713</v>
      </c>
      <c r="K541" t="str">
        <f>IF(H541&gt;J541,"ATRASO","NO PRAZO")</f>
        <v>NO PRAZO</v>
      </c>
    </row>
    <row r="542" spans="1:11">
      <c r="A542" s="1">
        <v>19691</v>
      </c>
      <c r="B542" t="s">
        <v>13</v>
      </c>
      <c r="C542" t="s">
        <v>16</v>
      </c>
      <c r="D542" s="1">
        <v>603</v>
      </c>
      <c r="E542" s="1">
        <v>2025</v>
      </c>
      <c r="F542" s="2">
        <v>45754</v>
      </c>
      <c r="G542" s="2">
        <v>45755</v>
      </c>
      <c r="H542" s="2">
        <v>45756</v>
      </c>
      <c r="I542" s="2">
        <f>WORKDAY.INTL(F542,IF(OR(C542="MELHORIA PEQUENA",C542="MELHORIA MÉDIA"),3,1),1,ListaFeriados)</f>
        <v>45755</v>
      </c>
      <c r="J542" s="2">
        <f>WORKDAY.INTL(I542,IF(C542="MELHORIA MÉDIA",20,IF(OR(C542="MELHORIA PEQUENA",C542="BUG NÃO IMPEDITIVO"),5,2)),1,$X:$X)</f>
        <v>45762</v>
      </c>
      <c r="K542" t="str">
        <f>IF(H542&gt;J542,"ATRASO","NO PRAZO")</f>
        <v>NO PRAZO</v>
      </c>
    </row>
    <row r="543" spans="1:11">
      <c r="A543" s="1">
        <v>19546</v>
      </c>
      <c r="B543" t="s">
        <v>6</v>
      </c>
      <c r="C543" t="s">
        <v>16</v>
      </c>
      <c r="D543" s="1">
        <v>458</v>
      </c>
      <c r="E543" s="1">
        <v>2025</v>
      </c>
      <c r="F543" s="2">
        <v>45733</v>
      </c>
      <c r="G543" s="2">
        <v>45734</v>
      </c>
      <c r="H543" s="2">
        <v>45734</v>
      </c>
      <c r="I543" s="2">
        <f>WORKDAY.INTL(F543,IF(OR(C543="MELHORIA PEQUENA",C543="MELHORIA MÉDIA"),3,1),1,ListaFeriados)</f>
        <v>45734</v>
      </c>
      <c r="J543" s="2">
        <f>WORKDAY.INTL(I543,IF(C543="MELHORIA MÉDIA",20,IF(OR(C543="MELHORIA PEQUENA",C543="BUG NÃO IMPEDITIVO"),5,2)),1,$X:$X)</f>
        <v>45741</v>
      </c>
      <c r="K543" t="str">
        <f>IF(H543&gt;J543,"ATRASO","NO PRAZO")</f>
        <v>NO PRAZO</v>
      </c>
    </row>
    <row r="544" spans="1:11">
      <c r="A544" s="1">
        <v>19651</v>
      </c>
      <c r="B544" t="s">
        <v>14</v>
      </c>
      <c r="C544" t="s">
        <v>16</v>
      </c>
      <c r="D544" s="1">
        <v>563</v>
      </c>
      <c r="E544" s="1">
        <v>2025</v>
      </c>
      <c r="F544" s="2">
        <v>45748</v>
      </c>
      <c r="G544" s="2">
        <v>45749</v>
      </c>
      <c r="H544" s="2">
        <v>45754</v>
      </c>
      <c r="I544" s="2">
        <f>WORKDAY.INTL(F544,IF(OR(C544="MELHORIA PEQUENA",C544="MELHORIA MÉDIA"),3,1),1,ListaFeriados)</f>
        <v>45749</v>
      </c>
      <c r="J544" s="2">
        <f>WORKDAY.INTL(I544,IF(C544="MELHORIA MÉDIA",20,IF(OR(C544="MELHORIA PEQUENA",C544="BUG NÃO IMPEDITIVO"),5,2)),1,$X:$X)</f>
        <v>45756</v>
      </c>
      <c r="K544" t="str">
        <f>IF(H544&gt;J544,"ATRASO","NO PRAZO")</f>
        <v>NO PRAZO</v>
      </c>
    </row>
    <row r="545" spans="1:11">
      <c r="A545" s="1">
        <v>18787</v>
      </c>
      <c r="B545" t="s">
        <v>8</v>
      </c>
      <c r="C545" t="s">
        <v>16</v>
      </c>
      <c r="D545" s="1">
        <v>2974</v>
      </c>
      <c r="E545" s="1">
        <v>2024</v>
      </c>
      <c r="F545" s="2">
        <v>45597</v>
      </c>
      <c r="G545" s="2">
        <v>45603</v>
      </c>
      <c r="H545" s="2">
        <v>45603</v>
      </c>
      <c r="I545" s="2">
        <f>WORKDAY.INTL(F545,IF(OR(C545="MELHORIA PEQUENA",C545="MELHORIA MÉDIA"),3,1),1,ListaFeriados)</f>
        <v>45600</v>
      </c>
      <c r="J545" s="2">
        <f>WORKDAY.INTL(I545,IF(C545="MELHORIA MÉDIA",20,IF(OR(C545="MELHORIA PEQUENA",C545="BUG NÃO IMPEDITIVO"),5,2)),1,$X:$X)</f>
        <v>45607</v>
      </c>
      <c r="K545" t="str">
        <f>IF(H545&gt;J545,"ATRASO","NO PRAZO")</f>
        <v>NO PRAZO</v>
      </c>
    </row>
    <row r="546" spans="1:11">
      <c r="A546" s="1">
        <v>19390</v>
      </c>
      <c r="B546" t="s">
        <v>9</v>
      </c>
      <c r="C546" t="s">
        <v>16</v>
      </c>
      <c r="D546" s="1">
        <v>302</v>
      </c>
      <c r="E546" s="1">
        <v>2025</v>
      </c>
      <c r="F546" s="2">
        <v>45707</v>
      </c>
      <c r="G546" s="2">
        <v>45708</v>
      </c>
      <c r="H546" s="2">
        <v>45712</v>
      </c>
      <c r="I546" s="2">
        <f>WORKDAY.INTL(F546,IF(OR(C546="MELHORIA PEQUENA",C546="MELHORIA MÉDIA"),3,1),1,ListaFeriados)</f>
        <v>45708</v>
      </c>
      <c r="J546" s="2">
        <f>WORKDAY.INTL(I546,IF(C546="MELHORIA MÉDIA",20,IF(OR(C546="MELHORIA PEQUENA",C546="BUG NÃO IMPEDITIVO"),5,2)),1,$X:$X)</f>
        <v>45715</v>
      </c>
      <c r="K546" t="str">
        <f>IF(H546&gt;J546,"ATRASO","NO PRAZO")</f>
        <v>NO PRAZO</v>
      </c>
    </row>
    <row r="547" spans="1:11">
      <c r="A547" s="1">
        <v>19200</v>
      </c>
      <c r="B547" t="s">
        <v>9</v>
      </c>
      <c r="C547" t="s">
        <v>16</v>
      </c>
      <c r="D547" s="1">
        <v>112</v>
      </c>
      <c r="E547" s="1">
        <v>2025</v>
      </c>
      <c r="F547" s="2">
        <v>45678</v>
      </c>
      <c r="G547" s="2">
        <v>45679</v>
      </c>
      <c r="H547" s="2">
        <v>45685</v>
      </c>
      <c r="I547" s="2">
        <f>WORKDAY.INTL(F547,IF(OR(C547="MELHORIA PEQUENA",C547="MELHORIA MÉDIA"),3,1),1,ListaFeriados)</f>
        <v>45679</v>
      </c>
      <c r="J547" s="2">
        <f>WORKDAY.INTL(I547,IF(C547="MELHORIA MÉDIA",20,IF(OR(C547="MELHORIA PEQUENA",C547="BUG NÃO IMPEDITIVO"),5,2)),1,$X:$X)</f>
        <v>45686</v>
      </c>
      <c r="K547" t="str">
        <f>IF(H547&gt;J547,"ATRASO","NO PRAZO")</f>
        <v>NO PRAZO</v>
      </c>
    </row>
    <row r="548" spans="1:11">
      <c r="A548" s="1">
        <v>18708</v>
      </c>
      <c r="B548" t="s">
        <v>8</v>
      </c>
      <c r="C548" t="s">
        <v>16</v>
      </c>
      <c r="D548" s="1">
        <v>2895</v>
      </c>
      <c r="E548" s="1">
        <v>2024</v>
      </c>
      <c r="F548" s="2">
        <v>45580</v>
      </c>
      <c r="G548" s="2">
        <v>45581</v>
      </c>
      <c r="H548" s="2">
        <v>45590</v>
      </c>
      <c r="I548" s="2">
        <f>WORKDAY.INTL(F548,IF(OR(C548="MELHORIA PEQUENA",C548="MELHORIA MÉDIA"),3,1),1,ListaFeriados)</f>
        <v>45582</v>
      </c>
      <c r="J548" s="2">
        <f>WORKDAY.INTL(I548,IF(C548="MELHORIA MÉDIA",20,IF(OR(C548="MELHORIA PEQUENA",C548="BUG NÃO IMPEDITIVO"),5,2)),1,$X:$X)</f>
        <v>45589</v>
      </c>
      <c r="K548" t="str">
        <f>IF(H548&gt;J548,"ATRASO","NO PRAZO")</f>
        <v>ATRASO</v>
      </c>
    </row>
    <row r="549" spans="1:11">
      <c r="A549" s="1">
        <v>19557</v>
      </c>
      <c r="B549" t="s">
        <v>9</v>
      </c>
      <c r="C549" t="s">
        <v>16</v>
      </c>
      <c r="D549" s="1">
        <v>469</v>
      </c>
      <c r="E549" s="1">
        <v>2025</v>
      </c>
      <c r="F549" s="2">
        <v>45734</v>
      </c>
      <c r="G549" s="2">
        <v>45741</v>
      </c>
      <c r="H549" s="2">
        <v>45741</v>
      </c>
      <c r="I549" s="2">
        <f>WORKDAY.INTL(F549,IF(OR(C549="MELHORIA PEQUENA",C549="MELHORIA MÉDIA"),3,1),1,ListaFeriados)</f>
        <v>45735</v>
      </c>
      <c r="J549" s="2">
        <f>WORKDAY.INTL(I549,IF(C549="MELHORIA MÉDIA",20,IF(OR(C549="MELHORIA PEQUENA",C549="BUG NÃO IMPEDITIVO"),5,2)),1,$X:$X)</f>
        <v>45742</v>
      </c>
      <c r="K549" t="str">
        <f>IF(H549&gt;J549,"ATRASO","NO PRAZO")</f>
        <v>NO PRAZO</v>
      </c>
    </row>
    <row r="550" spans="1:11">
      <c r="A550" s="1">
        <v>19612</v>
      </c>
      <c r="B550" t="s">
        <v>6</v>
      </c>
      <c r="C550" t="s">
        <v>16</v>
      </c>
      <c r="D550" s="1">
        <v>524</v>
      </c>
      <c r="E550" s="1">
        <v>2025</v>
      </c>
      <c r="F550" s="2">
        <v>45742</v>
      </c>
      <c r="G550" s="2">
        <v>45742</v>
      </c>
      <c r="H550" s="2">
        <v>45748</v>
      </c>
      <c r="I550" s="2">
        <f>WORKDAY.INTL(F550,IF(OR(C550="MELHORIA PEQUENA",C550="MELHORIA MÉDIA"),3,1),1,ListaFeriados)</f>
        <v>45743</v>
      </c>
      <c r="J550" s="2">
        <f>WORKDAY.INTL(I550,IF(C550="MELHORIA MÉDIA",20,IF(OR(C550="MELHORIA PEQUENA",C550="BUG NÃO IMPEDITIVO"),5,2)),1,$X:$X)</f>
        <v>45750</v>
      </c>
      <c r="K550" t="str">
        <f>IF(H550&gt;J550,"ATRASO","NO PRAZO")</f>
        <v>NO PRAZO</v>
      </c>
    </row>
    <row r="551" spans="1:11">
      <c r="A551" s="1">
        <v>19575</v>
      </c>
      <c r="B551" t="s">
        <v>6</v>
      </c>
      <c r="C551" t="s">
        <v>16</v>
      </c>
      <c r="D551" s="1">
        <v>487</v>
      </c>
      <c r="E551" s="1">
        <v>2025</v>
      </c>
      <c r="F551" s="2">
        <v>45736</v>
      </c>
      <c r="G551" s="2">
        <v>45737</v>
      </c>
      <c r="H551" s="2">
        <v>45748</v>
      </c>
      <c r="I551" s="2">
        <f>WORKDAY.INTL(F551,IF(OR(C551="MELHORIA PEQUENA",C551="MELHORIA MÉDIA"),3,1),1,ListaFeriados)</f>
        <v>45737</v>
      </c>
      <c r="J551" s="2">
        <f>WORKDAY.INTL(I551,IF(C551="MELHORIA MÉDIA",20,IF(OR(C551="MELHORIA PEQUENA",C551="BUG NÃO IMPEDITIVO"),5,2)),1,$X:$X)</f>
        <v>45744</v>
      </c>
      <c r="K551" t="str">
        <f>IF(H551&gt;J551,"ATRASO","NO PRAZO")</f>
        <v>ATRASO</v>
      </c>
    </row>
    <row r="552" spans="1:11">
      <c r="A552" s="1">
        <v>19378</v>
      </c>
      <c r="B552" t="s">
        <v>13</v>
      </c>
      <c r="C552" t="s">
        <v>16</v>
      </c>
      <c r="D552" s="1">
        <v>290</v>
      </c>
      <c r="E552" s="1">
        <v>2025</v>
      </c>
      <c r="F552" s="2">
        <v>45706</v>
      </c>
      <c r="G552" s="2">
        <v>45708</v>
      </c>
      <c r="H552" s="2">
        <v>45716</v>
      </c>
      <c r="I552" s="2">
        <f>WORKDAY.INTL(F552,IF(OR(C552="MELHORIA PEQUENA",C552="MELHORIA MÉDIA"),3,1),1,ListaFeriados)</f>
        <v>45707</v>
      </c>
      <c r="J552" s="2">
        <f>WORKDAY.INTL(I552,IF(C552="MELHORIA MÉDIA",20,IF(OR(C552="MELHORIA PEQUENA",C552="BUG NÃO IMPEDITIVO"),5,2)),1,$X:$X)</f>
        <v>45714</v>
      </c>
      <c r="K552" t="str">
        <f>IF(H552&gt;J552,"ATRASO","NO PRAZO")</f>
        <v>ATRASO</v>
      </c>
    </row>
    <row r="553" spans="1:11">
      <c r="A553" s="1">
        <v>19700</v>
      </c>
      <c r="B553" t="s">
        <v>8</v>
      </c>
      <c r="C553" t="s">
        <v>16</v>
      </c>
      <c r="D553" s="1">
        <v>612</v>
      </c>
      <c r="E553" s="1">
        <v>2025</v>
      </c>
      <c r="F553" s="2">
        <v>45754</v>
      </c>
      <c r="G553" s="2">
        <v>45756</v>
      </c>
      <c r="H553" s="2">
        <v>45761</v>
      </c>
      <c r="I553" s="2">
        <f>WORKDAY.INTL(F553,IF(OR(C553="MELHORIA PEQUENA",C553="MELHORIA MÉDIA"),3,1),1,ListaFeriados)</f>
        <v>45755</v>
      </c>
      <c r="J553" s="2">
        <f>WORKDAY.INTL(I553,IF(C553="MELHORIA MÉDIA",20,IF(OR(C553="MELHORIA PEQUENA",C553="BUG NÃO IMPEDITIVO"),5,2)),1,$X:$X)</f>
        <v>45762</v>
      </c>
      <c r="K553" t="str">
        <f>IF(H553&gt;J553,"ATRASO","NO PRAZO")</f>
        <v>NO PRAZO</v>
      </c>
    </row>
    <row r="554" spans="1:11">
      <c r="A554" s="1">
        <v>19720</v>
      </c>
      <c r="B554" t="s">
        <v>10</v>
      </c>
      <c r="C554" t="s">
        <v>16</v>
      </c>
      <c r="D554" s="1">
        <v>632</v>
      </c>
      <c r="E554" s="1">
        <v>2025</v>
      </c>
      <c r="F554" s="2">
        <v>45756</v>
      </c>
      <c r="G554" s="2">
        <v>45758</v>
      </c>
      <c r="H554" s="2">
        <v>45758</v>
      </c>
      <c r="I554" s="2">
        <f>WORKDAY.INTL(F554,IF(OR(C554="MELHORIA PEQUENA",C554="MELHORIA MÉDIA"),3,1),1,ListaFeriados)</f>
        <v>45757</v>
      </c>
      <c r="J554" s="2">
        <f>WORKDAY.INTL(I554,IF(C554="MELHORIA MÉDIA",20,IF(OR(C554="MELHORIA PEQUENA",C554="BUG NÃO IMPEDITIVO"),5,2)),1,$X:$X)</f>
        <v>45764</v>
      </c>
      <c r="K554" t="str">
        <f>IF(H554&gt;J554,"ATRASO","NO PRAZO")</f>
        <v>NO PRAZO</v>
      </c>
    </row>
    <row r="555" spans="1:11">
      <c r="A555" s="1">
        <v>19824</v>
      </c>
      <c r="B555" t="s">
        <v>6</v>
      </c>
      <c r="C555" t="s">
        <v>16</v>
      </c>
      <c r="D555" s="1">
        <v>736</v>
      </c>
      <c r="E555" s="1">
        <v>2025</v>
      </c>
      <c r="F555" s="2">
        <v>45777</v>
      </c>
      <c r="G555" s="2">
        <v>45782</v>
      </c>
      <c r="H555" s="2">
        <v>45782</v>
      </c>
      <c r="I555" s="2">
        <f>WORKDAY.INTL(F555,IF(OR(C555="MELHORIA PEQUENA",C555="MELHORIA MÉDIA"),3,1),1,ListaFeriados)</f>
        <v>45779</v>
      </c>
      <c r="J555" s="2">
        <f>WORKDAY.INTL(I555,IF(C555="MELHORIA MÉDIA",20,IF(OR(C555="MELHORIA PEQUENA",C555="BUG NÃO IMPEDITIVO"),5,2)),1,$X:$X)</f>
        <v>45786</v>
      </c>
      <c r="K555" t="str">
        <f>IF(H555&gt;J555,"ATRASO","NO PRAZO")</f>
        <v>NO PRAZO</v>
      </c>
    </row>
    <row r="556" spans="1:11">
      <c r="A556" s="1">
        <v>19725</v>
      </c>
      <c r="B556" t="s">
        <v>14</v>
      </c>
      <c r="C556" t="s">
        <v>16</v>
      </c>
      <c r="D556" s="1">
        <v>637</v>
      </c>
      <c r="E556" s="1">
        <v>2025</v>
      </c>
      <c r="F556" s="2">
        <v>45757</v>
      </c>
      <c r="G556" s="2">
        <v>45758</v>
      </c>
      <c r="H556" s="2">
        <v>45761</v>
      </c>
      <c r="I556" s="2">
        <f>WORKDAY.INTL(F556,IF(OR(C556="MELHORIA PEQUENA",C556="MELHORIA MÉDIA"),3,1),1,ListaFeriados)</f>
        <v>45758</v>
      </c>
      <c r="J556" s="2">
        <f>WORKDAY.INTL(I556,IF(C556="MELHORIA MÉDIA",20,IF(OR(C556="MELHORIA PEQUENA",C556="BUG NÃO IMPEDITIVO"),5,2)),1,$X:$X)</f>
        <v>45769</v>
      </c>
      <c r="K556" t="str">
        <f>IF(H556&gt;J556,"ATRASO","NO PRAZO")</f>
        <v>NO PRAZO</v>
      </c>
    </row>
    <row r="557" spans="1:11">
      <c r="A557" s="1">
        <v>18922</v>
      </c>
      <c r="B557" t="s">
        <v>10</v>
      </c>
      <c r="C557" t="s">
        <v>16</v>
      </c>
      <c r="D557" s="1">
        <v>3109</v>
      </c>
      <c r="E557" s="1">
        <v>2024</v>
      </c>
      <c r="F557" s="2">
        <v>45625</v>
      </c>
      <c r="G557" s="2">
        <v>45625</v>
      </c>
      <c r="H557" s="2">
        <v>45625</v>
      </c>
      <c r="I557" s="2">
        <f>WORKDAY.INTL(F557,IF(OR(C557="MELHORIA PEQUENA",C557="MELHORIA MÉDIA"),3,1),1,ListaFeriados)</f>
        <v>45628</v>
      </c>
      <c r="J557" s="2">
        <f>WORKDAY.INTL(I557,IF(C557="MELHORIA MÉDIA",20,IF(OR(C557="MELHORIA PEQUENA",C557="BUG NÃO IMPEDITIVO"),5,2)),1,$X:$X)</f>
        <v>45635</v>
      </c>
      <c r="K557" t="str">
        <f>IF(H557&gt;J557,"ATRASO","NO PRAZO")</f>
        <v>NO PRAZO</v>
      </c>
    </row>
    <row r="558" spans="1:11">
      <c r="A558" s="1">
        <v>18985</v>
      </c>
      <c r="B558" t="s">
        <v>6</v>
      </c>
      <c r="C558" t="s">
        <v>16</v>
      </c>
      <c r="D558" s="1">
        <v>3172</v>
      </c>
      <c r="E558" s="1">
        <v>2024</v>
      </c>
      <c r="F558" s="2">
        <v>45636</v>
      </c>
      <c r="G558" s="2">
        <v>45637</v>
      </c>
      <c r="H558" s="2">
        <v>45637</v>
      </c>
      <c r="I558" s="2">
        <f>WORKDAY.INTL(F558,IF(OR(C558="MELHORIA PEQUENA",C558="MELHORIA MÉDIA"),3,1),1,ListaFeriados)</f>
        <v>45637</v>
      </c>
      <c r="J558" s="2">
        <f>WORKDAY.INTL(I558,IF(C558="MELHORIA MÉDIA",20,IF(OR(C558="MELHORIA PEQUENA",C558="BUG NÃO IMPEDITIVO"),5,2)),1,$X:$X)</f>
        <v>45644</v>
      </c>
      <c r="K558" t="str">
        <f>IF(H558&gt;J558,"ATRASO","NO PRAZO")</f>
        <v>NO PRAZO</v>
      </c>
    </row>
    <row r="559" spans="1:11">
      <c r="A559" s="1">
        <v>19239</v>
      </c>
      <c r="B559" t="s">
        <v>8</v>
      </c>
      <c r="C559" t="s">
        <v>16</v>
      </c>
      <c r="D559" s="1">
        <v>151</v>
      </c>
      <c r="E559" s="1">
        <v>2025</v>
      </c>
      <c r="F559" s="2">
        <v>45684</v>
      </c>
      <c r="G559" s="2">
        <v>45685</v>
      </c>
      <c r="H559" s="2">
        <v>45687</v>
      </c>
      <c r="I559" s="2">
        <f>WORKDAY.INTL(F559,IF(OR(C559="MELHORIA PEQUENA",C559="MELHORIA MÉDIA"),3,1),1,ListaFeriados)</f>
        <v>45685</v>
      </c>
      <c r="J559" s="2">
        <f>WORKDAY.INTL(I559,IF(C559="MELHORIA MÉDIA",20,IF(OR(C559="MELHORIA PEQUENA",C559="BUG NÃO IMPEDITIVO"),5,2)),1,$X:$X)</f>
        <v>45692</v>
      </c>
      <c r="K559" t="str">
        <f>IF(H559&gt;J559,"ATRASO","NO PRAZO")</f>
        <v>NO PRAZO</v>
      </c>
    </row>
    <row r="560" spans="1:11">
      <c r="A560" s="1">
        <v>19626</v>
      </c>
      <c r="B560" t="s">
        <v>9</v>
      </c>
      <c r="C560" t="s">
        <v>16</v>
      </c>
      <c r="D560" s="1">
        <v>538</v>
      </c>
      <c r="E560" s="1">
        <v>2025</v>
      </c>
      <c r="F560" s="2">
        <v>45743</v>
      </c>
      <c r="G560" s="2">
        <v>45744</v>
      </c>
      <c r="H560" s="2">
        <v>45750</v>
      </c>
      <c r="I560" s="2">
        <f>WORKDAY.INTL(F560,IF(OR(C560="MELHORIA PEQUENA",C560="MELHORIA MÉDIA"),3,1),1,ListaFeriados)</f>
        <v>45744</v>
      </c>
      <c r="J560" s="2">
        <f>WORKDAY.INTL(I560,IF(C560="MELHORIA MÉDIA",20,IF(OR(C560="MELHORIA PEQUENA",C560="BUG NÃO IMPEDITIVO"),5,2)),1,$X:$X)</f>
        <v>45751</v>
      </c>
      <c r="K560" t="str">
        <f>IF(H560&gt;J560,"ATRASO","NO PRAZO")</f>
        <v>NO PRAZO</v>
      </c>
    </row>
    <row r="561" spans="1:11">
      <c r="A561" s="1">
        <v>18849</v>
      </c>
      <c r="B561" t="s">
        <v>6</v>
      </c>
      <c r="C561" t="s">
        <v>16</v>
      </c>
      <c r="D561" s="1">
        <v>3036</v>
      </c>
      <c r="E561" s="1">
        <v>2024</v>
      </c>
      <c r="F561" s="2">
        <v>45608</v>
      </c>
      <c r="G561" s="2">
        <v>45617</v>
      </c>
      <c r="H561" s="2">
        <v>45618</v>
      </c>
      <c r="I561" s="2">
        <f>WORKDAY.INTL(F561,IF(OR(C561="MELHORIA PEQUENA",C561="MELHORIA MÉDIA"),3,1),1,ListaFeriados)</f>
        <v>45609</v>
      </c>
      <c r="J561" s="2">
        <f>WORKDAY.INTL(I561,IF(C561="MELHORIA MÉDIA",20,IF(OR(C561="MELHORIA PEQUENA",C561="BUG NÃO IMPEDITIVO"),5,2)),1,$X:$X)</f>
        <v>45618</v>
      </c>
      <c r="K561" t="str">
        <f>IF(H561&gt;J561,"ATRASO","NO PRAZO")</f>
        <v>NO PRAZO</v>
      </c>
    </row>
    <row r="562" spans="1:11">
      <c r="A562" s="1">
        <v>19741</v>
      </c>
      <c r="B562" t="s">
        <v>9</v>
      </c>
      <c r="C562" t="s">
        <v>16</v>
      </c>
      <c r="D562" s="1">
        <v>653</v>
      </c>
      <c r="E562" s="1">
        <v>2025</v>
      </c>
      <c r="F562" s="2">
        <v>45761</v>
      </c>
      <c r="G562" s="2">
        <v>45764</v>
      </c>
      <c r="H562" s="2">
        <v>45792</v>
      </c>
      <c r="I562" s="2">
        <f>WORKDAY.INTL(F562,IF(OR(C562="MELHORIA PEQUENA",C562="MELHORIA MÉDIA"),3,1),1,ListaFeriados)</f>
        <v>45762</v>
      </c>
      <c r="J562" s="2">
        <f>WORKDAY.INTL(I562,IF(C562="MELHORIA MÉDIA",20,IF(OR(C562="MELHORIA PEQUENA",C562="BUG NÃO IMPEDITIVO"),5,2)),1,$X:$X)</f>
        <v>45772</v>
      </c>
      <c r="K562" t="str">
        <f>IF(H562&gt;J562,"ATRASO","NO PRAZO")</f>
        <v>ATRASO</v>
      </c>
    </row>
    <row r="563" spans="1:11">
      <c r="A563" s="1">
        <v>19189</v>
      </c>
      <c r="B563" t="s">
        <v>6</v>
      </c>
      <c r="C563" t="s">
        <v>16</v>
      </c>
      <c r="D563" s="1">
        <v>101</v>
      </c>
      <c r="E563" s="1">
        <v>2025</v>
      </c>
      <c r="F563" s="2">
        <v>45674</v>
      </c>
      <c r="G563" s="2">
        <v>45678</v>
      </c>
      <c r="H563" s="2">
        <v>45684</v>
      </c>
      <c r="I563" s="2">
        <f>WORKDAY.INTL(F563,IF(OR(C563="MELHORIA PEQUENA",C563="MELHORIA MÉDIA"),3,1),1,ListaFeriados)</f>
        <v>45678</v>
      </c>
      <c r="J563" s="2">
        <f>WORKDAY.INTL(I563,IF(C563="MELHORIA MÉDIA",20,IF(OR(C563="MELHORIA PEQUENA",C563="BUG NÃO IMPEDITIVO"),5,2)),1,$X:$X)</f>
        <v>45685</v>
      </c>
      <c r="K563" t="str">
        <f>IF(H563&gt;J563,"ATRASO","NO PRAZO")</f>
        <v>NO PRAZO</v>
      </c>
    </row>
    <row r="564" spans="1:11">
      <c r="A564" s="1">
        <v>19258</v>
      </c>
      <c r="B564" t="s">
        <v>8</v>
      </c>
      <c r="C564" t="s">
        <v>16</v>
      </c>
      <c r="D564" s="1">
        <v>170</v>
      </c>
      <c r="E564" s="1">
        <v>2025</v>
      </c>
      <c r="F564" s="2">
        <v>45686</v>
      </c>
      <c r="G564" s="2">
        <v>45687</v>
      </c>
      <c r="H564" s="2">
        <v>45693</v>
      </c>
      <c r="I564" s="2">
        <f>WORKDAY.INTL(F564,IF(OR(C564="MELHORIA PEQUENA",C564="MELHORIA MÉDIA"),3,1),1,ListaFeriados)</f>
        <v>45687</v>
      </c>
      <c r="J564" s="2">
        <f>WORKDAY.INTL(I564,IF(C564="MELHORIA MÉDIA",20,IF(OR(C564="MELHORIA PEQUENA",C564="BUG NÃO IMPEDITIVO"),5,2)),1,$X:$X)</f>
        <v>45694</v>
      </c>
      <c r="K564" t="str">
        <f>IF(H564&gt;J564,"ATRASO","NO PRAZO")</f>
        <v>NO PRAZO</v>
      </c>
    </row>
    <row r="565" spans="1:11">
      <c r="A565" s="1">
        <v>20767</v>
      </c>
      <c r="B565" t="s">
        <v>12</v>
      </c>
      <c r="C565" t="s">
        <v>16</v>
      </c>
      <c r="D565" s="1">
        <v>1679</v>
      </c>
      <c r="E565" s="1">
        <v>2025</v>
      </c>
      <c r="F565" s="2">
        <v>45908</v>
      </c>
      <c r="G565" s="2">
        <v>45908</v>
      </c>
      <c r="H565" s="2">
        <v>45909</v>
      </c>
      <c r="I565" s="2">
        <f>WORKDAY.INTL(F565,IF(OR(C565="MELHORIA PEQUENA",C565="MELHORIA MÉDIA"),3,1),1,ListaFeriados)</f>
        <v>45909</v>
      </c>
      <c r="J565" s="2">
        <f>WORKDAY.INTL(I565,IF(C565="MELHORIA MÉDIA",20,IF(OR(C565="MELHORIA PEQUENA",C565="BUG NÃO IMPEDITIVO"),5,2)),1,$X:$X)</f>
        <v>45916</v>
      </c>
      <c r="K565" t="str">
        <f>IF(H565&gt;J565,"ATRASO","NO PRAZO")</f>
        <v>NO PRAZO</v>
      </c>
    </row>
    <row r="566" spans="1:11">
      <c r="A566" s="1">
        <v>20260</v>
      </c>
      <c r="B566" t="s">
        <v>13</v>
      </c>
      <c r="C566" t="s">
        <v>16</v>
      </c>
      <c r="D566" s="1">
        <v>1172</v>
      </c>
      <c r="E566" s="1">
        <v>2025</v>
      </c>
      <c r="F566" s="2">
        <v>45847</v>
      </c>
      <c r="G566" s="2">
        <v>45852</v>
      </c>
      <c r="H566" s="2">
        <v>45853</v>
      </c>
      <c r="I566" s="2">
        <f>WORKDAY.INTL(F566,IF(OR(C566="MELHORIA PEQUENA",C566="MELHORIA MÉDIA"),3,1),1,ListaFeriados)</f>
        <v>45848</v>
      </c>
      <c r="J566" s="2">
        <f>WORKDAY.INTL(I566,IF(C566="MELHORIA MÉDIA",20,IF(OR(C566="MELHORIA PEQUENA",C566="BUG NÃO IMPEDITIVO"),5,2)),1,$X:$X)</f>
        <v>45855</v>
      </c>
      <c r="K566" t="str">
        <f>IF(H566&gt;J566,"ATRASO","NO PRAZO")</f>
        <v>NO PRAZO</v>
      </c>
    </row>
    <row r="567" spans="1:11">
      <c r="A567" s="1">
        <v>20877</v>
      </c>
      <c r="B567" t="s">
        <v>12</v>
      </c>
      <c r="C567" t="s">
        <v>16</v>
      </c>
      <c r="D567" s="1">
        <v>1789</v>
      </c>
      <c r="E567" s="1">
        <v>2025</v>
      </c>
      <c r="F567" s="2">
        <v>45909</v>
      </c>
      <c r="G567" s="2">
        <v>45911</v>
      </c>
      <c r="H567" s="2">
        <v>45912</v>
      </c>
      <c r="I567" s="2">
        <f>WORKDAY.INTL(F567,IF(OR(C567="MELHORIA PEQUENA",C567="MELHORIA MÉDIA"),3,1),1,ListaFeriados)</f>
        <v>45910</v>
      </c>
      <c r="J567" s="2">
        <f>WORKDAY.INTL(I567,IF(C567="MELHORIA MÉDIA",20,IF(OR(C567="MELHORIA PEQUENA",C567="BUG NÃO IMPEDITIVO"),5,2)),1,$X:$X)</f>
        <v>45917</v>
      </c>
      <c r="K567" t="str">
        <f>IF(H567&gt;J567,"ATRASO","NO PRAZO")</f>
        <v>NO PRAZO</v>
      </c>
    </row>
    <row r="568" spans="1:11">
      <c r="A568" s="1">
        <v>20601</v>
      </c>
      <c r="B568" t="s">
        <v>12</v>
      </c>
      <c r="C568" t="s">
        <v>16</v>
      </c>
      <c r="D568" s="1">
        <v>1513</v>
      </c>
      <c r="E568" s="1">
        <v>2025</v>
      </c>
      <c r="F568" s="2">
        <v>45895</v>
      </c>
      <c r="G568" s="2">
        <v>45897</v>
      </c>
      <c r="H568" s="2">
        <v>45904</v>
      </c>
      <c r="I568" s="2">
        <f>WORKDAY.INTL(F568,IF(OR(C568="MELHORIA PEQUENA",C568="MELHORIA MÉDIA"),3,1),1,ListaFeriados)</f>
        <v>45896</v>
      </c>
      <c r="J568" s="2">
        <f>WORKDAY.INTL(I568,IF(C568="MELHORIA MÉDIA",20,IF(OR(C568="MELHORIA PEQUENA",C568="BUG NÃO IMPEDITIVO"),5,2)),1,$X:$X)</f>
        <v>45903</v>
      </c>
      <c r="K568" t="str">
        <f>IF(H568&gt;J568,"ATRASO","NO PRAZO")</f>
        <v>ATRASO</v>
      </c>
    </row>
    <row r="569" spans="1:11">
      <c r="A569" s="1">
        <v>20643</v>
      </c>
      <c r="B569" t="s">
        <v>12</v>
      </c>
      <c r="C569" t="s">
        <v>16</v>
      </c>
      <c r="D569" s="1">
        <v>1555</v>
      </c>
      <c r="E569" s="1">
        <v>2025</v>
      </c>
      <c r="F569" s="2">
        <v>45898</v>
      </c>
      <c r="G569" s="2">
        <v>45901</v>
      </c>
      <c r="H569" s="2">
        <v>45905</v>
      </c>
      <c r="I569" s="2">
        <f>WORKDAY.INTL(F569,IF(OR(C569="MELHORIA PEQUENA",C569="MELHORIA MÉDIA"),3,1),1,ListaFeriados)</f>
        <v>45901</v>
      </c>
      <c r="J569" s="2">
        <f>WORKDAY.INTL(I569,IF(C569="MELHORIA MÉDIA",20,IF(OR(C569="MELHORIA PEQUENA",C569="BUG NÃO IMPEDITIVO"),5,2)),1,$X:$X)</f>
        <v>45908</v>
      </c>
      <c r="K569" t="str">
        <f>IF(H569&gt;J569,"ATRASO","NO PRAZO")</f>
        <v>NO PRAZO</v>
      </c>
    </row>
    <row r="570" spans="1:11">
      <c r="A570" s="1">
        <v>20328</v>
      </c>
      <c r="B570" t="s">
        <v>12</v>
      </c>
      <c r="C570" t="s">
        <v>16</v>
      </c>
      <c r="D570" s="1">
        <v>1240</v>
      </c>
      <c r="E570" s="1">
        <v>2025</v>
      </c>
      <c r="F570" s="2">
        <v>45854</v>
      </c>
      <c r="G570" s="2">
        <v>45859</v>
      </c>
      <c r="H570" s="2">
        <v>45861</v>
      </c>
      <c r="I570" s="2">
        <f>WORKDAY.INTL(F570,IF(OR(C570="MELHORIA PEQUENA",C570="MELHORIA MÉDIA"),3,1),1,ListaFeriados)</f>
        <v>45855</v>
      </c>
      <c r="J570" s="2">
        <f>WORKDAY.INTL(I570,IF(C570="MELHORIA MÉDIA",20,IF(OR(C570="MELHORIA PEQUENA",C570="BUG NÃO IMPEDITIVO"),5,2)),1,$X:$X)</f>
        <v>45862</v>
      </c>
      <c r="K570" t="str">
        <f>IF(H570&gt;J570,"ATRASO","NO PRAZO")</f>
        <v>NO PRAZO</v>
      </c>
    </row>
    <row r="571" spans="1:11">
      <c r="A571" s="1">
        <v>19965</v>
      </c>
      <c r="B571" t="s">
        <v>9</v>
      </c>
      <c r="C571" t="s">
        <v>16</v>
      </c>
      <c r="D571" s="1">
        <v>877</v>
      </c>
      <c r="E571" s="1">
        <v>2025</v>
      </c>
      <c r="F571" s="2">
        <v>45799</v>
      </c>
      <c r="G571" s="2">
        <v>45800</v>
      </c>
      <c r="H571" s="2">
        <v>45806</v>
      </c>
      <c r="I571" s="2">
        <f>WORKDAY.INTL(F571,IF(OR(C571="MELHORIA PEQUENA",C571="MELHORIA MÉDIA"),3,1),1,ListaFeriados)</f>
        <v>45800</v>
      </c>
      <c r="J571" s="2">
        <f>WORKDAY.INTL(I571,IF(C571="MELHORIA MÉDIA",20,IF(OR(C571="MELHORIA PEQUENA",C571="BUG NÃO IMPEDITIVO"),5,2)),1,$X:$X)</f>
        <v>45807</v>
      </c>
      <c r="K571" t="str">
        <f>IF(H571&gt;J571,"ATRASO","NO PRAZO")</f>
        <v>NO PRAZO</v>
      </c>
    </row>
    <row r="572" spans="1:11">
      <c r="A572" s="1">
        <v>20983</v>
      </c>
      <c r="B572" t="s">
        <v>14</v>
      </c>
      <c r="C572" t="s">
        <v>16</v>
      </c>
      <c r="D572" s="1">
        <v>1895</v>
      </c>
      <c r="E572" s="1">
        <v>2025</v>
      </c>
      <c r="F572" s="2">
        <v>45918</v>
      </c>
      <c r="G572" s="2">
        <v>45919</v>
      </c>
      <c r="H572" s="2">
        <v>45925</v>
      </c>
      <c r="I572" s="2">
        <f>WORKDAY.INTL(F572,IF(OR(C572="MELHORIA PEQUENA",C572="MELHORIA MÉDIA"),3,1),1,ListaFeriados)</f>
        <v>45919</v>
      </c>
      <c r="J572" s="2">
        <f>WORKDAY.INTL(I572,IF(C572="MELHORIA MÉDIA",20,IF(OR(C572="MELHORIA PEQUENA",C572="BUG NÃO IMPEDITIVO"),5,2)),1,$X:$X)</f>
        <v>45926</v>
      </c>
      <c r="K572" t="str">
        <f>IF(H572&gt;J572,"ATRASO","NO PRAZO")</f>
        <v>NO PRAZO</v>
      </c>
    </row>
    <row r="573" spans="1:11">
      <c r="A573" s="1">
        <v>20004</v>
      </c>
      <c r="B573" t="s">
        <v>9</v>
      </c>
      <c r="C573" t="s">
        <v>16</v>
      </c>
      <c r="D573" s="1">
        <v>916</v>
      </c>
      <c r="E573" s="1">
        <v>2025</v>
      </c>
      <c r="F573" s="2">
        <v>45805</v>
      </c>
      <c r="G573" s="2">
        <v>45810</v>
      </c>
      <c r="H573" s="2">
        <v>45810</v>
      </c>
      <c r="I573" s="2">
        <f>WORKDAY.INTL(F573,IF(OR(C573="MELHORIA PEQUENA",C573="MELHORIA MÉDIA"),3,1),1,ListaFeriados)</f>
        <v>45806</v>
      </c>
      <c r="J573" s="2">
        <f>WORKDAY.INTL(I573,IF(C573="MELHORIA MÉDIA",20,IF(OR(C573="MELHORIA PEQUENA",C573="BUG NÃO IMPEDITIVO"),5,2)),1,$X:$X)</f>
        <v>45813</v>
      </c>
      <c r="K573" t="str">
        <f>IF(H573&gt;J573,"ATRASO","NO PRAZO")</f>
        <v>NO PRAZO</v>
      </c>
    </row>
    <row r="574" spans="1:11">
      <c r="A574" s="1">
        <v>15867</v>
      </c>
      <c r="B574" t="s">
        <v>10</v>
      </c>
      <c r="C574" t="s">
        <v>16</v>
      </c>
      <c r="D574" s="1">
        <v>54</v>
      </c>
      <c r="E574" s="1">
        <v>2024</v>
      </c>
      <c r="F574" s="2">
        <v>45295</v>
      </c>
      <c r="G574" s="2">
        <v>45299</v>
      </c>
      <c r="H574" s="2">
        <v>45300</v>
      </c>
      <c r="I574" s="2">
        <f>WORKDAY.INTL(F574,IF(OR(C574="MELHORIA PEQUENA",C574="MELHORIA MÉDIA"),3,1),1,ListaFeriados)</f>
        <v>45296</v>
      </c>
      <c r="J574" s="2">
        <f>WORKDAY.INTL(I574,IF(C574="MELHORIA MÉDIA",20,IF(OR(C574="MELHORIA PEQUENA",C574="BUG NÃO IMPEDITIVO"),5,2)),1,$X:$X)</f>
        <v>45303</v>
      </c>
      <c r="K574" t="str">
        <f>IF(H574&gt;J574,"ATRASO","NO PRAZO")</f>
        <v>NO PRAZO</v>
      </c>
    </row>
    <row r="575" spans="1:11">
      <c r="A575" s="1">
        <v>16617</v>
      </c>
      <c r="B575" t="s">
        <v>9</v>
      </c>
      <c r="C575" t="s">
        <v>16</v>
      </c>
      <c r="D575" s="1">
        <v>804</v>
      </c>
      <c r="E575" s="1">
        <v>2024</v>
      </c>
      <c r="F575" s="2">
        <v>45357</v>
      </c>
      <c r="G575" s="2">
        <v>45358</v>
      </c>
      <c r="H575" s="2">
        <v>45363</v>
      </c>
      <c r="I575" s="2">
        <f>WORKDAY.INTL(F575,IF(OR(C575="MELHORIA PEQUENA",C575="MELHORIA MÉDIA"),3,1),1,ListaFeriados)</f>
        <v>45358</v>
      </c>
      <c r="J575" s="2">
        <f>WORKDAY.INTL(I575,IF(C575="MELHORIA MÉDIA",20,IF(OR(C575="MELHORIA PEQUENA",C575="BUG NÃO IMPEDITIVO"),5,2)),1,$X:$X)</f>
        <v>45365</v>
      </c>
      <c r="K575" t="str">
        <f>IF(H575&gt;J575,"ATRASO","NO PRAZO")</f>
        <v>NO PRAZO</v>
      </c>
    </row>
    <row r="576" spans="1:11">
      <c r="A576" s="1">
        <v>16192</v>
      </c>
      <c r="B576" t="s">
        <v>9</v>
      </c>
      <c r="C576" t="s">
        <v>16</v>
      </c>
      <c r="D576" s="1">
        <v>379</v>
      </c>
      <c r="E576" s="1">
        <v>2024</v>
      </c>
      <c r="F576" s="2">
        <v>45327</v>
      </c>
      <c r="G576" s="2">
        <v>45328</v>
      </c>
      <c r="H576" s="2">
        <v>45348</v>
      </c>
      <c r="I576" s="2">
        <f>WORKDAY.INTL(F576,IF(OR(C576="MELHORIA PEQUENA",C576="MELHORIA MÉDIA"),3,1),1,ListaFeriados)</f>
        <v>45328</v>
      </c>
      <c r="J576" s="2">
        <f>WORKDAY.INTL(I576,IF(C576="MELHORIA MÉDIA",20,IF(OR(C576="MELHORIA PEQUENA",C576="BUG NÃO IMPEDITIVO"),5,2)),1,$X:$X)</f>
        <v>45337</v>
      </c>
      <c r="K576" t="str">
        <f>IF(H576&gt;J576,"ATRASO","NO PRAZO")</f>
        <v>ATRASO</v>
      </c>
    </row>
    <row r="577" spans="1:11">
      <c r="A577" s="1">
        <v>16577</v>
      </c>
      <c r="B577" t="s">
        <v>9</v>
      </c>
      <c r="C577" t="s">
        <v>16</v>
      </c>
      <c r="D577" s="1">
        <v>764</v>
      </c>
      <c r="E577" s="1">
        <v>2024</v>
      </c>
      <c r="F577" s="2">
        <v>45355</v>
      </c>
      <c r="G577" s="2">
        <v>45356</v>
      </c>
      <c r="H577" s="2">
        <v>45362</v>
      </c>
      <c r="I577" s="2">
        <f>WORKDAY.INTL(F577,IF(OR(C577="MELHORIA PEQUENA",C577="MELHORIA MÉDIA"),3,1),1,ListaFeriados)</f>
        <v>45356</v>
      </c>
      <c r="J577" s="2">
        <f>WORKDAY.INTL(I577,IF(C577="MELHORIA MÉDIA",20,IF(OR(C577="MELHORIA PEQUENA",C577="BUG NÃO IMPEDITIVO"),5,2)),1,$X:$X)</f>
        <v>45363</v>
      </c>
      <c r="K577" t="str">
        <f>IF(H577&gt;J577,"ATRASO","NO PRAZO")</f>
        <v>NO PRAZO</v>
      </c>
    </row>
    <row r="578" spans="1:11">
      <c r="A578" s="1">
        <v>16320</v>
      </c>
      <c r="B578" t="s">
        <v>8</v>
      </c>
      <c r="C578" t="s">
        <v>16</v>
      </c>
      <c r="D578" s="1">
        <v>507</v>
      </c>
      <c r="E578" s="1">
        <v>2024</v>
      </c>
      <c r="F578" s="2">
        <v>45337</v>
      </c>
      <c r="G578" s="2">
        <v>45341</v>
      </c>
      <c r="H578" s="2">
        <v>45342</v>
      </c>
      <c r="I578" s="2">
        <f>WORKDAY.INTL(F578,IF(OR(C578="MELHORIA PEQUENA",C578="MELHORIA MÉDIA"),3,1),1,ListaFeriados)</f>
        <v>45338</v>
      </c>
      <c r="J578" s="2">
        <f>WORKDAY.INTL(I578,IF(C578="MELHORIA MÉDIA",20,IF(OR(C578="MELHORIA PEQUENA",C578="BUG NÃO IMPEDITIVO"),5,2)),1,$X:$X)</f>
        <v>45345</v>
      </c>
      <c r="K578" t="str">
        <f>IF(H578&gt;J578,"ATRASO","NO PRAZO")</f>
        <v>NO PRAZO</v>
      </c>
    </row>
    <row r="579" spans="1:11">
      <c r="A579" s="1">
        <v>16529</v>
      </c>
      <c r="B579" t="s">
        <v>8</v>
      </c>
      <c r="C579" t="s">
        <v>16</v>
      </c>
      <c r="D579" s="1">
        <v>716</v>
      </c>
      <c r="E579" s="1">
        <v>2024</v>
      </c>
      <c r="F579" s="2">
        <v>45350</v>
      </c>
      <c r="G579" s="2">
        <v>45355</v>
      </c>
      <c r="H579" s="2">
        <v>45355</v>
      </c>
      <c r="I579" s="2">
        <f>WORKDAY.INTL(F579,IF(OR(C579="MELHORIA PEQUENA",C579="MELHORIA MÉDIA"),3,1),1,ListaFeriados)</f>
        <v>45351</v>
      </c>
      <c r="J579" s="2">
        <f>WORKDAY.INTL(I579,IF(C579="MELHORIA MÉDIA",20,IF(OR(C579="MELHORIA PEQUENA",C579="BUG NÃO IMPEDITIVO"),5,2)),1,$X:$X)</f>
        <v>45359</v>
      </c>
      <c r="K579" t="str">
        <f>IF(H579&gt;J579,"ATRASO","NO PRAZO")</f>
        <v>NO PRAZO</v>
      </c>
    </row>
    <row r="580" spans="1:11">
      <c r="A580" s="1">
        <v>16910</v>
      </c>
      <c r="B580" t="s">
        <v>8</v>
      </c>
      <c r="C580" t="s">
        <v>16</v>
      </c>
      <c r="D580" s="1">
        <v>1097</v>
      </c>
      <c r="E580" s="1">
        <v>2024</v>
      </c>
      <c r="F580" s="2">
        <v>45377</v>
      </c>
      <c r="G580" s="2">
        <v>45378</v>
      </c>
      <c r="H580" s="2">
        <v>45390</v>
      </c>
      <c r="I580" s="2">
        <f>WORKDAY.INTL(F580,IF(OR(C580="MELHORIA PEQUENA",C580="MELHORIA MÉDIA"),3,1),1,ListaFeriados)</f>
        <v>45378</v>
      </c>
      <c r="J580" s="2">
        <f>WORKDAY.INTL(I580,IF(C580="MELHORIA MÉDIA",20,IF(OR(C580="MELHORIA PEQUENA",C580="BUG NÃO IMPEDITIVO"),5,2)),1,$X:$X)</f>
        <v>45386</v>
      </c>
      <c r="K580" t="str">
        <f>IF(H580&gt;J580,"ATRASO","NO PRAZO")</f>
        <v>ATRASO</v>
      </c>
    </row>
    <row r="581" spans="1:11">
      <c r="A581" s="1">
        <v>16061</v>
      </c>
      <c r="B581" t="s">
        <v>9</v>
      </c>
      <c r="C581" t="s">
        <v>16</v>
      </c>
      <c r="D581" s="1">
        <v>248</v>
      </c>
      <c r="E581" s="1">
        <v>2024</v>
      </c>
      <c r="F581" s="2">
        <v>45313</v>
      </c>
      <c r="G581" s="2">
        <v>45315</v>
      </c>
      <c r="H581" s="2">
        <v>45315</v>
      </c>
      <c r="I581" s="2">
        <f>WORKDAY.INTL(F581,IF(OR(C581="MELHORIA PEQUENA",C581="MELHORIA MÉDIA"),3,1),1,ListaFeriados)</f>
        <v>45314</v>
      </c>
      <c r="J581" s="2">
        <f>WORKDAY.INTL(I581,IF(C581="MELHORIA MÉDIA",20,IF(OR(C581="MELHORIA PEQUENA",C581="BUG NÃO IMPEDITIVO"),5,2)),1,$X:$X)</f>
        <v>45321</v>
      </c>
      <c r="K581" t="str">
        <f>IF(H581&gt;J581,"ATRASO","NO PRAZO")</f>
        <v>NO PRAZO</v>
      </c>
    </row>
    <row r="582" spans="1:11">
      <c r="A582" s="1">
        <v>16588</v>
      </c>
      <c r="B582" t="s">
        <v>8</v>
      </c>
      <c r="C582" t="s">
        <v>16</v>
      </c>
      <c r="D582" s="1">
        <v>775</v>
      </c>
      <c r="E582" s="1">
        <v>2024</v>
      </c>
      <c r="F582" s="2">
        <v>45356</v>
      </c>
      <c r="G582" s="2">
        <v>45357</v>
      </c>
      <c r="H582" s="2">
        <v>45358</v>
      </c>
      <c r="I582" s="2">
        <f>WORKDAY.INTL(F582,IF(OR(C582="MELHORIA PEQUENA",C582="MELHORIA MÉDIA"),3,1),1,ListaFeriados)</f>
        <v>45357</v>
      </c>
      <c r="J582" s="2">
        <f>WORKDAY.INTL(I582,IF(C582="MELHORIA MÉDIA",20,IF(OR(C582="MELHORIA PEQUENA",C582="BUG NÃO IMPEDITIVO"),5,2)),1,$X:$X)</f>
        <v>45364</v>
      </c>
      <c r="K582" t="str">
        <f>IF(H582&gt;J582,"ATRASO","NO PRAZO")</f>
        <v>NO PRAZO</v>
      </c>
    </row>
    <row r="583" spans="1:11">
      <c r="A583" s="1">
        <v>16681</v>
      </c>
      <c r="B583" t="s">
        <v>8</v>
      </c>
      <c r="C583" t="s">
        <v>16</v>
      </c>
      <c r="D583" s="1">
        <v>868</v>
      </c>
      <c r="E583" s="1">
        <v>2024</v>
      </c>
      <c r="F583" s="2">
        <v>45363</v>
      </c>
      <c r="G583" s="2">
        <v>45364</v>
      </c>
      <c r="H583" s="2">
        <v>45366</v>
      </c>
      <c r="I583" s="2">
        <f>WORKDAY.INTL(F583,IF(OR(C583="MELHORIA PEQUENA",C583="MELHORIA MÉDIA"),3,1),1,ListaFeriados)</f>
        <v>45364</v>
      </c>
      <c r="J583" s="2">
        <f>WORKDAY.INTL(I583,IF(C583="MELHORIA MÉDIA",20,IF(OR(C583="MELHORIA PEQUENA",C583="BUG NÃO IMPEDITIVO"),5,2)),1,$X:$X)</f>
        <v>45371</v>
      </c>
      <c r="K583" t="str">
        <f>IF(H583&gt;J583,"ATRASO","NO PRAZO")</f>
        <v>NO PRAZO</v>
      </c>
    </row>
    <row r="584" spans="1:11">
      <c r="A584" s="1">
        <v>16590</v>
      </c>
      <c r="B584" t="s">
        <v>8</v>
      </c>
      <c r="C584" t="s">
        <v>16</v>
      </c>
      <c r="D584" s="1">
        <v>777</v>
      </c>
      <c r="E584" s="1">
        <v>2024</v>
      </c>
      <c r="F584" s="2">
        <v>45356</v>
      </c>
      <c r="G584" s="2">
        <v>45357</v>
      </c>
      <c r="H584" s="2">
        <v>45358</v>
      </c>
      <c r="I584" s="2">
        <f>WORKDAY.INTL(F584,IF(OR(C584="MELHORIA PEQUENA",C584="MELHORIA MÉDIA"),3,1),1,ListaFeriados)</f>
        <v>45357</v>
      </c>
      <c r="J584" s="2">
        <f>WORKDAY.INTL(I584,IF(C584="MELHORIA MÉDIA",20,IF(OR(C584="MELHORIA PEQUENA",C584="BUG NÃO IMPEDITIVO"),5,2)),1,$X:$X)</f>
        <v>45364</v>
      </c>
      <c r="K584" t="str">
        <f>IF(H584&gt;J584,"ATRASO","NO PRAZO")</f>
        <v>NO PRAZO</v>
      </c>
    </row>
    <row r="585" spans="1:11">
      <c r="A585" s="1">
        <v>22028</v>
      </c>
      <c r="B585" t="s">
        <v>6</v>
      </c>
      <c r="C585" t="s">
        <v>16</v>
      </c>
      <c r="D585" s="1">
        <v>434</v>
      </c>
      <c r="E585" s="1">
        <v>2026</v>
      </c>
      <c r="F585" s="2">
        <v>46100</v>
      </c>
      <c r="G585" s="2">
        <v>46101</v>
      </c>
      <c r="H585" s="2">
        <v>46101</v>
      </c>
      <c r="I585" s="2">
        <f>WORKDAY.INTL(F585,IF(OR(C585="MELHORIA PEQUENA",C585="MELHORIA MÉDIA"),3,1),1,ListaFeriados)</f>
        <v>46101</v>
      </c>
      <c r="J585" s="2">
        <f>WORKDAY.INTL(I585,IF(C585="MELHORIA MÉDIA",20,IF(OR(C585="MELHORIA PEQUENA",C585="BUG NÃO IMPEDITIVO"),5,2)),1,$X:$X)</f>
        <v>46108</v>
      </c>
      <c r="K585" t="str">
        <f>IF(H585&gt;J585,"ATRASO","NO PRAZO")</f>
        <v>NO PRAZO</v>
      </c>
    </row>
    <row r="586" spans="1:11">
      <c r="A586" s="1">
        <v>22240</v>
      </c>
      <c r="B586" t="s">
        <v>6</v>
      </c>
      <c r="C586" t="s">
        <v>16</v>
      </c>
      <c r="D586" s="1">
        <v>646</v>
      </c>
      <c r="E586" s="1">
        <v>2026</v>
      </c>
      <c r="F586" s="2">
        <v>46136</v>
      </c>
      <c r="G586" s="2">
        <v>46142</v>
      </c>
      <c r="H586" s="2">
        <v>46142</v>
      </c>
      <c r="I586" s="2">
        <f>WORKDAY.INTL(F586,IF(OR(C586="MELHORIA PEQUENA",C586="MELHORIA MÉDIA"),3,1),1,ListaFeriados)</f>
        <v>46139</v>
      </c>
      <c r="J586" s="2">
        <f>WORKDAY.INTL(I586,IF(C586="MELHORIA MÉDIA",20,IF(OR(C586="MELHORIA PEQUENA",C586="BUG NÃO IMPEDITIVO"),5,2)),1,$X:$X)</f>
        <v>46147</v>
      </c>
      <c r="K586" t="str">
        <f>IF(H586&gt;J586,"ATRASO","NO PRAZO")</f>
        <v>NO PRAZO</v>
      </c>
    </row>
    <row r="587" spans="1:11">
      <c r="A587" s="1">
        <v>21763</v>
      </c>
      <c r="B587" t="s">
        <v>12</v>
      </c>
      <c r="C587" t="s">
        <v>16</v>
      </c>
      <c r="D587" s="1">
        <v>169</v>
      </c>
      <c r="E587" s="1">
        <v>2026</v>
      </c>
      <c r="F587" s="2">
        <v>46056</v>
      </c>
      <c r="G587" s="2">
        <v>46057</v>
      </c>
      <c r="H587" s="2">
        <v>46058</v>
      </c>
      <c r="I587" s="2">
        <f>WORKDAY.INTL(F587,IF(OR(C587="MELHORIA PEQUENA",C587="MELHORIA MÉDIA"),3,1),1,ListaFeriados)</f>
        <v>46057</v>
      </c>
      <c r="J587" s="2">
        <f>WORKDAY.INTL(I587,IF(C587="MELHORIA MÉDIA",20,IF(OR(C587="MELHORIA PEQUENA",C587="BUG NÃO IMPEDITIVO"),5,2)),1,$X:$X)</f>
        <v>46064</v>
      </c>
      <c r="K587" t="str">
        <f>IF(H587&gt;J587,"ATRASO","NO PRAZO")</f>
        <v>NO PRAZO</v>
      </c>
    </row>
    <row r="588" spans="1:11">
      <c r="A588" s="1">
        <v>22239</v>
      </c>
      <c r="B588" t="s">
        <v>6</v>
      </c>
      <c r="C588" t="s">
        <v>16</v>
      </c>
      <c r="D588" s="1">
        <v>645</v>
      </c>
      <c r="E588" s="1">
        <v>2026</v>
      </c>
      <c r="F588" s="2">
        <v>46136</v>
      </c>
      <c r="G588" s="2">
        <v>46139</v>
      </c>
      <c r="H588" s="2">
        <v>46139</v>
      </c>
      <c r="I588" s="2">
        <f>WORKDAY.INTL(F588,IF(OR(C588="MELHORIA PEQUENA",C588="MELHORIA MÉDIA"),3,1),1,ListaFeriados)</f>
        <v>46139</v>
      </c>
      <c r="J588" s="2">
        <f>WORKDAY.INTL(I588,IF(C588="MELHORIA MÉDIA",20,IF(OR(C588="MELHORIA PEQUENA",C588="BUG NÃO IMPEDITIVO"),5,2)),1,$X:$X)</f>
        <v>46147</v>
      </c>
      <c r="K588" t="str">
        <f>IF(H588&gt;J588,"ATRASO","NO PRAZO")</f>
        <v>NO PRAZO</v>
      </c>
    </row>
    <row r="589" spans="1:11">
      <c r="A589" s="1">
        <v>21581</v>
      </c>
      <c r="B589" t="s">
        <v>11</v>
      </c>
      <c r="C589" t="s">
        <v>16</v>
      </c>
      <c r="D589" s="1">
        <v>2493</v>
      </c>
      <c r="E589" s="1">
        <v>2025</v>
      </c>
      <c r="F589" s="2">
        <v>46017</v>
      </c>
      <c r="G589" s="2">
        <v>46020</v>
      </c>
      <c r="H589" s="2">
        <v>46021</v>
      </c>
      <c r="I589" s="2">
        <f>WORKDAY.INTL(F589,IF(OR(C589="MELHORIA PEQUENA",C589="MELHORIA MÉDIA"),3,1),1,ListaFeriados)</f>
        <v>46020</v>
      </c>
      <c r="J589" s="2">
        <f>WORKDAY.INTL(I589,IF(C589="MELHORIA MÉDIA",20,IF(OR(C589="MELHORIA PEQUENA",C589="BUG NÃO IMPEDITIVO"),5,2)),1,$X:$X)</f>
        <v>46028</v>
      </c>
      <c r="K589" t="str">
        <f>IF(H589&gt;J589,"ATRASO","NO PRAZO")</f>
        <v>NO PRAZO</v>
      </c>
    </row>
    <row r="590" spans="1:11">
      <c r="A590" s="1">
        <v>21823</v>
      </c>
      <c r="B590" t="s">
        <v>6</v>
      </c>
      <c r="C590" t="s">
        <v>16</v>
      </c>
      <c r="D590" s="1">
        <v>229</v>
      </c>
      <c r="E590" s="1">
        <v>2026</v>
      </c>
      <c r="F590" s="2">
        <v>46066</v>
      </c>
      <c r="G590" s="2">
        <v>46078</v>
      </c>
      <c r="H590" s="2">
        <v>46078</v>
      </c>
      <c r="I590" s="2">
        <f>WORKDAY.INTL(F590,IF(OR(C590="MELHORIA PEQUENA",C590="MELHORIA MÉDIA"),3,1),1,ListaFeriados)</f>
        <v>46071</v>
      </c>
      <c r="J590" s="2">
        <f>WORKDAY.INTL(I590,IF(C590="MELHORIA MÉDIA",20,IF(OR(C590="MELHORIA PEQUENA",C590="BUG NÃO IMPEDITIVO"),5,2)),1,$X:$X)</f>
        <v>46078</v>
      </c>
      <c r="K590" t="str">
        <f>IF(H590&gt;J590,"ATRASO","NO PRAZO")</f>
        <v>NO PRAZO</v>
      </c>
    </row>
    <row r="591" spans="1:11">
      <c r="A591" s="1">
        <v>21736</v>
      </c>
      <c r="B591" t="s">
        <v>8</v>
      </c>
      <c r="C591" t="s">
        <v>16</v>
      </c>
      <c r="D591" s="1">
        <v>142</v>
      </c>
      <c r="E591" s="1">
        <v>2026</v>
      </c>
      <c r="F591" s="2">
        <v>46051</v>
      </c>
      <c r="G591" s="2">
        <v>46076</v>
      </c>
      <c r="H591" s="2">
        <v>46085</v>
      </c>
      <c r="I591" s="2">
        <f>WORKDAY.INTL(F591,IF(OR(C591="MELHORIA PEQUENA",C591="MELHORIA MÉDIA"),3,1),1,ListaFeriados)</f>
        <v>46052</v>
      </c>
      <c r="J591" s="2">
        <f>WORKDAY.INTL(I591,IF(C591="MELHORIA MÉDIA",20,IF(OR(C591="MELHORIA PEQUENA",C591="BUG NÃO IMPEDITIVO"),5,2)),1,$X:$X)</f>
        <v>46059</v>
      </c>
      <c r="K591" t="str">
        <f>IF(H591&gt;J591,"ATRASO","NO PRAZO")</f>
        <v>ATRASO</v>
      </c>
    </row>
    <row r="592" spans="1:11">
      <c r="A592" s="1">
        <v>21445</v>
      </c>
      <c r="B592" t="s">
        <v>12</v>
      </c>
      <c r="C592" t="s">
        <v>16</v>
      </c>
      <c r="D592" s="1">
        <v>2357</v>
      </c>
      <c r="E592" s="1">
        <v>2025</v>
      </c>
      <c r="F592" s="2">
        <v>45993</v>
      </c>
      <c r="G592" s="2">
        <v>45995</v>
      </c>
      <c r="H592" s="2">
        <v>46000</v>
      </c>
      <c r="I592" s="2">
        <f>WORKDAY.INTL(F592,IF(OR(C592="MELHORIA PEQUENA",C592="MELHORIA MÉDIA"),3,1),1,ListaFeriados)</f>
        <v>45994</v>
      </c>
      <c r="J592" s="2">
        <f>WORKDAY.INTL(I592,IF(C592="MELHORIA MÉDIA",20,IF(OR(C592="MELHORIA PEQUENA",C592="BUG NÃO IMPEDITIVO"),5,2)),1,$X:$X)</f>
        <v>46001</v>
      </c>
      <c r="K592" t="str">
        <f>IF(H592&gt;J592,"ATRASO","NO PRAZO")</f>
        <v>NO PRAZO</v>
      </c>
    </row>
    <row r="593" spans="1:11">
      <c r="A593" s="1">
        <v>21910</v>
      </c>
      <c r="B593" t="s">
        <v>9</v>
      </c>
      <c r="C593" t="s">
        <v>16</v>
      </c>
      <c r="D593" s="1">
        <v>316</v>
      </c>
      <c r="E593" s="1">
        <v>2026</v>
      </c>
      <c r="F593" s="2">
        <v>46084</v>
      </c>
      <c r="G593" s="2">
        <v>46091</v>
      </c>
      <c r="H593" s="2">
        <v>46091</v>
      </c>
      <c r="I593" s="2">
        <f>WORKDAY.INTL(F593,IF(OR(C593="MELHORIA PEQUENA",C593="MELHORIA MÉDIA"),3,1),1,ListaFeriados)</f>
        <v>46085</v>
      </c>
      <c r="J593" s="2">
        <f>WORKDAY.INTL(I593,IF(C593="MELHORIA MÉDIA",20,IF(OR(C593="MELHORIA PEQUENA",C593="BUG NÃO IMPEDITIVO"),5,2)),1,$X:$X)</f>
        <v>46092</v>
      </c>
      <c r="K593" t="str">
        <f>IF(H593&gt;J593,"ATRASO","NO PRAZO")</f>
        <v>NO PRAZO</v>
      </c>
    </row>
    <row r="594" spans="1:11">
      <c r="A594" s="1">
        <v>21384</v>
      </c>
      <c r="B594" t="s">
        <v>13</v>
      </c>
      <c r="C594" t="s">
        <v>16</v>
      </c>
      <c r="D594" s="1">
        <v>2296</v>
      </c>
      <c r="E594" s="1">
        <v>2025</v>
      </c>
      <c r="F594" s="2">
        <v>45982</v>
      </c>
      <c r="G594" s="2">
        <v>45988</v>
      </c>
      <c r="H594" s="2">
        <v>45989</v>
      </c>
      <c r="I594" s="2">
        <f>WORKDAY.INTL(F594,IF(OR(C594="MELHORIA PEQUENA",C594="MELHORIA MÉDIA"),3,1),1,ListaFeriados)</f>
        <v>45985</v>
      </c>
      <c r="J594" s="2">
        <f>WORKDAY.INTL(I594,IF(C594="MELHORIA MÉDIA",20,IF(OR(C594="MELHORIA PEQUENA",C594="BUG NÃO IMPEDITIVO"),5,2)),1,$X:$X)</f>
        <v>45992</v>
      </c>
      <c r="K594" t="str">
        <f>IF(H594&gt;J594,"ATRASO","NO PRAZO")</f>
        <v>NO PRAZO</v>
      </c>
    </row>
    <row r="595" spans="1:11">
      <c r="A595" s="1">
        <v>21438</v>
      </c>
      <c r="B595" t="s">
        <v>9</v>
      </c>
      <c r="C595" t="s">
        <v>16</v>
      </c>
      <c r="D595" s="1">
        <v>2350</v>
      </c>
      <c r="E595" s="1">
        <v>2025</v>
      </c>
      <c r="F595" s="2">
        <v>45992</v>
      </c>
      <c r="G595" s="2">
        <v>45994</v>
      </c>
      <c r="H595" s="2">
        <v>45999</v>
      </c>
      <c r="I595" s="2">
        <f>WORKDAY.INTL(F595,IF(OR(C595="MELHORIA PEQUENA",C595="MELHORIA MÉDIA"),3,1),1,ListaFeriados)</f>
        <v>45993</v>
      </c>
      <c r="J595" s="2">
        <f>WORKDAY.INTL(I595,IF(C595="MELHORIA MÉDIA",20,IF(OR(C595="MELHORIA PEQUENA",C595="BUG NÃO IMPEDITIVO"),5,2)),1,$X:$X)</f>
        <v>46000</v>
      </c>
      <c r="K595" t="str">
        <f>IF(H595&gt;J595,"ATRASO","NO PRAZO")</f>
        <v>NO PRAZO</v>
      </c>
    </row>
    <row r="596" spans="1:11">
      <c r="A596" s="1">
        <v>21341</v>
      </c>
      <c r="B596" t="s">
        <v>8</v>
      </c>
      <c r="C596" t="s">
        <v>16</v>
      </c>
      <c r="D596" s="1">
        <v>2253</v>
      </c>
      <c r="E596" s="1">
        <v>2025</v>
      </c>
      <c r="F596" s="2">
        <v>45974</v>
      </c>
      <c r="G596" s="2">
        <v>45979</v>
      </c>
      <c r="H596" s="2">
        <v>45982</v>
      </c>
      <c r="I596" s="2">
        <f>WORKDAY.INTL(F596,IF(OR(C596="MELHORIA PEQUENA",C596="MELHORIA MÉDIA"),3,1),1,ListaFeriados)</f>
        <v>45975</v>
      </c>
      <c r="J596" s="2">
        <f>WORKDAY.INTL(I596,IF(C596="MELHORIA MÉDIA",20,IF(OR(C596="MELHORIA PEQUENA",C596="BUG NÃO IMPEDITIVO"),5,2)),1,$X:$X)</f>
        <v>45985</v>
      </c>
      <c r="K596" t="str">
        <f>IF(H596&gt;J596,"ATRASO","NO PRAZO")</f>
        <v>NO PRAZO</v>
      </c>
    </row>
    <row r="597" spans="1:11">
      <c r="A597" s="1">
        <v>21500</v>
      </c>
      <c r="B597" t="s">
        <v>12</v>
      </c>
      <c r="C597" t="s">
        <v>16</v>
      </c>
      <c r="D597" s="1">
        <v>2412</v>
      </c>
      <c r="E597" s="1">
        <v>2025</v>
      </c>
      <c r="F597" s="2">
        <v>46001</v>
      </c>
      <c r="G597" s="2">
        <v>46006</v>
      </c>
      <c r="H597" s="2">
        <v>46006</v>
      </c>
      <c r="I597" s="2">
        <f>WORKDAY.INTL(F597,IF(OR(C597="MELHORIA PEQUENA",C597="MELHORIA MÉDIA"),3,1),1,ListaFeriados)</f>
        <v>46002</v>
      </c>
      <c r="J597" s="2">
        <f>WORKDAY.INTL(I597,IF(C597="MELHORIA MÉDIA",20,IF(OR(C597="MELHORIA PEQUENA",C597="BUG NÃO IMPEDITIVO"),5,2)),1,$X:$X)</f>
        <v>46009</v>
      </c>
      <c r="K597" t="str">
        <f>IF(H597&gt;J597,"ATRASO","NO PRAZO")</f>
        <v>NO PRAZO</v>
      </c>
    </row>
    <row r="598" spans="1:11">
      <c r="A598" s="1">
        <v>21439</v>
      </c>
      <c r="B598" t="s">
        <v>9</v>
      </c>
      <c r="C598" t="s">
        <v>16</v>
      </c>
      <c r="D598" s="1">
        <v>2351</v>
      </c>
      <c r="E598" s="1">
        <v>2025</v>
      </c>
      <c r="F598" s="2">
        <v>45992</v>
      </c>
      <c r="G598" s="2">
        <v>45995</v>
      </c>
      <c r="H598" s="2">
        <v>45999</v>
      </c>
      <c r="I598" s="2">
        <f>WORKDAY.INTL(F598,IF(OR(C598="MELHORIA PEQUENA",C598="MELHORIA MÉDIA"),3,1),1,ListaFeriados)</f>
        <v>45993</v>
      </c>
      <c r="J598" s="2">
        <f>WORKDAY.INTL(I598,IF(C598="MELHORIA MÉDIA",20,IF(OR(C598="MELHORIA PEQUENA",C598="BUG NÃO IMPEDITIVO"),5,2)),1,$X:$X)</f>
        <v>46000</v>
      </c>
      <c r="K598" t="str">
        <f>IF(H598&gt;J598,"ATRASO","NO PRAZO")</f>
        <v>NO PRAZO</v>
      </c>
    </row>
    <row r="599" spans="1:11">
      <c r="A599" s="1">
        <v>21183</v>
      </c>
      <c r="B599" t="s">
        <v>8</v>
      </c>
      <c r="C599" t="s">
        <v>16</v>
      </c>
      <c r="D599" s="1">
        <v>2095</v>
      </c>
      <c r="E599" s="1">
        <v>2025</v>
      </c>
      <c r="F599" s="2">
        <v>45946</v>
      </c>
      <c r="G599" s="2">
        <v>45947</v>
      </c>
      <c r="H599" s="2">
        <v>45954</v>
      </c>
      <c r="I599" s="2">
        <f>WORKDAY.INTL(F599,IF(OR(C599="MELHORIA PEQUENA",C599="MELHORIA MÉDIA"),3,1),1,ListaFeriados)</f>
        <v>45947</v>
      </c>
      <c r="J599" s="2">
        <f>WORKDAY.INTL(I599,IF(C599="MELHORIA MÉDIA",20,IF(OR(C599="MELHORIA PEQUENA",C599="BUG NÃO IMPEDITIVO"),5,2)),1,$X:$X)</f>
        <v>45954</v>
      </c>
      <c r="K599" t="str">
        <f>IF(H599&gt;J599,"ATRASO","NO PRAZO")</f>
        <v>NO PRAZO</v>
      </c>
    </row>
    <row r="600" spans="1:11">
      <c r="A600" s="1">
        <v>22108</v>
      </c>
      <c r="B600" t="s">
        <v>8</v>
      </c>
      <c r="C600" t="s">
        <v>16</v>
      </c>
      <c r="D600" s="1">
        <v>514</v>
      </c>
      <c r="E600" s="1">
        <v>2026</v>
      </c>
      <c r="F600" s="2">
        <v>46113</v>
      </c>
      <c r="G600" s="2">
        <v>46114</v>
      </c>
      <c r="H600" s="2">
        <v>46120</v>
      </c>
      <c r="I600" s="2">
        <f>WORKDAY.INTL(F600,IF(OR(C600="MELHORIA PEQUENA",C600="MELHORIA MÉDIA"),3,1),1,ListaFeriados)</f>
        <v>46114</v>
      </c>
      <c r="J600" s="2">
        <f>WORKDAY.INTL(I600,IF(C600="MELHORIA MÉDIA",20,IF(OR(C600="MELHORIA PEQUENA",C600="BUG NÃO IMPEDITIVO"),5,2)),1,$X:$X)</f>
        <v>46122</v>
      </c>
      <c r="K600" t="str">
        <f>IF(H600&gt;J600,"ATRASO","NO PRAZO")</f>
        <v>NO PRAZO</v>
      </c>
    </row>
    <row r="601" spans="1:11">
      <c r="A601" s="1">
        <v>22178</v>
      </c>
      <c r="B601" t="s">
        <v>11</v>
      </c>
      <c r="C601" t="s">
        <v>16</v>
      </c>
      <c r="D601" s="1">
        <v>584</v>
      </c>
      <c r="E601" s="1">
        <v>2026</v>
      </c>
      <c r="F601" s="2">
        <v>46126</v>
      </c>
      <c r="G601" s="2">
        <v>46129</v>
      </c>
      <c r="H601" s="2">
        <v>46136</v>
      </c>
      <c r="I601" s="2">
        <f>WORKDAY.INTL(F601,IF(OR(C601="MELHORIA PEQUENA",C601="MELHORIA MÉDIA"),3,1),1,ListaFeriados)</f>
        <v>46127</v>
      </c>
      <c r="J601" s="2">
        <f>WORKDAY.INTL(I601,IF(C601="MELHORIA MÉDIA",20,IF(OR(C601="MELHORIA PEQUENA",C601="BUG NÃO IMPEDITIVO"),5,2)),1,$X:$X)</f>
        <v>46136</v>
      </c>
      <c r="K601" t="str">
        <f>IF(H601&gt;J601,"ATRASO","NO PRAZO")</f>
        <v>NO PRAZO</v>
      </c>
    </row>
    <row r="602" spans="1:11">
      <c r="A602" s="1">
        <v>22233</v>
      </c>
      <c r="B602" t="s">
        <v>8</v>
      </c>
      <c r="C602" t="s">
        <v>16</v>
      </c>
      <c r="D602" s="1">
        <v>639</v>
      </c>
      <c r="E602" s="1">
        <v>2026</v>
      </c>
      <c r="F602" s="2">
        <v>46134</v>
      </c>
      <c r="G602" s="2">
        <v>46139</v>
      </c>
      <c r="H602" s="2">
        <v>46140</v>
      </c>
      <c r="I602" s="2">
        <f>WORKDAY.INTL(F602,IF(OR(C602="MELHORIA PEQUENA",C602="MELHORIA MÉDIA"),3,1),1,ListaFeriados)</f>
        <v>46136</v>
      </c>
      <c r="J602" s="2">
        <f>WORKDAY.INTL(I602,IF(C602="MELHORIA MÉDIA",20,IF(OR(C602="MELHORIA PEQUENA",C602="BUG NÃO IMPEDITIVO"),5,2)),1,$X:$X)</f>
        <v>46146</v>
      </c>
      <c r="K602" t="str">
        <f>IF(H602&gt;J602,"ATRASO","NO PRAZO")</f>
        <v>NO PRAZO</v>
      </c>
    </row>
    <row r="603" spans="1:11">
      <c r="A603" s="1">
        <v>21363</v>
      </c>
      <c r="B603" t="s">
        <v>9</v>
      </c>
      <c r="C603" t="s">
        <v>16</v>
      </c>
      <c r="D603" s="1">
        <v>2275</v>
      </c>
      <c r="E603" s="1">
        <v>2025</v>
      </c>
      <c r="F603" s="2">
        <v>45978</v>
      </c>
      <c r="G603" s="2">
        <v>45982</v>
      </c>
      <c r="H603" s="2">
        <v>45986</v>
      </c>
      <c r="I603" s="2">
        <f>WORKDAY.INTL(F603,IF(OR(C603="MELHORIA PEQUENA",C603="MELHORIA MÉDIA"),3,1),1,ListaFeriados)</f>
        <v>45979</v>
      </c>
      <c r="J603" s="2">
        <f>WORKDAY.INTL(I603,IF(C603="MELHORIA MÉDIA",20,IF(OR(C603="MELHORIA PEQUENA",C603="BUG NÃO IMPEDITIVO"),5,2)),1,$X:$X)</f>
        <v>45987</v>
      </c>
      <c r="K603" t="str">
        <f>IF(H603&gt;J603,"ATRASO","NO PRAZO")</f>
        <v>NO PRAZO</v>
      </c>
    </row>
    <row r="604" spans="1:11">
      <c r="A604" s="1">
        <v>22130</v>
      </c>
      <c r="B604" t="s">
        <v>6</v>
      </c>
      <c r="C604" t="s">
        <v>16</v>
      </c>
      <c r="D604" s="1">
        <v>536</v>
      </c>
      <c r="E604" s="1">
        <v>2026</v>
      </c>
      <c r="F604" s="2">
        <v>46118</v>
      </c>
      <c r="G604" s="2">
        <v>46122</v>
      </c>
      <c r="H604" s="2">
        <v>46125</v>
      </c>
      <c r="I604" s="2">
        <f>WORKDAY.INTL(F604,IF(OR(C604="MELHORIA PEQUENA",C604="MELHORIA MÉDIA"),3,1),1,ListaFeriados)</f>
        <v>46119</v>
      </c>
      <c r="J604" s="2">
        <f>WORKDAY.INTL(I604,IF(C604="MELHORIA MÉDIA",20,IF(OR(C604="MELHORIA PEQUENA",C604="BUG NÃO IMPEDITIVO"),5,2)),1,$X:$X)</f>
        <v>46126</v>
      </c>
      <c r="K604" t="str">
        <f>IF(H604&gt;J604,"ATRASO","NO PRAZO")</f>
        <v>NO PRAZO</v>
      </c>
    </row>
    <row r="605" spans="1:11">
      <c r="A605" s="1">
        <v>21772</v>
      </c>
      <c r="B605" t="s">
        <v>12</v>
      </c>
      <c r="C605" t="s">
        <v>16</v>
      </c>
      <c r="D605" s="1">
        <v>178</v>
      </c>
      <c r="E605" s="1">
        <v>2026</v>
      </c>
      <c r="F605" s="2">
        <v>46057</v>
      </c>
      <c r="G605" s="2">
        <v>46062</v>
      </c>
      <c r="H605" s="2">
        <v>46062</v>
      </c>
      <c r="I605" s="2">
        <f>WORKDAY.INTL(F605,IF(OR(C605="MELHORIA PEQUENA",C605="MELHORIA MÉDIA"),3,1),1,ListaFeriados)</f>
        <v>46058</v>
      </c>
      <c r="J605" s="2">
        <f>WORKDAY.INTL(I605,IF(C605="MELHORIA MÉDIA",20,IF(OR(C605="MELHORIA PEQUENA",C605="BUG NÃO IMPEDITIVO"),5,2)),1,$X:$X)</f>
        <v>46065</v>
      </c>
      <c r="K605" t="str">
        <f>IF(H605&gt;J605,"ATRASO","NO PRAZO")</f>
        <v>NO PRAZO</v>
      </c>
    </row>
    <row r="606" spans="1:11">
      <c r="A606" s="1">
        <v>22170</v>
      </c>
      <c r="B606" t="s">
        <v>9</v>
      </c>
      <c r="C606" t="s">
        <v>16</v>
      </c>
      <c r="D606" s="1">
        <v>576</v>
      </c>
      <c r="E606" s="1">
        <v>2026</v>
      </c>
      <c r="F606" s="2">
        <v>46125</v>
      </c>
      <c r="G606" s="2">
        <v>46128</v>
      </c>
      <c r="H606" s="2">
        <v>46134</v>
      </c>
      <c r="I606" s="2">
        <f>WORKDAY.INTL(F606,IF(OR(C606="MELHORIA PEQUENA",C606="MELHORIA MÉDIA"),3,1),1,ListaFeriados)</f>
        <v>46126</v>
      </c>
      <c r="J606" s="2">
        <f>WORKDAY.INTL(I606,IF(C606="MELHORIA MÉDIA",20,IF(OR(C606="MELHORIA PEQUENA",C606="BUG NÃO IMPEDITIVO"),5,2)),1,$X:$X)</f>
        <v>46134</v>
      </c>
      <c r="K606" t="str">
        <f>IF(H606&gt;J606,"ATRASO","NO PRAZO")</f>
        <v>NO PRAZO</v>
      </c>
    </row>
    <row r="607" spans="1:11">
      <c r="A607" s="1">
        <v>22302</v>
      </c>
      <c r="B607" t="s">
        <v>10</v>
      </c>
      <c r="C607" t="s">
        <v>16</v>
      </c>
      <c r="D607" s="1">
        <v>708</v>
      </c>
      <c r="E607" s="1">
        <v>2026</v>
      </c>
      <c r="F607" s="2">
        <v>46141</v>
      </c>
      <c r="G607" s="2">
        <v>46142</v>
      </c>
      <c r="H607" s="2">
        <v>46147</v>
      </c>
      <c r="I607" s="2">
        <f>WORKDAY.INTL(F607,IF(OR(C607="MELHORIA PEQUENA",C607="MELHORIA MÉDIA"),3,1),1,ListaFeriados)</f>
        <v>46142</v>
      </c>
      <c r="J607" s="2">
        <f>WORKDAY.INTL(I607,IF(C607="MELHORIA MÉDIA",20,IF(OR(C607="MELHORIA PEQUENA",C607="BUG NÃO IMPEDITIVO"),5,2)),1,$X:$X)</f>
        <v>46150</v>
      </c>
      <c r="K607" t="str">
        <f>IF(H607&gt;J607,"ATRASO","NO PRAZO")</f>
        <v>NO PRAZO</v>
      </c>
    </row>
    <row r="608" spans="1:11">
      <c r="A608" s="1">
        <v>21513</v>
      </c>
      <c r="B608" t="s">
        <v>12</v>
      </c>
      <c r="C608" t="s">
        <v>16</v>
      </c>
      <c r="D608" s="1">
        <v>2425</v>
      </c>
      <c r="E608" s="1">
        <v>2025</v>
      </c>
      <c r="F608" s="2">
        <v>46002</v>
      </c>
      <c r="G608" s="2">
        <v>46006</v>
      </c>
      <c r="H608" s="2">
        <v>46006</v>
      </c>
      <c r="I608" s="2">
        <f>WORKDAY.INTL(F608,IF(OR(C608="MELHORIA PEQUENA",C608="MELHORIA MÉDIA"),3,1),1,ListaFeriados)</f>
        <v>46003</v>
      </c>
      <c r="J608" s="2">
        <f>WORKDAY.INTL(I608,IF(C608="MELHORIA MÉDIA",20,IF(OR(C608="MELHORIA PEQUENA",C608="BUG NÃO IMPEDITIVO"),5,2)),1,$X:$X)</f>
        <v>46010</v>
      </c>
      <c r="K608" t="str">
        <f>IF(H608&gt;J608,"ATRASO","NO PRAZO")</f>
        <v>NO PRAZO</v>
      </c>
    </row>
    <row r="609" spans="1:11">
      <c r="A609" s="1">
        <v>21223</v>
      </c>
      <c r="B609" t="s">
        <v>8</v>
      </c>
      <c r="C609" t="s">
        <v>16</v>
      </c>
      <c r="D609" s="1">
        <v>2135</v>
      </c>
      <c r="E609" s="1">
        <v>2025</v>
      </c>
      <c r="F609" s="2">
        <v>45958</v>
      </c>
      <c r="G609" s="2">
        <v>45959</v>
      </c>
      <c r="H609" s="2">
        <v>45965</v>
      </c>
      <c r="I609" s="2">
        <f>WORKDAY.INTL(F609,IF(OR(C609="MELHORIA PEQUENA",C609="MELHORIA MÉDIA"),3,1),1,ListaFeriados)</f>
        <v>45959</v>
      </c>
      <c r="J609" s="2">
        <f>WORKDAY.INTL(I609,IF(C609="MELHORIA MÉDIA",20,IF(OR(C609="MELHORIA PEQUENA",C609="BUG NÃO IMPEDITIVO"),5,2)),1,$X:$X)</f>
        <v>45966</v>
      </c>
      <c r="K609" t="str">
        <f>IF(H609&gt;J609,"ATRASO","NO PRAZO")</f>
        <v>NO PRAZO</v>
      </c>
    </row>
    <row r="610" spans="1:11">
      <c r="A610" s="1">
        <v>21224</v>
      </c>
      <c r="B610" t="s">
        <v>12</v>
      </c>
      <c r="C610" t="s">
        <v>16</v>
      </c>
      <c r="D610" s="1">
        <v>2136</v>
      </c>
      <c r="E610" s="1">
        <v>2025</v>
      </c>
      <c r="F610" s="2">
        <v>45958</v>
      </c>
      <c r="G610" s="2">
        <v>45959</v>
      </c>
      <c r="H610" s="2">
        <v>45965</v>
      </c>
      <c r="I610" s="2">
        <f>WORKDAY.INTL(F610,IF(OR(C610="MELHORIA PEQUENA",C610="MELHORIA MÉDIA"),3,1),1,ListaFeriados)</f>
        <v>45959</v>
      </c>
      <c r="J610" s="2">
        <f>WORKDAY.INTL(I610,IF(C610="MELHORIA MÉDIA",20,IF(OR(C610="MELHORIA PEQUENA",C610="BUG NÃO IMPEDITIVO"),5,2)),1,$X:$X)</f>
        <v>45966</v>
      </c>
      <c r="K610" t="str">
        <f>IF(H610&gt;J610,"ATRASO","NO PRAZO")</f>
        <v>NO PRAZO</v>
      </c>
    </row>
    <row r="611" spans="1:11">
      <c r="A611" s="1">
        <v>21393</v>
      </c>
      <c r="B611" t="s">
        <v>9</v>
      </c>
      <c r="C611" t="s">
        <v>16</v>
      </c>
      <c r="D611" s="1">
        <v>2305</v>
      </c>
      <c r="E611" s="1">
        <v>2025</v>
      </c>
      <c r="F611" s="2">
        <v>45985</v>
      </c>
      <c r="G611" s="2">
        <v>45986</v>
      </c>
      <c r="H611" s="2">
        <v>45989</v>
      </c>
      <c r="I611" s="2">
        <f>WORKDAY.INTL(F611,IF(OR(C611="MELHORIA PEQUENA",C611="MELHORIA MÉDIA"),3,1),1,ListaFeriados)</f>
        <v>45986</v>
      </c>
      <c r="J611" s="2">
        <f>WORKDAY.INTL(I611,IF(C611="MELHORIA MÉDIA",20,IF(OR(C611="MELHORIA PEQUENA",C611="BUG NÃO IMPEDITIVO"),5,2)),1,$X:$X)</f>
        <v>45993</v>
      </c>
      <c r="K611" t="str">
        <f>IF(H611&gt;J611,"ATRASO","NO PRAZO")</f>
        <v>NO PRAZO</v>
      </c>
    </row>
    <row r="612" spans="1:11">
      <c r="A612" s="1">
        <v>21394</v>
      </c>
      <c r="B612" t="s">
        <v>9</v>
      </c>
      <c r="C612" t="s">
        <v>16</v>
      </c>
      <c r="D612" s="1">
        <v>2306</v>
      </c>
      <c r="E612" s="1">
        <v>2025</v>
      </c>
      <c r="F612" s="2">
        <v>45985</v>
      </c>
      <c r="G612" s="2">
        <v>45986</v>
      </c>
      <c r="H612" s="2">
        <v>45989</v>
      </c>
      <c r="I612" s="2">
        <f>WORKDAY.INTL(F612,IF(OR(C612="MELHORIA PEQUENA",C612="MELHORIA MÉDIA"),3,1),1,ListaFeriados)</f>
        <v>45986</v>
      </c>
      <c r="J612" s="2">
        <f>WORKDAY.INTL(I612,IF(C612="MELHORIA MÉDIA",20,IF(OR(C612="MELHORIA PEQUENA",C612="BUG NÃO IMPEDITIVO"),5,2)),1,$X:$X)</f>
        <v>45993</v>
      </c>
      <c r="K612" t="str">
        <f>IF(H612&gt;J612,"ATRASO","NO PRAZO")</f>
        <v>NO PRAZO</v>
      </c>
    </row>
    <row r="613" spans="1:11">
      <c r="A613" s="1">
        <v>21646</v>
      </c>
      <c r="B613" t="s">
        <v>9</v>
      </c>
      <c r="C613" t="s">
        <v>16</v>
      </c>
      <c r="D613" s="1">
        <v>52</v>
      </c>
      <c r="E613" s="1">
        <v>2026</v>
      </c>
      <c r="F613" s="2">
        <v>46034</v>
      </c>
      <c r="G613" s="2">
        <v>46036</v>
      </c>
      <c r="H613" s="2">
        <v>46038</v>
      </c>
      <c r="I613" s="2">
        <f>WORKDAY.INTL(F613,IF(OR(C613="MELHORIA PEQUENA",C613="MELHORIA MÉDIA"),3,1),1,ListaFeriados)</f>
        <v>46035</v>
      </c>
      <c r="J613" s="2">
        <f>WORKDAY.INTL(I613,IF(C613="MELHORIA MÉDIA",20,IF(OR(C613="MELHORIA PEQUENA",C613="BUG NÃO IMPEDITIVO"),5,2)),1,$X:$X)</f>
        <v>46043</v>
      </c>
      <c r="K613" t="str">
        <f>IF(H613&gt;J613,"ATRASO","NO PRAZO")</f>
        <v>NO PRAZO</v>
      </c>
    </row>
    <row r="614" spans="1:11">
      <c r="A614" s="1">
        <v>21616</v>
      </c>
      <c r="B614" t="s">
        <v>9</v>
      </c>
      <c r="C614" t="s">
        <v>16</v>
      </c>
      <c r="D614" s="1">
        <v>22</v>
      </c>
      <c r="E614" s="1">
        <v>2026</v>
      </c>
      <c r="F614" s="2">
        <v>46028</v>
      </c>
      <c r="G614" s="2">
        <v>46030</v>
      </c>
      <c r="H614" s="2">
        <v>46031</v>
      </c>
      <c r="I614" s="2">
        <f>WORKDAY.INTL(F614,IF(OR(C614="MELHORIA PEQUENA",C614="MELHORIA MÉDIA"),3,1),1,ListaFeriados)</f>
        <v>46029</v>
      </c>
      <c r="J614" s="2">
        <f>WORKDAY.INTL(I614,IF(C614="MELHORIA MÉDIA",20,IF(OR(C614="MELHORIA PEQUENA",C614="BUG NÃO IMPEDITIVO"),5,2)),1,$X:$X)</f>
        <v>46036</v>
      </c>
      <c r="K614" t="str">
        <f>IF(H614&gt;J614,"ATRASO","NO PRAZO")</f>
        <v>NO PRAZO</v>
      </c>
    </row>
    <row r="615" spans="1:11">
      <c r="A615" s="1">
        <v>21624</v>
      </c>
      <c r="B615" t="s">
        <v>6</v>
      </c>
      <c r="C615" t="s">
        <v>16</v>
      </c>
      <c r="D615" s="1">
        <v>30</v>
      </c>
      <c r="E615" s="1">
        <v>2026</v>
      </c>
      <c r="F615" s="2">
        <v>46029</v>
      </c>
      <c r="G615" s="2">
        <v>46030</v>
      </c>
      <c r="H615" s="2">
        <v>46031</v>
      </c>
      <c r="I615" s="2">
        <f>WORKDAY.INTL(F615,IF(OR(C615="MELHORIA PEQUENA",C615="MELHORIA MÉDIA"),3,1),1,ListaFeriados)</f>
        <v>46030</v>
      </c>
      <c r="J615" s="2">
        <f>WORKDAY.INTL(I615,IF(C615="MELHORIA MÉDIA",20,IF(OR(C615="MELHORIA PEQUENA",C615="BUG NÃO IMPEDITIVO"),5,2)),1,$X:$X)</f>
        <v>46037</v>
      </c>
      <c r="K615" t="str">
        <f>IF(H615&gt;J615,"ATRASO","NO PRAZO")</f>
        <v>NO PRAZO</v>
      </c>
    </row>
    <row r="616" spans="1:11">
      <c r="A616" s="1">
        <v>22366</v>
      </c>
      <c r="B616" t="s">
        <v>12</v>
      </c>
      <c r="C616" t="s">
        <v>16</v>
      </c>
      <c r="D616" s="1">
        <v>772</v>
      </c>
      <c r="E616" s="1">
        <v>2026</v>
      </c>
      <c r="F616" s="2">
        <v>46153</v>
      </c>
      <c r="G616" s="2">
        <v>46154</v>
      </c>
      <c r="H616" s="2">
        <v>46155</v>
      </c>
      <c r="I616" s="2">
        <f>WORKDAY.INTL(F616,IF(OR(C616="MELHORIA PEQUENA",C616="MELHORIA MÉDIA"),3,1),1,ListaFeriados)</f>
        <v>46154</v>
      </c>
      <c r="J616" s="2">
        <f>WORKDAY.INTL(I616,IF(C616="MELHORIA MÉDIA",20,IF(OR(C616="MELHORIA PEQUENA",C616="BUG NÃO IMPEDITIVO"),5,2)),1,$X:$X)</f>
        <v>46161</v>
      </c>
      <c r="K616" t="str">
        <f>IF(H616&gt;J616,"ATRASO","NO PRAZO")</f>
        <v>NO PRAZO</v>
      </c>
    </row>
    <row r="617" spans="1:11">
      <c r="A617" s="1">
        <v>22298</v>
      </c>
      <c r="B617" t="s">
        <v>10</v>
      </c>
      <c r="C617" t="s">
        <v>16</v>
      </c>
      <c r="D617" s="1">
        <v>704</v>
      </c>
      <c r="E617" s="1">
        <v>2026</v>
      </c>
      <c r="F617" s="2">
        <v>46141</v>
      </c>
      <c r="G617" s="2">
        <v>46142</v>
      </c>
      <c r="H617" s="2">
        <v>46149</v>
      </c>
      <c r="I617" s="2">
        <f>WORKDAY.INTL(F617,IF(OR(C617="MELHORIA PEQUENA",C617="MELHORIA MÉDIA"),3,1),1,ListaFeriados)</f>
        <v>46142</v>
      </c>
      <c r="J617" s="2">
        <f>WORKDAY.INTL(I617,IF(C617="MELHORIA MÉDIA",20,IF(OR(C617="MELHORIA PEQUENA",C617="BUG NÃO IMPEDITIVO"),5,2)),1,$X:$X)</f>
        <v>46150</v>
      </c>
      <c r="K617" t="str">
        <f>IF(H617&gt;J617,"ATRASO","NO PRAZO")</f>
        <v>NO PRAZO</v>
      </c>
    </row>
    <row r="618" spans="1:11">
      <c r="A618" s="1">
        <v>22134</v>
      </c>
      <c r="B618" t="s">
        <v>8</v>
      </c>
      <c r="C618" t="s">
        <v>16</v>
      </c>
      <c r="D618" s="1">
        <v>540</v>
      </c>
      <c r="E618" s="1">
        <v>2026</v>
      </c>
      <c r="F618" s="2">
        <v>46119</v>
      </c>
      <c r="G618" s="2">
        <v>46122</v>
      </c>
      <c r="H618" s="2">
        <v>46126</v>
      </c>
      <c r="I618" s="2">
        <f>WORKDAY.INTL(F618,IF(OR(C618="MELHORIA PEQUENA",C618="MELHORIA MÉDIA"),3,1),1,ListaFeriados)</f>
        <v>46120</v>
      </c>
      <c r="J618" s="2">
        <f>WORKDAY.INTL(I618,IF(C618="MELHORIA MÉDIA",20,IF(OR(C618="MELHORIA PEQUENA",C618="BUG NÃO IMPEDITIVO"),5,2)),1,$X:$X)</f>
        <v>46127</v>
      </c>
      <c r="K618" t="str">
        <f>IF(H618&gt;J618,"ATRASO","NO PRAZO")</f>
        <v>NO PRAZO</v>
      </c>
    </row>
    <row r="619" spans="1:11">
      <c r="A619" s="1">
        <v>22138</v>
      </c>
      <c r="B619" t="s">
        <v>8</v>
      </c>
      <c r="C619" t="s">
        <v>16</v>
      </c>
      <c r="D619" s="1">
        <v>544</v>
      </c>
      <c r="E619" s="1">
        <v>2026</v>
      </c>
      <c r="F619" s="2">
        <v>46119</v>
      </c>
      <c r="G619" s="2">
        <v>46126</v>
      </c>
      <c r="H619" s="2">
        <v>46126</v>
      </c>
      <c r="I619" s="2">
        <f>WORKDAY.INTL(F619,IF(OR(C619="MELHORIA PEQUENA",C619="MELHORIA MÉDIA"),3,1),1,ListaFeriados)</f>
        <v>46120</v>
      </c>
      <c r="J619" s="2">
        <f>WORKDAY.INTL(I619,IF(C619="MELHORIA MÉDIA",20,IF(OR(C619="MELHORIA PEQUENA",C619="BUG NÃO IMPEDITIVO"),5,2)),1,$X:$X)</f>
        <v>46127</v>
      </c>
      <c r="K619" t="str">
        <f>IF(H619&gt;J619,"ATRASO","NO PRAZO")</f>
        <v>NO PRAZO</v>
      </c>
    </row>
    <row r="620" spans="1:11">
      <c r="A620" s="1">
        <v>20511</v>
      </c>
      <c r="B620" t="s">
        <v>12</v>
      </c>
      <c r="C620" t="s">
        <v>16</v>
      </c>
      <c r="D620" s="1">
        <v>1423</v>
      </c>
      <c r="E620" s="1">
        <v>2025</v>
      </c>
      <c r="F620" s="2">
        <v>45882</v>
      </c>
      <c r="G620" s="2">
        <v>45887</v>
      </c>
      <c r="H620" s="2">
        <v>45887</v>
      </c>
      <c r="I620" s="2">
        <f>WORKDAY.INTL(F620,IF(OR(C620="MELHORIA PEQUENA",C620="MELHORIA MÉDIA"),3,1),1,ListaFeriados)</f>
        <v>45883</v>
      </c>
      <c r="J620" s="2">
        <f>WORKDAY.INTL(I620,IF(C620="MELHORIA MÉDIA",20,IF(OR(C620="MELHORIA PEQUENA",C620="BUG NÃO IMPEDITIVO"),5,2)),1,$X:$X)</f>
        <v>45891</v>
      </c>
      <c r="K620" t="str">
        <f>IF(H620&gt;J620,"ATRASO","NO PRAZO")</f>
        <v>NO PRAZO</v>
      </c>
    </row>
    <row r="621" spans="1:11">
      <c r="A621" s="1">
        <v>20572</v>
      </c>
      <c r="B621" t="s">
        <v>11</v>
      </c>
      <c r="C621" t="s">
        <v>16</v>
      </c>
      <c r="D621" s="1">
        <v>1484</v>
      </c>
      <c r="E621" s="1">
        <v>2025</v>
      </c>
      <c r="F621" s="2">
        <v>45888</v>
      </c>
      <c r="G621" s="2">
        <v>45889</v>
      </c>
      <c r="H621" s="2">
        <v>45894</v>
      </c>
      <c r="I621" s="2">
        <f>WORKDAY.INTL(F621,IF(OR(C621="MELHORIA PEQUENA",C621="MELHORIA MÉDIA"),3,1),1,ListaFeriados)</f>
        <v>45889</v>
      </c>
      <c r="J621" s="2">
        <f>WORKDAY.INTL(I621,IF(C621="MELHORIA MÉDIA",20,IF(OR(C621="MELHORIA PEQUENA",C621="BUG NÃO IMPEDITIVO"),5,2)),1,$X:$X)</f>
        <v>45896</v>
      </c>
      <c r="K621" t="str">
        <f>IF(H621&gt;J621,"ATRASO","NO PRAZO")</f>
        <v>NO PRAZO</v>
      </c>
    </row>
    <row r="622" spans="1:11">
      <c r="A622" s="1">
        <v>19983</v>
      </c>
      <c r="B622" t="s">
        <v>6</v>
      </c>
      <c r="C622" t="s">
        <v>16</v>
      </c>
      <c r="D622" s="1">
        <v>895</v>
      </c>
      <c r="E622" s="1">
        <v>2025</v>
      </c>
      <c r="F622" s="2">
        <v>45803</v>
      </c>
      <c r="G622" s="2">
        <v>45804</v>
      </c>
      <c r="H622" s="2">
        <v>45810</v>
      </c>
      <c r="I622" s="2">
        <f>WORKDAY.INTL(F622,IF(OR(C622="MELHORIA PEQUENA",C622="MELHORIA MÉDIA"),3,1),1,ListaFeriados)</f>
        <v>45804</v>
      </c>
      <c r="J622" s="2">
        <f>WORKDAY.INTL(I622,IF(C622="MELHORIA MÉDIA",20,IF(OR(C622="MELHORIA PEQUENA",C622="BUG NÃO IMPEDITIVO"),5,2)),1,$X:$X)</f>
        <v>45811</v>
      </c>
      <c r="K622" t="str">
        <f>IF(H622&gt;J622,"ATRASO","NO PRAZO")</f>
        <v>NO PRAZO</v>
      </c>
    </row>
    <row r="623" spans="1:11">
      <c r="A623" s="1">
        <v>20555</v>
      </c>
      <c r="B623" t="s">
        <v>14</v>
      </c>
      <c r="C623" t="s">
        <v>16</v>
      </c>
      <c r="D623" s="1">
        <v>1467</v>
      </c>
      <c r="E623" s="1">
        <v>2025</v>
      </c>
      <c r="F623" s="2">
        <v>45888</v>
      </c>
      <c r="G623" s="2">
        <v>45894</v>
      </c>
      <c r="H623" s="2">
        <v>45895</v>
      </c>
      <c r="I623" s="2">
        <f>WORKDAY.INTL(F623,IF(OR(C623="MELHORIA PEQUENA",C623="MELHORIA MÉDIA"),3,1),1,ListaFeriados)</f>
        <v>45889</v>
      </c>
      <c r="J623" s="2">
        <f>WORKDAY.INTL(I623,IF(C623="MELHORIA MÉDIA",20,IF(OR(C623="MELHORIA PEQUENA",C623="BUG NÃO IMPEDITIVO"),5,2)),1,$X:$X)</f>
        <v>45896</v>
      </c>
      <c r="K623" t="str">
        <f>IF(H623&gt;J623,"ATRASO","NO PRAZO")</f>
        <v>NO PRAZO</v>
      </c>
    </row>
    <row r="624" spans="1:11">
      <c r="A624" s="1">
        <v>21059</v>
      </c>
      <c r="B624" t="s">
        <v>8</v>
      </c>
      <c r="C624" t="s">
        <v>16</v>
      </c>
      <c r="D624" s="1">
        <v>1971</v>
      </c>
      <c r="E624" s="1">
        <v>2025</v>
      </c>
      <c r="F624" s="2">
        <v>45930</v>
      </c>
      <c r="G624" s="2">
        <v>45933</v>
      </c>
      <c r="H624" s="2">
        <v>45933</v>
      </c>
      <c r="I624" s="2">
        <f>WORKDAY.INTL(F624,IF(OR(C624="MELHORIA PEQUENA",C624="MELHORIA MÉDIA"),3,1),1,ListaFeriados)</f>
        <v>45931</v>
      </c>
      <c r="J624" s="2">
        <f>WORKDAY.INTL(I624,IF(C624="MELHORIA MÉDIA",20,IF(OR(C624="MELHORIA PEQUENA",C624="BUG NÃO IMPEDITIVO"),5,2)),1,$X:$X)</f>
        <v>45938</v>
      </c>
      <c r="K624" t="str">
        <f>IF(H624&gt;J624,"ATRASO","NO PRAZO")</f>
        <v>NO PRAZO</v>
      </c>
    </row>
    <row r="625" spans="1:11">
      <c r="A625" s="1">
        <v>21104</v>
      </c>
      <c r="B625" t="s">
        <v>14</v>
      </c>
      <c r="C625" t="s">
        <v>16</v>
      </c>
      <c r="D625" s="1">
        <v>2016</v>
      </c>
      <c r="E625" s="1">
        <v>2025</v>
      </c>
      <c r="F625" s="2">
        <v>45936</v>
      </c>
      <c r="G625" s="2">
        <v>45939</v>
      </c>
      <c r="H625" s="2">
        <v>45939</v>
      </c>
      <c r="I625" s="2">
        <f>WORKDAY.INTL(F625,IF(OR(C625="MELHORIA PEQUENA",C625="MELHORIA MÉDIA"),3,1),1,ListaFeriados)</f>
        <v>45937</v>
      </c>
      <c r="J625" s="2">
        <f>WORKDAY.INTL(I625,IF(C625="MELHORIA MÉDIA",20,IF(OR(C625="MELHORIA PEQUENA",C625="BUG NÃO IMPEDITIVO"),5,2)),1,$X:$X)</f>
        <v>45944</v>
      </c>
      <c r="K625" t="str">
        <f>IF(H625&gt;J625,"ATRASO","NO PRAZO")</f>
        <v>NO PRAZO</v>
      </c>
    </row>
    <row r="626" spans="1:11">
      <c r="A626" s="1">
        <v>20965</v>
      </c>
      <c r="B626" t="s">
        <v>9</v>
      </c>
      <c r="C626" t="s">
        <v>16</v>
      </c>
      <c r="D626" s="1">
        <v>1877</v>
      </c>
      <c r="E626" s="1">
        <v>2025</v>
      </c>
      <c r="F626" s="2">
        <v>45916</v>
      </c>
      <c r="G626" s="2">
        <v>45923</v>
      </c>
      <c r="H626" s="2">
        <v>45923</v>
      </c>
      <c r="I626" s="2">
        <f>WORKDAY.INTL(F626,IF(OR(C626="MELHORIA PEQUENA",C626="MELHORIA MÉDIA"),3,1),1,ListaFeriados)</f>
        <v>45917</v>
      </c>
      <c r="J626" s="2">
        <f>WORKDAY.INTL(I626,IF(C626="MELHORIA MÉDIA",20,IF(OR(C626="MELHORIA PEQUENA",C626="BUG NÃO IMPEDITIVO"),5,2)),1,$X:$X)</f>
        <v>45924</v>
      </c>
      <c r="K626" t="str">
        <f>IF(H626&gt;J626,"ATRASO","NO PRAZO")</f>
        <v>NO PRAZO</v>
      </c>
    </row>
    <row r="627" spans="1:11">
      <c r="A627" s="1">
        <v>21113</v>
      </c>
      <c r="B627" t="s">
        <v>6</v>
      </c>
      <c r="C627" t="s">
        <v>16</v>
      </c>
      <c r="D627" s="1">
        <v>2025</v>
      </c>
      <c r="E627" s="1">
        <v>2025</v>
      </c>
      <c r="F627" s="2">
        <v>45937</v>
      </c>
      <c r="G627" s="2">
        <v>45938</v>
      </c>
      <c r="H627" s="2">
        <v>45940</v>
      </c>
      <c r="I627" s="2">
        <f>WORKDAY.INTL(F627,IF(OR(C627="MELHORIA PEQUENA",C627="MELHORIA MÉDIA"),3,1),1,ListaFeriados)</f>
        <v>45938</v>
      </c>
      <c r="J627" s="2">
        <f>WORKDAY.INTL(I627,IF(C627="MELHORIA MÉDIA",20,IF(OR(C627="MELHORIA PEQUENA",C627="BUG NÃO IMPEDITIVO"),5,2)),1,$X:$X)</f>
        <v>45945</v>
      </c>
      <c r="K627" t="str">
        <f>IF(H627&gt;J627,"ATRASO","NO PRAZO")</f>
        <v>NO PRAZO</v>
      </c>
    </row>
    <row r="628" spans="1:11">
      <c r="A628" s="1">
        <v>19903</v>
      </c>
      <c r="B628" t="s">
        <v>8</v>
      </c>
      <c r="C628" t="s">
        <v>16</v>
      </c>
      <c r="D628" s="1">
        <v>815</v>
      </c>
      <c r="E628" s="1">
        <v>2025</v>
      </c>
      <c r="F628" s="2">
        <v>45791</v>
      </c>
      <c r="G628" s="2">
        <v>45792</v>
      </c>
      <c r="H628" s="2">
        <v>45796</v>
      </c>
      <c r="I628" s="2">
        <f>WORKDAY.INTL(F628,IF(OR(C628="MELHORIA PEQUENA",C628="MELHORIA MÉDIA"),3,1),1,ListaFeriados)</f>
        <v>45792</v>
      </c>
      <c r="J628" s="2">
        <f>WORKDAY.INTL(I628,IF(C628="MELHORIA MÉDIA",20,IF(OR(C628="MELHORIA PEQUENA",C628="BUG NÃO IMPEDITIVO"),5,2)),1,$X:$X)</f>
        <v>45799</v>
      </c>
      <c r="K628" t="str">
        <f>IF(H628&gt;J628,"ATRASO","NO PRAZO")</f>
        <v>NO PRAZO</v>
      </c>
    </row>
    <row r="629" spans="1:11">
      <c r="A629" s="1">
        <v>20829</v>
      </c>
      <c r="B629" t="s">
        <v>12</v>
      </c>
      <c r="C629" t="s">
        <v>16</v>
      </c>
      <c r="D629" s="1">
        <v>1741</v>
      </c>
      <c r="E629" s="1">
        <v>2025</v>
      </c>
      <c r="F629" s="2">
        <v>45908</v>
      </c>
      <c r="G629" s="2">
        <v>45912</v>
      </c>
      <c r="H629" s="2">
        <v>45912</v>
      </c>
      <c r="I629" s="2">
        <f>WORKDAY.INTL(F629,IF(OR(C629="MELHORIA PEQUENA",C629="MELHORIA MÉDIA"),3,1),1,ListaFeriados)</f>
        <v>45909</v>
      </c>
      <c r="J629" s="2">
        <f>WORKDAY.INTL(I629,IF(C629="MELHORIA MÉDIA",20,IF(OR(C629="MELHORIA PEQUENA",C629="BUG NÃO IMPEDITIVO"),5,2)),1,$X:$X)</f>
        <v>45916</v>
      </c>
      <c r="K629" t="str">
        <f>IF(H629&gt;J629,"ATRASO","NO PRAZO")</f>
        <v>NO PRAZO</v>
      </c>
    </row>
    <row r="630" spans="1:11">
      <c r="A630" s="1">
        <v>21114</v>
      </c>
      <c r="B630" t="s">
        <v>6</v>
      </c>
      <c r="C630" t="s">
        <v>16</v>
      </c>
      <c r="D630" s="1">
        <v>2026</v>
      </c>
      <c r="E630" s="1">
        <v>2025</v>
      </c>
      <c r="F630" s="2">
        <v>45937</v>
      </c>
      <c r="G630" s="2">
        <v>45938</v>
      </c>
      <c r="H630" s="2">
        <v>45944</v>
      </c>
      <c r="I630" s="2">
        <f>WORKDAY.INTL(F630,IF(OR(C630="MELHORIA PEQUENA",C630="MELHORIA MÉDIA"),3,1),1,ListaFeriados)</f>
        <v>45938</v>
      </c>
      <c r="J630" s="2">
        <f>WORKDAY.INTL(I630,IF(C630="MELHORIA MÉDIA",20,IF(OR(C630="MELHORIA PEQUENA",C630="BUG NÃO IMPEDITIVO"),5,2)),1,$X:$X)</f>
        <v>45945</v>
      </c>
      <c r="K630" t="str">
        <f>IF(H630&gt;J630,"ATRASO","NO PRAZO")</f>
        <v>NO PRAZO</v>
      </c>
    </row>
    <row r="631" spans="1:11">
      <c r="A631" s="1">
        <v>20291</v>
      </c>
      <c r="B631" t="s">
        <v>8</v>
      </c>
      <c r="C631" t="s">
        <v>16</v>
      </c>
      <c r="D631" s="1">
        <v>1203</v>
      </c>
      <c r="E631" s="1">
        <v>2025</v>
      </c>
      <c r="F631" s="2">
        <v>45849</v>
      </c>
      <c r="G631" s="2">
        <v>45852</v>
      </c>
      <c r="H631" s="2">
        <v>45854</v>
      </c>
      <c r="I631" s="2">
        <f>WORKDAY.INTL(F631,IF(OR(C631="MELHORIA PEQUENA",C631="MELHORIA MÉDIA"),3,1),1,ListaFeriados)</f>
        <v>45852</v>
      </c>
      <c r="J631" s="2">
        <f>WORKDAY.INTL(I631,IF(C631="MELHORIA MÉDIA",20,IF(OR(C631="MELHORIA PEQUENA",C631="BUG NÃO IMPEDITIVO"),5,2)),1,$X:$X)</f>
        <v>45859</v>
      </c>
      <c r="K631" t="str">
        <f>IF(H631&gt;J631,"ATRASO","NO PRAZO")</f>
        <v>NO PRAZO</v>
      </c>
    </row>
    <row r="632" spans="1:11">
      <c r="A632" s="1">
        <v>20095</v>
      </c>
      <c r="B632" t="s">
        <v>9</v>
      </c>
      <c r="C632" t="s">
        <v>16</v>
      </c>
      <c r="D632" s="1">
        <v>1007</v>
      </c>
      <c r="E632" s="1">
        <v>2025</v>
      </c>
      <c r="F632" s="2">
        <v>45819</v>
      </c>
      <c r="G632" s="2">
        <v>45820</v>
      </c>
      <c r="H632" s="2">
        <v>45831</v>
      </c>
      <c r="I632" s="2">
        <f>WORKDAY.INTL(F632,IF(OR(C632="MELHORIA PEQUENA",C632="MELHORIA MÉDIA"),3,1),1,ListaFeriados)</f>
        <v>45820</v>
      </c>
      <c r="J632" s="2">
        <f>WORKDAY.INTL(I632,IF(C632="MELHORIA MÉDIA",20,IF(OR(C632="MELHORIA PEQUENA",C632="BUG NÃO IMPEDITIVO"),5,2)),1,$X:$X)</f>
        <v>45828</v>
      </c>
      <c r="K632" t="str">
        <f>IF(H632&gt;J632,"ATRASO","NO PRAZO")</f>
        <v>ATRASO</v>
      </c>
    </row>
    <row r="633" spans="1:11">
      <c r="A633" s="1">
        <v>20634</v>
      </c>
      <c r="B633" t="s">
        <v>8</v>
      </c>
      <c r="C633" t="s">
        <v>16</v>
      </c>
      <c r="D633" s="1">
        <v>1546</v>
      </c>
      <c r="E633" s="1">
        <v>2025</v>
      </c>
      <c r="F633" s="2">
        <v>45897</v>
      </c>
      <c r="G633" s="2">
        <v>45901</v>
      </c>
      <c r="H633" s="2">
        <v>45902</v>
      </c>
      <c r="I633" s="2">
        <f>WORKDAY.INTL(F633,IF(OR(C633="MELHORIA PEQUENA",C633="MELHORIA MÉDIA"),3,1),1,ListaFeriados)</f>
        <v>45898</v>
      </c>
      <c r="J633" s="2">
        <f>WORKDAY.INTL(I633,IF(C633="MELHORIA MÉDIA",20,IF(OR(C633="MELHORIA PEQUENA",C633="BUG NÃO IMPEDITIVO"),5,2)),1,$X:$X)</f>
        <v>45905</v>
      </c>
      <c r="K633" t="str">
        <f>IF(H633&gt;J633,"ATRASO","NO PRAZO")</f>
        <v>NO PRAZO</v>
      </c>
    </row>
    <row r="634" spans="1:11">
      <c r="A634" s="1">
        <v>20457</v>
      </c>
      <c r="B634" t="s">
        <v>9</v>
      </c>
      <c r="C634" t="s">
        <v>16</v>
      </c>
      <c r="D634" s="1">
        <v>1369</v>
      </c>
      <c r="E634" s="1">
        <v>2025</v>
      </c>
      <c r="F634" s="2">
        <v>45873</v>
      </c>
      <c r="G634" s="2">
        <v>45880</v>
      </c>
      <c r="H634" s="2">
        <v>45880</v>
      </c>
      <c r="I634" s="2">
        <f>WORKDAY.INTL(F634,IF(OR(C634="MELHORIA PEQUENA",C634="MELHORIA MÉDIA"),3,1),1,ListaFeriados)</f>
        <v>45874</v>
      </c>
      <c r="J634" s="2">
        <f>WORKDAY.INTL(I634,IF(C634="MELHORIA MÉDIA",20,IF(OR(C634="MELHORIA PEQUENA",C634="BUG NÃO IMPEDITIVO"),5,2)),1,$X:$X)</f>
        <v>45881</v>
      </c>
      <c r="K634" t="str">
        <f>IF(H634&gt;J634,"ATRASO","NO PRAZO")</f>
        <v>NO PRAZO</v>
      </c>
    </row>
    <row r="635" spans="1:11">
      <c r="A635" s="1">
        <v>20550</v>
      </c>
      <c r="B635" t="s">
        <v>12</v>
      </c>
      <c r="C635" t="s">
        <v>16</v>
      </c>
      <c r="D635" s="1">
        <v>1462</v>
      </c>
      <c r="E635" s="1">
        <v>2025</v>
      </c>
      <c r="F635" s="2">
        <v>45887</v>
      </c>
      <c r="G635" s="2">
        <v>45887</v>
      </c>
      <c r="H635" s="2">
        <v>45888</v>
      </c>
      <c r="I635" s="2">
        <f>WORKDAY.INTL(F635,IF(OR(C635="MELHORIA PEQUENA",C635="MELHORIA MÉDIA"),3,1),1,ListaFeriados)</f>
        <v>45888</v>
      </c>
      <c r="J635" s="2">
        <f>WORKDAY.INTL(I635,IF(C635="MELHORIA MÉDIA",20,IF(OR(C635="MELHORIA PEQUENA",C635="BUG NÃO IMPEDITIVO"),5,2)),1,$X:$X)</f>
        <v>45895</v>
      </c>
      <c r="K635" t="str">
        <f>IF(H635&gt;J635,"ATRASO","NO PRAZO")</f>
        <v>NO PRAZO</v>
      </c>
    </row>
    <row r="636" spans="1:11">
      <c r="A636" s="1">
        <v>20520</v>
      </c>
      <c r="B636" t="s">
        <v>14</v>
      </c>
      <c r="C636" t="s">
        <v>16</v>
      </c>
      <c r="D636" s="1">
        <v>1432</v>
      </c>
      <c r="E636" s="1">
        <v>2025</v>
      </c>
      <c r="F636" s="2">
        <v>45882</v>
      </c>
      <c r="G636" s="2">
        <v>45889</v>
      </c>
      <c r="H636" s="2">
        <v>45889</v>
      </c>
      <c r="I636" s="2">
        <f>WORKDAY.INTL(F636,IF(OR(C636="MELHORIA PEQUENA",C636="MELHORIA MÉDIA"),3,1),1,ListaFeriados)</f>
        <v>45883</v>
      </c>
      <c r="J636" s="2">
        <f>WORKDAY.INTL(I636,IF(C636="MELHORIA MÉDIA",20,IF(OR(C636="MELHORIA PEQUENA",C636="BUG NÃO IMPEDITIVO"),5,2)),1,$X:$X)</f>
        <v>45891</v>
      </c>
      <c r="K636" t="str">
        <f>IF(H636&gt;J636,"ATRASO","NO PRAZO")</f>
        <v>NO PRAZO</v>
      </c>
    </row>
    <row r="637" spans="1:11">
      <c r="A637" s="1">
        <v>20657</v>
      </c>
      <c r="B637" t="s">
        <v>14</v>
      </c>
      <c r="C637" t="s">
        <v>16</v>
      </c>
      <c r="D637" s="1">
        <v>1569</v>
      </c>
      <c r="E637" s="1">
        <v>2025</v>
      </c>
      <c r="F637" s="2">
        <v>45902</v>
      </c>
      <c r="G637" s="2">
        <v>45904</v>
      </c>
      <c r="H637" s="2">
        <v>45904</v>
      </c>
      <c r="I637" s="2">
        <f>WORKDAY.INTL(F637,IF(OR(C637="MELHORIA PEQUENA",C637="MELHORIA MÉDIA"),3,1),1,ListaFeriados)</f>
        <v>45903</v>
      </c>
      <c r="J637" s="2">
        <f>WORKDAY.INTL(I637,IF(C637="MELHORIA MÉDIA",20,IF(OR(C637="MELHORIA PEQUENA",C637="BUG NÃO IMPEDITIVO"),5,2)),1,$X:$X)</f>
        <v>45910</v>
      </c>
      <c r="K637" t="str">
        <f>IF(H637&gt;J637,"ATRASO","NO PRAZO")</f>
        <v>NO PRAZO</v>
      </c>
    </row>
    <row r="638" spans="1:11">
      <c r="A638" s="1">
        <v>20970</v>
      </c>
      <c r="B638" t="s">
        <v>9</v>
      </c>
      <c r="C638" t="s">
        <v>16</v>
      </c>
      <c r="D638" s="1">
        <v>1882</v>
      </c>
      <c r="E638" s="1">
        <v>2025</v>
      </c>
      <c r="F638" s="2">
        <v>45916</v>
      </c>
      <c r="G638" s="2">
        <v>45923</v>
      </c>
      <c r="H638" s="2">
        <v>45923</v>
      </c>
      <c r="I638" s="2">
        <f>WORKDAY.INTL(F638,IF(OR(C638="MELHORIA PEQUENA",C638="MELHORIA MÉDIA"),3,1),1,ListaFeriados)</f>
        <v>45917</v>
      </c>
      <c r="J638" s="2">
        <f>WORKDAY.INTL(I638,IF(C638="MELHORIA MÉDIA",20,IF(OR(C638="MELHORIA PEQUENA",C638="BUG NÃO IMPEDITIVO"),5,2)),1,$X:$X)</f>
        <v>45924</v>
      </c>
      <c r="K638" t="str">
        <f>IF(H638&gt;J638,"ATRASO","NO PRAZO")</f>
        <v>NO PRAZO</v>
      </c>
    </row>
    <row r="639" spans="1:11">
      <c r="A639" s="1">
        <v>20654</v>
      </c>
      <c r="B639" t="s">
        <v>12</v>
      </c>
      <c r="C639" t="s">
        <v>16</v>
      </c>
      <c r="D639" s="1">
        <v>1566</v>
      </c>
      <c r="E639" s="1">
        <v>2025</v>
      </c>
      <c r="F639" s="2">
        <v>45901</v>
      </c>
      <c r="G639" s="2">
        <v>45902</v>
      </c>
      <c r="H639" s="2">
        <v>45905</v>
      </c>
      <c r="I639" s="2">
        <f>WORKDAY.INTL(F639,IF(OR(C639="MELHORIA PEQUENA",C639="MELHORIA MÉDIA"),3,1),1,ListaFeriados)</f>
        <v>45902</v>
      </c>
      <c r="J639" s="2">
        <f>WORKDAY.INTL(I639,IF(C639="MELHORIA MÉDIA",20,IF(OR(C639="MELHORIA PEQUENA",C639="BUG NÃO IMPEDITIVO"),5,2)),1,$X:$X)</f>
        <v>45909</v>
      </c>
      <c r="K639" t="str">
        <f>IF(H639&gt;J639,"ATRASO","NO PRAZO")</f>
        <v>NO PRAZO</v>
      </c>
    </row>
    <row r="640" spans="1:11">
      <c r="A640" s="1">
        <v>21045</v>
      </c>
      <c r="B640" t="s">
        <v>9</v>
      </c>
      <c r="C640" t="s">
        <v>16</v>
      </c>
      <c r="D640" s="1">
        <v>1957</v>
      </c>
      <c r="E640" s="1">
        <v>2025</v>
      </c>
      <c r="F640" s="2">
        <v>45929</v>
      </c>
      <c r="G640" s="2">
        <v>45932</v>
      </c>
      <c r="H640" s="2">
        <v>45936</v>
      </c>
      <c r="I640" s="2">
        <f>WORKDAY.INTL(F640,IF(OR(C640="MELHORIA PEQUENA",C640="MELHORIA MÉDIA"),3,1),1,ListaFeriados)</f>
        <v>45930</v>
      </c>
      <c r="J640" s="2">
        <f>WORKDAY.INTL(I640,IF(C640="MELHORIA MÉDIA",20,IF(OR(C640="MELHORIA PEQUENA",C640="BUG NÃO IMPEDITIVO"),5,2)),1,$X:$X)</f>
        <v>45937</v>
      </c>
      <c r="K640" t="str">
        <f>IF(H640&gt;J640,"ATRASO","NO PRAZO")</f>
        <v>NO PRAZO</v>
      </c>
    </row>
    <row r="641" spans="1:11">
      <c r="A641" s="1">
        <v>20991</v>
      </c>
      <c r="B641" t="s">
        <v>11</v>
      </c>
      <c r="C641" t="s">
        <v>16</v>
      </c>
      <c r="D641" s="1">
        <v>1903</v>
      </c>
      <c r="E641" s="1">
        <v>2025</v>
      </c>
      <c r="F641" s="2">
        <v>45918</v>
      </c>
      <c r="G641" s="2">
        <v>45926</v>
      </c>
      <c r="H641" s="2">
        <v>45926</v>
      </c>
      <c r="I641" s="2">
        <f>WORKDAY.INTL(F641,IF(OR(C641="MELHORIA PEQUENA",C641="MELHORIA MÉDIA"),3,1),1,ListaFeriados)</f>
        <v>45919</v>
      </c>
      <c r="J641" s="2">
        <f>WORKDAY.INTL(I641,IF(C641="MELHORIA MÉDIA",20,IF(OR(C641="MELHORIA PEQUENA",C641="BUG NÃO IMPEDITIVO"),5,2)),1,$X:$X)</f>
        <v>45926</v>
      </c>
      <c r="K641" t="str">
        <f>IF(H641&gt;J641,"ATRASO","NO PRAZO")</f>
        <v>NO PRAZO</v>
      </c>
    </row>
    <row r="642" spans="1:11">
      <c r="A642" s="1">
        <v>21206</v>
      </c>
      <c r="B642" t="s">
        <v>9</v>
      </c>
      <c r="C642" t="s">
        <v>16</v>
      </c>
      <c r="D642" s="1">
        <v>2118</v>
      </c>
      <c r="E642" s="1">
        <v>2025</v>
      </c>
      <c r="F642" s="2">
        <v>45951</v>
      </c>
      <c r="G642" s="2">
        <v>45958</v>
      </c>
      <c r="H642" s="2">
        <v>45958</v>
      </c>
      <c r="I642" s="2">
        <f>WORKDAY.INTL(F642,IF(OR(C642="MELHORIA PEQUENA",C642="MELHORIA MÉDIA"),3,1),1,ListaFeriados)</f>
        <v>45952</v>
      </c>
      <c r="J642" s="2">
        <f>WORKDAY.INTL(I642,IF(C642="MELHORIA MÉDIA",20,IF(OR(C642="MELHORIA PEQUENA",C642="BUG NÃO IMPEDITIVO"),5,2)),1,$X:$X)</f>
        <v>45960</v>
      </c>
      <c r="K642" t="str">
        <f>IF(H642&gt;J642,"ATRASO","NO PRAZO")</f>
        <v>NO PRAZO</v>
      </c>
    </row>
    <row r="643" spans="1:11">
      <c r="A643" s="1">
        <v>21037</v>
      </c>
      <c r="B643" t="s">
        <v>14</v>
      </c>
      <c r="C643" t="s">
        <v>16</v>
      </c>
      <c r="D643" s="1">
        <v>1949</v>
      </c>
      <c r="E643" s="1">
        <v>2025</v>
      </c>
      <c r="F643" s="2">
        <v>45926</v>
      </c>
      <c r="G643" s="2">
        <v>45926</v>
      </c>
      <c r="H643" s="2">
        <v>45933</v>
      </c>
      <c r="I643" s="2">
        <f>WORKDAY.INTL(F643,IF(OR(C643="MELHORIA PEQUENA",C643="MELHORIA MÉDIA"),3,1),1,ListaFeriados)</f>
        <v>45929</v>
      </c>
      <c r="J643" s="2">
        <f>WORKDAY.INTL(I643,IF(C643="MELHORIA MÉDIA",20,IF(OR(C643="MELHORIA PEQUENA",C643="BUG NÃO IMPEDITIVO"),5,2)),1,$X:$X)</f>
        <v>45936</v>
      </c>
      <c r="K643" t="str">
        <f>IF(H643&gt;J643,"ATRASO","NO PRAZO")</f>
        <v>NO PRAZO</v>
      </c>
    </row>
    <row r="644" spans="1:11">
      <c r="A644" s="1">
        <v>21158</v>
      </c>
      <c r="B644" t="s">
        <v>9</v>
      </c>
      <c r="C644" t="s">
        <v>16</v>
      </c>
      <c r="D644" s="1">
        <v>2070</v>
      </c>
      <c r="E644" s="1">
        <v>2025</v>
      </c>
      <c r="F644" s="2">
        <v>45944</v>
      </c>
      <c r="G644" s="2">
        <v>45947</v>
      </c>
      <c r="H644" s="2">
        <v>45947</v>
      </c>
      <c r="I644" s="2">
        <f>WORKDAY.INTL(F644,IF(OR(C644="MELHORIA PEQUENA",C644="MELHORIA MÉDIA"),3,1),1,ListaFeriados)</f>
        <v>45945</v>
      </c>
      <c r="J644" s="2">
        <f>WORKDAY.INTL(I644,IF(C644="MELHORIA MÉDIA",20,IF(OR(C644="MELHORIA PEQUENA",C644="BUG NÃO IMPEDITIVO"),5,2)),1,$X:$X)</f>
        <v>45953</v>
      </c>
      <c r="K644" t="str">
        <f>IF(H644&gt;J644,"ATRASO","NO PRAZO")</f>
        <v>NO PRAZO</v>
      </c>
    </row>
    <row r="645" spans="1:11">
      <c r="A645" s="1">
        <v>20324</v>
      </c>
      <c r="B645" t="s">
        <v>12</v>
      </c>
      <c r="C645" t="s">
        <v>16</v>
      </c>
      <c r="D645" s="1">
        <v>1236</v>
      </c>
      <c r="E645" s="1">
        <v>2025</v>
      </c>
      <c r="F645" s="2">
        <v>45854</v>
      </c>
      <c r="G645" s="2">
        <v>45854</v>
      </c>
      <c r="H645" s="2">
        <v>45859</v>
      </c>
      <c r="I645" s="2">
        <f>WORKDAY.INTL(F645,IF(OR(C645="MELHORIA PEQUENA",C645="MELHORIA MÉDIA"),3,1),1,ListaFeriados)</f>
        <v>45855</v>
      </c>
      <c r="J645" s="2">
        <f>WORKDAY.INTL(I645,IF(C645="MELHORIA MÉDIA",20,IF(OR(C645="MELHORIA PEQUENA",C645="BUG NÃO IMPEDITIVO"),5,2)),1,$X:$X)</f>
        <v>45862</v>
      </c>
      <c r="K645" t="str">
        <f>IF(H645&gt;J645,"ATRASO","NO PRAZO")</f>
        <v>NO PRAZO</v>
      </c>
    </row>
    <row r="646" spans="1:11">
      <c r="A646" s="1">
        <v>21475</v>
      </c>
      <c r="B646" t="s">
        <v>12</v>
      </c>
      <c r="C646" t="s">
        <v>16</v>
      </c>
      <c r="D646" s="1">
        <v>2387</v>
      </c>
      <c r="E646" s="1">
        <v>2025</v>
      </c>
      <c r="F646" s="2">
        <v>45996</v>
      </c>
      <c r="G646" s="2">
        <v>46000</v>
      </c>
      <c r="H646" s="2">
        <v>46000</v>
      </c>
      <c r="I646" s="2">
        <f>WORKDAY.INTL(F646,IF(OR(C646="MELHORIA PEQUENA",C646="MELHORIA MÉDIA"),3,1),1,ListaFeriados)</f>
        <v>45999</v>
      </c>
      <c r="J646" s="2">
        <f>WORKDAY.INTL(I646,IF(C646="MELHORIA MÉDIA",20,IF(OR(C646="MELHORIA PEQUENA",C646="BUG NÃO IMPEDITIVO"),5,2)),1,$X:$X)</f>
        <v>46006</v>
      </c>
      <c r="K646" t="str">
        <f>IF(H646&gt;J646,"ATRASO","NO PRAZO")</f>
        <v>NO PRAZO</v>
      </c>
    </row>
    <row r="647" spans="1:11">
      <c r="A647" s="1">
        <v>21898</v>
      </c>
      <c r="B647" t="s">
        <v>13</v>
      </c>
      <c r="C647" t="s">
        <v>16</v>
      </c>
      <c r="D647" s="1">
        <v>304</v>
      </c>
      <c r="E647" s="1">
        <v>2026</v>
      </c>
      <c r="F647" s="2">
        <v>46080</v>
      </c>
      <c r="G647" s="2">
        <v>46083</v>
      </c>
      <c r="H647" s="2">
        <v>46087</v>
      </c>
      <c r="I647" s="2">
        <f>WORKDAY.INTL(F647,IF(OR(C647="MELHORIA PEQUENA",C647="MELHORIA MÉDIA"),3,1),1,ListaFeriados)</f>
        <v>46083</v>
      </c>
      <c r="J647" s="2">
        <f>WORKDAY.INTL(I647,IF(C647="MELHORIA MÉDIA",20,IF(OR(C647="MELHORIA PEQUENA",C647="BUG NÃO IMPEDITIVO"),5,2)),1,$X:$X)</f>
        <v>46090</v>
      </c>
      <c r="K647" t="str">
        <f>IF(H647&gt;J647,"ATRASO","NO PRAZO")</f>
        <v>NO PRAZO</v>
      </c>
    </row>
    <row r="648" spans="1:11">
      <c r="A648" s="1">
        <v>22049</v>
      </c>
      <c r="B648" t="s">
        <v>6</v>
      </c>
      <c r="C648" t="s">
        <v>16</v>
      </c>
      <c r="D648" s="1">
        <v>455</v>
      </c>
      <c r="E648" s="1">
        <v>2026</v>
      </c>
      <c r="F648" s="2">
        <v>46105</v>
      </c>
      <c r="G648" s="2">
        <v>46106</v>
      </c>
      <c r="H648" s="2">
        <v>46107</v>
      </c>
      <c r="I648" s="2">
        <f>WORKDAY.INTL(F648,IF(OR(C648="MELHORIA PEQUENA",C648="MELHORIA MÉDIA"),3,1),1,ListaFeriados)</f>
        <v>46106</v>
      </c>
      <c r="J648" s="2">
        <f>WORKDAY.INTL(I648,IF(C648="MELHORIA MÉDIA",20,IF(OR(C648="MELHORIA PEQUENA",C648="BUG NÃO IMPEDITIVO"),5,2)),1,$X:$X)</f>
        <v>46113</v>
      </c>
      <c r="K648" t="str">
        <f>IF(H648&gt;J648,"ATRASO","NO PRAZO")</f>
        <v>NO PRAZO</v>
      </c>
    </row>
    <row r="649" spans="1:11">
      <c r="A649" s="1">
        <v>21863</v>
      </c>
      <c r="B649" t="s">
        <v>6</v>
      </c>
      <c r="C649" t="s">
        <v>17</v>
      </c>
      <c r="D649" s="1">
        <v>269</v>
      </c>
      <c r="E649" s="1">
        <v>2026</v>
      </c>
      <c r="F649" s="2">
        <v>46077</v>
      </c>
      <c r="G649" s="2">
        <v>46083</v>
      </c>
      <c r="H649" s="2">
        <v>46083</v>
      </c>
      <c r="I649" s="2">
        <f>WORKDAY.INTL(F649,IF(OR(C649="MELHORIA PEQUENA",C649="MELHORIA MÉDIA"),3,1),1,ListaFeriados)</f>
        <v>46078</v>
      </c>
      <c r="J649" s="2">
        <f>WORKDAY.INTL(I649,IF(C649="MELHORIA MÉDIA",20,IF(OR(C649="MELHORIA PEQUENA",C649="BUG NÃO IMPEDITIVO"),5,2)),1,$X:$X)</f>
        <v>46080</v>
      </c>
      <c r="K649" t="str">
        <f>IF(H649&gt;J649,"ATRASO","NO PRAZO")</f>
        <v>ATRASO</v>
      </c>
    </row>
    <row r="650" spans="1:11">
      <c r="A650" s="1">
        <v>22231</v>
      </c>
      <c r="B650" t="s">
        <v>11</v>
      </c>
      <c r="C650" t="s">
        <v>17</v>
      </c>
      <c r="D650" s="1">
        <v>637</v>
      </c>
      <c r="E650" s="1">
        <v>2026</v>
      </c>
      <c r="F650" s="2">
        <v>46134</v>
      </c>
      <c r="G650" s="2">
        <v>46139</v>
      </c>
      <c r="H650" s="2">
        <v>46139</v>
      </c>
      <c r="I650" s="2">
        <f>WORKDAY.INTL(F650,IF(OR(C650="MELHORIA PEQUENA",C650="MELHORIA MÉDIA"),3,1),1,ListaFeriados)</f>
        <v>46136</v>
      </c>
      <c r="J650" s="2">
        <f>WORKDAY.INTL(I650,IF(C650="MELHORIA MÉDIA",20,IF(OR(C650="MELHORIA PEQUENA",C650="BUG NÃO IMPEDITIVO"),5,2)),1,$X:$X)</f>
        <v>46140</v>
      </c>
      <c r="K650" t="str">
        <f>IF(H650&gt;J650,"ATRASO","NO PRAZO")</f>
        <v>NO PRAZO</v>
      </c>
    </row>
    <row r="651" spans="1:11">
      <c r="A651" s="1">
        <v>21915</v>
      </c>
      <c r="B651" t="s">
        <v>10</v>
      </c>
      <c r="C651" t="s">
        <v>17</v>
      </c>
      <c r="D651" s="1">
        <v>321</v>
      </c>
      <c r="E651" s="1">
        <v>2026</v>
      </c>
      <c r="F651" s="2">
        <v>46084</v>
      </c>
      <c r="G651" s="2">
        <v>46085</v>
      </c>
      <c r="H651" s="2">
        <v>46085</v>
      </c>
      <c r="I651" s="2">
        <f>WORKDAY.INTL(F651,IF(OR(C651="MELHORIA PEQUENA",C651="MELHORIA MÉDIA"),3,1),1,ListaFeriados)</f>
        <v>46085</v>
      </c>
      <c r="J651" s="2">
        <f>WORKDAY.INTL(I651,IF(C651="MELHORIA MÉDIA",20,IF(OR(C651="MELHORIA PEQUENA",C651="BUG NÃO IMPEDITIVO"),5,2)),1,$X:$X)</f>
        <v>46087</v>
      </c>
      <c r="K651" t="str">
        <f>IF(H651&gt;J651,"ATRASO","NO PRAZO")</f>
        <v>NO PRAZO</v>
      </c>
    </row>
    <row r="652" spans="1:11">
      <c r="A652" s="1">
        <v>21932</v>
      </c>
      <c r="B652" t="s">
        <v>13</v>
      </c>
      <c r="C652" t="s">
        <v>17</v>
      </c>
      <c r="D652" s="1">
        <v>338</v>
      </c>
      <c r="E652" s="1">
        <v>2026</v>
      </c>
      <c r="F652" s="2">
        <v>46086</v>
      </c>
      <c r="G652" s="2">
        <v>46086</v>
      </c>
      <c r="H652" s="2">
        <v>46086</v>
      </c>
      <c r="I652" s="2">
        <f>WORKDAY.INTL(F652,IF(OR(C652="MELHORIA PEQUENA",C652="MELHORIA MÉDIA"),3,1),1,ListaFeriados)</f>
        <v>46087</v>
      </c>
      <c r="J652" s="2">
        <f>WORKDAY.INTL(I652,IF(C652="MELHORIA MÉDIA",20,IF(OR(C652="MELHORIA PEQUENA",C652="BUG NÃO IMPEDITIVO"),5,2)),1,$X:$X)</f>
        <v>46091</v>
      </c>
      <c r="K652" t="str">
        <f>IF(H652&gt;J652,"ATRASO","NO PRAZO")</f>
        <v>NO PRAZO</v>
      </c>
    </row>
    <row r="653" spans="1:11">
      <c r="A653" s="1">
        <v>22106</v>
      </c>
      <c r="B653" t="s">
        <v>11</v>
      </c>
      <c r="C653" t="s">
        <v>17</v>
      </c>
      <c r="D653" s="1">
        <v>512</v>
      </c>
      <c r="E653" s="1">
        <v>2026</v>
      </c>
      <c r="F653" s="2">
        <v>46113</v>
      </c>
      <c r="G653" s="2">
        <v>46118</v>
      </c>
      <c r="H653" s="2">
        <v>46118</v>
      </c>
      <c r="I653" s="2">
        <f>WORKDAY.INTL(F653,IF(OR(C653="MELHORIA PEQUENA",C653="MELHORIA MÉDIA"),3,1),1,ListaFeriados)</f>
        <v>46114</v>
      </c>
      <c r="J653" s="2">
        <f>WORKDAY.INTL(I653,IF(C653="MELHORIA MÉDIA",20,IF(OR(C653="MELHORIA PEQUENA",C653="BUG NÃO IMPEDITIVO"),5,2)),1,$X:$X)</f>
        <v>46119</v>
      </c>
      <c r="K653" t="str">
        <f>IF(H653&gt;J653,"ATRASO","NO PRAZO")</f>
        <v>NO PRAZO</v>
      </c>
    </row>
    <row r="654" spans="1:11">
      <c r="A654" s="1">
        <v>21881</v>
      </c>
      <c r="B654" t="s">
        <v>8</v>
      </c>
      <c r="C654" t="s">
        <v>17</v>
      </c>
      <c r="D654" s="1">
        <v>287</v>
      </c>
      <c r="E654" s="1">
        <v>2026</v>
      </c>
      <c r="F654" s="2">
        <v>46079</v>
      </c>
      <c r="G654" s="2">
        <v>46079</v>
      </c>
      <c r="H654" s="2">
        <v>46079</v>
      </c>
      <c r="I654" s="2">
        <f>WORKDAY.INTL(F654,IF(OR(C654="MELHORIA PEQUENA",C654="MELHORIA MÉDIA"),3,1),1,ListaFeriados)</f>
        <v>46080</v>
      </c>
      <c r="J654" s="2">
        <f>WORKDAY.INTL(I654,IF(C654="MELHORIA MÉDIA",20,IF(OR(C654="MELHORIA PEQUENA",C654="BUG NÃO IMPEDITIVO"),5,2)),1,$X:$X)</f>
        <v>46084</v>
      </c>
      <c r="K654" t="str">
        <f>IF(H654&gt;J654,"ATRASO","NO PRAZO")</f>
        <v>NO PRAZO</v>
      </c>
    </row>
    <row r="655" spans="1:11">
      <c r="A655" s="1">
        <v>21809</v>
      </c>
      <c r="B655" t="s">
        <v>12</v>
      </c>
      <c r="C655" t="s">
        <v>17</v>
      </c>
      <c r="D655" s="1">
        <v>215</v>
      </c>
      <c r="E655" s="1">
        <v>2026</v>
      </c>
      <c r="F655" s="2">
        <v>46064</v>
      </c>
      <c r="G655" s="2">
        <v>46073</v>
      </c>
      <c r="H655" s="2">
        <v>46076</v>
      </c>
      <c r="I655" s="2">
        <f>WORKDAY.INTL(F655,IF(OR(C655="MELHORIA PEQUENA",C655="MELHORIA MÉDIA"),3,1),1,ListaFeriados)</f>
        <v>46065</v>
      </c>
      <c r="J655" s="2">
        <f>WORKDAY.INTL(I655,IF(C655="MELHORIA MÉDIA",20,IF(OR(C655="MELHORIA PEQUENA",C655="BUG NÃO IMPEDITIVO"),5,2)),1,$X:$X)</f>
        <v>46071</v>
      </c>
      <c r="K655" t="str">
        <f>IF(H655&gt;J655,"ATRASO","NO PRAZO")</f>
        <v>ATRASO</v>
      </c>
    </row>
    <row r="656" spans="1:11">
      <c r="A656" s="1">
        <v>21454</v>
      </c>
      <c r="B656" t="s">
        <v>13</v>
      </c>
      <c r="C656" t="s">
        <v>17</v>
      </c>
      <c r="D656" s="1">
        <v>2366</v>
      </c>
      <c r="E656" s="1">
        <v>2025</v>
      </c>
      <c r="F656" s="2">
        <v>45994</v>
      </c>
      <c r="G656" s="2">
        <v>45996</v>
      </c>
      <c r="H656" s="2">
        <v>45996</v>
      </c>
      <c r="I656" s="2">
        <f>WORKDAY.INTL(F656,IF(OR(C656="MELHORIA PEQUENA",C656="MELHORIA MÉDIA"),3,1),1,ListaFeriados)</f>
        <v>45995</v>
      </c>
      <c r="J656" s="2">
        <f>WORKDAY.INTL(I656,IF(C656="MELHORIA MÉDIA",20,IF(OR(C656="MELHORIA PEQUENA",C656="BUG NÃO IMPEDITIVO"),5,2)),1,$X:$X)</f>
        <v>45999</v>
      </c>
      <c r="K656" t="str">
        <f>IF(H656&gt;J656,"ATRASO","NO PRAZO")</f>
        <v>NO PRAZO</v>
      </c>
    </row>
    <row r="657" spans="1:11">
      <c r="A657" s="1">
        <v>22040</v>
      </c>
      <c r="B657" t="s">
        <v>13</v>
      </c>
      <c r="C657" t="s">
        <v>17</v>
      </c>
      <c r="D657" s="1">
        <v>446</v>
      </c>
      <c r="E657" s="1">
        <v>2026</v>
      </c>
      <c r="F657" s="2">
        <v>46104</v>
      </c>
      <c r="G657" s="2">
        <v>46106</v>
      </c>
      <c r="H657" s="2">
        <v>46106</v>
      </c>
      <c r="I657" s="2">
        <f>WORKDAY.INTL(F657,IF(OR(C657="MELHORIA PEQUENA",C657="MELHORIA MÉDIA"),3,1),1,ListaFeriados)</f>
        <v>46105</v>
      </c>
      <c r="J657" s="2">
        <f>WORKDAY.INTL(I657,IF(C657="MELHORIA MÉDIA",20,IF(OR(C657="MELHORIA PEQUENA",C657="BUG NÃO IMPEDITIVO"),5,2)),1,$X:$X)</f>
        <v>46107</v>
      </c>
      <c r="K657" t="str">
        <f>IF(H657&gt;J657,"ATRASO","NO PRAZO")</f>
        <v>NO PRAZO</v>
      </c>
    </row>
    <row r="658" spans="1:11">
      <c r="A658" s="1">
        <v>22121</v>
      </c>
      <c r="B658" t="s">
        <v>9</v>
      </c>
      <c r="C658" t="s">
        <v>17</v>
      </c>
      <c r="D658" s="1">
        <v>527</v>
      </c>
      <c r="E658" s="1">
        <v>2026</v>
      </c>
      <c r="F658" s="2">
        <v>46118</v>
      </c>
      <c r="G658" s="2">
        <v>46119</v>
      </c>
      <c r="H658" s="2">
        <v>46119</v>
      </c>
      <c r="I658" s="2">
        <f>WORKDAY.INTL(F658,IF(OR(C658="MELHORIA PEQUENA",C658="MELHORIA MÉDIA"),3,1),1,ListaFeriados)</f>
        <v>46119</v>
      </c>
      <c r="J658" s="2">
        <f>WORKDAY.INTL(I658,IF(C658="MELHORIA MÉDIA",20,IF(OR(C658="MELHORIA PEQUENA",C658="BUG NÃO IMPEDITIVO"),5,2)),1,$X:$X)</f>
        <v>46121</v>
      </c>
      <c r="K658" t="str">
        <f>IF(H658&gt;J658,"ATRASO","NO PRAZO")</f>
        <v>NO PRAZO</v>
      </c>
    </row>
    <row r="659" spans="1:11">
      <c r="A659" s="1">
        <v>21561</v>
      </c>
      <c r="B659" t="s">
        <v>6</v>
      </c>
      <c r="C659" t="s">
        <v>17</v>
      </c>
      <c r="D659" s="1">
        <v>2473</v>
      </c>
      <c r="E659" s="1">
        <v>2025</v>
      </c>
      <c r="F659" s="2">
        <v>46010</v>
      </c>
      <c r="G659" s="2">
        <v>46010</v>
      </c>
      <c r="H659" s="2">
        <v>46014</v>
      </c>
      <c r="I659" s="2">
        <f>WORKDAY.INTL(F659,IF(OR(C659="MELHORIA PEQUENA",C659="MELHORIA MÉDIA"),3,1),1,ListaFeriados)</f>
        <v>46013</v>
      </c>
      <c r="J659" s="2">
        <f>WORKDAY.INTL(I659,IF(C659="MELHORIA MÉDIA",20,IF(OR(C659="MELHORIA PEQUENA",C659="BUG NÃO IMPEDITIVO"),5,2)),1,$X:$X)</f>
        <v>46015</v>
      </c>
      <c r="K659" t="str">
        <f>IF(H659&gt;J659,"ATRASO","NO PRAZO")</f>
        <v>NO PRAZO</v>
      </c>
    </row>
    <row r="660" spans="1:11">
      <c r="A660" s="1">
        <v>21395</v>
      </c>
      <c r="B660" t="s">
        <v>11</v>
      </c>
      <c r="C660" t="s">
        <v>17</v>
      </c>
      <c r="D660" s="1">
        <v>2307</v>
      </c>
      <c r="E660" s="1">
        <v>2025</v>
      </c>
      <c r="F660" s="2">
        <v>45985</v>
      </c>
      <c r="G660" s="2">
        <v>45986</v>
      </c>
      <c r="H660" s="2">
        <v>45987</v>
      </c>
      <c r="I660" s="2">
        <f>WORKDAY.INTL(F660,IF(OR(C660="MELHORIA PEQUENA",C660="MELHORIA MÉDIA"),3,1),1,ListaFeriados)</f>
        <v>45986</v>
      </c>
      <c r="J660" s="2">
        <f>WORKDAY.INTL(I660,IF(C660="MELHORIA MÉDIA",20,IF(OR(C660="MELHORIA PEQUENA",C660="BUG NÃO IMPEDITIVO"),5,2)),1,$X:$X)</f>
        <v>45988</v>
      </c>
      <c r="K660" t="str">
        <f>IF(H660&gt;J660,"ATRASO","NO PRAZO")</f>
        <v>NO PRAZO</v>
      </c>
    </row>
    <row r="661" spans="1:11">
      <c r="A661" s="1">
        <v>22312</v>
      </c>
      <c r="B661" t="s">
        <v>8</v>
      </c>
      <c r="C661" t="s">
        <v>17</v>
      </c>
      <c r="D661" s="1">
        <v>718</v>
      </c>
      <c r="E661" s="1">
        <v>2026</v>
      </c>
      <c r="F661" s="2">
        <v>46142</v>
      </c>
      <c r="G661" s="2">
        <v>46147</v>
      </c>
      <c r="H661" s="2">
        <v>46147</v>
      </c>
      <c r="I661" s="2">
        <f>WORKDAY.INTL(F661,IF(OR(C661="MELHORIA PEQUENA",C661="MELHORIA MÉDIA"),3,1),1,ListaFeriados)</f>
        <v>46146</v>
      </c>
      <c r="J661" s="2">
        <f>WORKDAY.INTL(I661,IF(C661="MELHORIA MÉDIA",20,IF(OR(C661="MELHORIA PEQUENA",C661="BUG NÃO IMPEDITIVO"),5,2)),1,$X:$X)</f>
        <v>46148</v>
      </c>
      <c r="K661" t="str">
        <f>IF(H661&gt;J661,"ATRASO","NO PRAZO")</f>
        <v>NO PRAZO</v>
      </c>
    </row>
    <row r="662" spans="1:11">
      <c r="A662" s="1">
        <v>21491</v>
      </c>
      <c r="B662" t="s">
        <v>12</v>
      </c>
      <c r="C662" t="s">
        <v>17</v>
      </c>
      <c r="D662" s="1">
        <v>2403</v>
      </c>
      <c r="E662" s="1">
        <v>2025</v>
      </c>
      <c r="F662" s="2">
        <v>46000</v>
      </c>
      <c r="G662" s="2">
        <v>46001</v>
      </c>
      <c r="H662" s="2">
        <v>46001</v>
      </c>
      <c r="I662" s="2">
        <f>WORKDAY.INTL(F662,IF(OR(C662="MELHORIA PEQUENA",C662="MELHORIA MÉDIA"),3,1),1,ListaFeriados)</f>
        <v>46001</v>
      </c>
      <c r="J662" s="2">
        <f>WORKDAY.INTL(I662,IF(C662="MELHORIA MÉDIA",20,IF(OR(C662="MELHORIA PEQUENA",C662="BUG NÃO IMPEDITIVO"),5,2)),1,$X:$X)</f>
        <v>46003</v>
      </c>
      <c r="K662" t="str">
        <f>IF(H662&gt;J662,"ATRASO","NO PRAZO")</f>
        <v>NO PRAZO</v>
      </c>
    </row>
    <row r="663" spans="1:11">
      <c r="A663" s="1">
        <v>21072</v>
      </c>
      <c r="B663" t="s">
        <v>12</v>
      </c>
      <c r="C663" t="s">
        <v>17</v>
      </c>
      <c r="D663" s="1">
        <v>1984</v>
      </c>
      <c r="E663" s="1">
        <v>2025</v>
      </c>
      <c r="F663" s="2">
        <v>45931</v>
      </c>
      <c r="G663" s="2">
        <v>45932</v>
      </c>
      <c r="H663" s="2">
        <v>45933</v>
      </c>
      <c r="I663" s="2">
        <f>WORKDAY.INTL(F663,IF(OR(C663="MELHORIA PEQUENA",C663="MELHORIA MÉDIA"),3,1),1,ListaFeriados)</f>
        <v>45932</v>
      </c>
      <c r="J663" s="2">
        <f>WORKDAY.INTL(I663,IF(C663="MELHORIA MÉDIA",20,IF(OR(C663="MELHORIA PEQUENA",C663="BUG NÃO IMPEDITIVO"),5,2)),1,$X:$X)</f>
        <v>45936</v>
      </c>
      <c r="K663" t="str">
        <f>IF(H663&gt;J663,"ATRASO","NO PRAZO")</f>
        <v>NO PRAZO</v>
      </c>
    </row>
    <row r="664" spans="1:11">
      <c r="A664" s="1">
        <v>19958</v>
      </c>
      <c r="B664" t="s">
        <v>9</v>
      </c>
      <c r="C664" t="s">
        <v>17</v>
      </c>
      <c r="D664" s="1">
        <v>870</v>
      </c>
      <c r="E664" s="1">
        <v>2025</v>
      </c>
      <c r="F664" s="2">
        <v>45799</v>
      </c>
      <c r="G664" s="2">
        <v>45803</v>
      </c>
      <c r="H664" s="2">
        <v>45803</v>
      </c>
      <c r="I664" s="2">
        <f>WORKDAY.INTL(F664,IF(OR(C664="MELHORIA PEQUENA",C664="MELHORIA MÉDIA"),3,1),1,ListaFeriados)</f>
        <v>45800</v>
      </c>
      <c r="J664" s="2">
        <f>WORKDAY.INTL(I664,IF(C664="MELHORIA MÉDIA",20,IF(OR(C664="MELHORIA PEQUENA",C664="BUG NÃO IMPEDITIVO"),5,2)),1,$X:$X)</f>
        <v>45804</v>
      </c>
      <c r="K664" t="str">
        <f>IF(H664&gt;J664,"ATRASO","NO PRAZO")</f>
        <v>NO PRAZO</v>
      </c>
    </row>
    <row r="665" spans="1:11">
      <c r="A665" s="1">
        <v>20171</v>
      </c>
      <c r="B665" t="s">
        <v>13</v>
      </c>
      <c r="C665" t="s">
        <v>17</v>
      </c>
      <c r="D665" s="1">
        <v>1083</v>
      </c>
      <c r="E665" s="1">
        <v>2025</v>
      </c>
      <c r="F665" s="2">
        <v>45834</v>
      </c>
      <c r="G665" s="2">
        <v>45835</v>
      </c>
      <c r="H665" s="2">
        <v>45839</v>
      </c>
      <c r="I665" s="2">
        <f>WORKDAY.INTL(F665,IF(OR(C665="MELHORIA PEQUENA",C665="MELHORIA MÉDIA"),3,1),1,ListaFeriados)</f>
        <v>45835</v>
      </c>
      <c r="J665" s="2">
        <f>WORKDAY.INTL(I665,IF(C665="MELHORIA MÉDIA",20,IF(OR(C665="MELHORIA PEQUENA",C665="BUG NÃO IMPEDITIVO"),5,2)),1,$X:$X)</f>
        <v>45839</v>
      </c>
      <c r="K665" t="str">
        <f>IF(H665&gt;J665,"ATRASO","NO PRAZO")</f>
        <v>NO PRAZO</v>
      </c>
    </row>
    <row r="666" spans="1:11">
      <c r="A666" s="1">
        <v>20182</v>
      </c>
      <c r="B666" t="s">
        <v>13</v>
      </c>
      <c r="C666" t="s">
        <v>17</v>
      </c>
      <c r="D666" s="1">
        <v>1094</v>
      </c>
      <c r="E666" s="1">
        <v>2025</v>
      </c>
      <c r="F666" s="2">
        <v>45835</v>
      </c>
      <c r="G666" s="2">
        <v>45838</v>
      </c>
      <c r="H666" s="2">
        <v>45839</v>
      </c>
      <c r="I666" s="2">
        <f>WORKDAY.INTL(F666,IF(OR(C666="MELHORIA PEQUENA",C666="MELHORIA MÉDIA"),3,1),1,ListaFeriados)</f>
        <v>45838</v>
      </c>
      <c r="J666" s="2">
        <f>WORKDAY.INTL(I666,IF(C666="MELHORIA MÉDIA",20,IF(OR(C666="MELHORIA PEQUENA",C666="BUG NÃO IMPEDITIVO"),5,2)),1,$X:$X)</f>
        <v>45840</v>
      </c>
      <c r="K666" t="str">
        <f>IF(H666&gt;J666,"ATRASO","NO PRAZO")</f>
        <v>NO PRAZO</v>
      </c>
    </row>
    <row r="667" spans="1:11">
      <c r="A667" s="1">
        <v>20436</v>
      </c>
      <c r="B667" t="s">
        <v>9</v>
      </c>
      <c r="C667" t="s">
        <v>17</v>
      </c>
      <c r="D667" s="1">
        <v>1348</v>
      </c>
      <c r="E667" s="1">
        <v>2025</v>
      </c>
      <c r="F667" s="2">
        <v>45869</v>
      </c>
      <c r="G667" s="2">
        <v>45873</v>
      </c>
      <c r="H667" s="2">
        <v>45873</v>
      </c>
      <c r="I667" s="2">
        <f>WORKDAY.INTL(F667,IF(OR(C667="MELHORIA PEQUENA",C667="MELHORIA MÉDIA"),3,1),1,ListaFeriados)</f>
        <v>45870</v>
      </c>
      <c r="J667" s="2">
        <f>WORKDAY.INTL(I667,IF(C667="MELHORIA MÉDIA",20,IF(OR(C667="MELHORIA PEQUENA",C667="BUG NÃO IMPEDITIVO"),5,2)),1,$X:$X)</f>
        <v>45874</v>
      </c>
      <c r="K667" t="str">
        <f>IF(H667&gt;J667,"ATRASO","NO PRAZO")</f>
        <v>NO PRAZO</v>
      </c>
    </row>
    <row r="668" spans="1:11">
      <c r="A668" s="1">
        <v>21121</v>
      </c>
      <c r="B668" t="s">
        <v>6</v>
      </c>
      <c r="C668" t="s">
        <v>17</v>
      </c>
      <c r="D668" s="1">
        <v>2033</v>
      </c>
      <c r="E668" s="1">
        <v>2025</v>
      </c>
      <c r="F668" s="2">
        <v>45938</v>
      </c>
      <c r="G668" s="2">
        <v>45940</v>
      </c>
      <c r="H668" s="2">
        <v>45940</v>
      </c>
      <c r="I668" s="2">
        <f>WORKDAY.INTL(F668,IF(OR(C668="MELHORIA PEQUENA",C668="MELHORIA MÉDIA"),3,1),1,ListaFeriados)</f>
        <v>45939</v>
      </c>
      <c r="J668" s="2">
        <f>WORKDAY.INTL(I668,IF(C668="MELHORIA MÉDIA",20,IF(OR(C668="MELHORIA PEQUENA",C668="BUG NÃO IMPEDITIVO"),5,2)),1,$X:$X)</f>
        <v>45943</v>
      </c>
      <c r="K668" t="str">
        <f>IF(H668&gt;J668,"ATRASO","NO PRAZO")</f>
        <v>NO PRAZO</v>
      </c>
    </row>
    <row r="669" spans="1:11">
      <c r="A669" s="1">
        <v>21156</v>
      </c>
      <c r="B669" t="s">
        <v>12</v>
      </c>
      <c r="C669" t="s">
        <v>17</v>
      </c>
      <c r="D669" s="1">
        <v>2068</v>
      </c>
      <c r="E669" s="1">
        <v>2025</v>
      </c>
      <c r="F669" s="2">
        <v>45943</v>
      </c>
      <c r="G669" s="2">
        <v>45944</v>
      </c>
      <c r="H669" s="2">
        <v>45944</v>
      </c>
      <c r="I669" s="2">
        <f>WORKDAY.INTL(F669,IF(OR(C669="MELHORIA PEQUENA",C669="MELHORIA MÉDIA"),3,1),1,ListaFeriados)</f>
        <v>45944</v>
      </c>
      <c r="J669" s="2">
        <f>WORKDAY.INTL(I669,IF(C669="MELHORIA MÉDIA",20,IF(OR(C669="MELHORIA PEQUENA",C669="BUG NÃO IMPEDITIVO"),5,2)),1,$X:$X)</f>
        <v>45947</v>
      </c>
      <c r="K669" t="str">
        <f>IF(H669&gt;J669,"ATRASO","NO PRAZO")</f>
        <v>NO PRAZO</v>
      </c>
    </row>
    <row r="670" spans="1:11">
      <c r="A670" s="1">
        <v>21048</v>
      </c>
      <c r="B670" t="s">
        <v>9</v>
      </c>
      <c r="C670" t="s">
        <v>17</v>
      </c>
      <c r="D670" s="1">
        <v>1960</v>
      </c>
      <c r="E670" s="1">
        <v>2025</v>
      </c>
      <c r="F670" s="2">
        <v>45929</v>
      </c>
      <c r="G670" s="2">
        <v>45931</v>
      </c>
      <c r="H670" s="2">
        <v>45931</v>
      </c>
      <c r="I670" s="2">
        <f>WORKDAY.INTL(F670,IF(OR(C670="MELHORIA PEQUENA",C670="MELHORIA MÉDIA"),3,1),1,ListaFeriados)</f>
        <v>45930</v>
      </c>
      <c r="J670" s="2">
        <f>WORKDAY.INTL(I670,IF(C670="MELHORIA MÉDIA",20,IF(OR(C670="MELHORIA PEQUENA",C670="BUG NÃO IMPEDITIVO"),5,2)),1,$X:$X)</f>
        <v>45932</v>
      </c>
      <c r="K670" t="str">
        <f>IF(H670&gt;J670,"ATRASO","NO PRAZO")</f>
        <v>NO PRAZO</v>
      </c>
    </row>
    <row r="671" spans="1:11">
      <c r="A671" s="1">
        <v>21195</v>
      </c>
      <c r="B671" t="s">
        <v>9</v>
      </c>
      <c r="C671" t="s">
        <v>17</v>
      </c>
      <c r="D671" s="1">
        <v>2107</v>
      </c>
      <c r="E671" s="1">
        <v>2025</v>
      </c>
      <c r="F671" s="2">
        <v>45947</v>
      </c>
      <c r="G671" s="2">
        <v>45950</v>
      </c>
      <c r="H671" s="2">
        <v>45950</v>
      </c>
      <c r="I671" s="2">
        <f>WORKDAY.INTL(F671,IF(OR(C671="MELHORIA PEQUENA",C671="MELHORIA MÉDIA"),3,1),1,ListaFeriados)</f>
        <v>45950</v>
      </c>
      <c r="J671" s="2">
        <f>WORKDAY.INTL(I671,IF(C671="MELHORIA MÉDIA",20,IF(OR(C671="MELHORIA PEQUENA",C671="BUG NÃO IMPEDITIVO"),5,2)),1,$X:$X)</f>
        <v>45952</v>
      </c>
      <c r="K671" t="str">
        <f>IF(H671&gt;J671,"ATRASO","NO PRAZO")</f>
        <v>NO PRAZO</v>
      </c>
    </row>
    <row r="672" spans="1:11">
      <c r="A672" s="1">
        <v>21203</v>
      </c>
      <c r="B672" t="s">
        <v>11</v>
      </c>
      <c r="C672" t="s">
        <v>17</v>
      </c>
      <c r="D672" s="1">
        <v>2115</v>
      </c>
      <c r="E672" s="1">
        <v>2025</v>
      </c>
      <c r="F672" s="2">
        <v>45951</v>
      </c>
      <c r="G672" s="2">
        <v>45952</v>
      </c>
      <c r="H672" s="2">
        <v>45958</v>
      </c>
      <c r="I672" s="2">
        <f>WORKDAY.INTL(F672,IF(OR(C672="MELHORIA PEQUENA",C672="MELHORIA MÉDIA"),3,1),1,ListaFeriados)</f>
        <v>45952</v>
      </c>
      <c r="J672" s="2">
        <f>WORKDAY.INTL(I672,IF(C672="MELHORIA MÉDIA",20,IF(OR(C672="MELHORIA PEQUENA",C672="BUG NÃO IMPEDITIVO"),5,2)),1,$X:$X)</f>
        <v>45954</v>
      </c>
      <c r="K672" t="str">
        <f>IF(H672&gt;J672,"ATRASO","NO PRAZO")</f>
        <v>ATRASO</v>
      </c>
    </row>
    <row r="673" spans="1:11">
      <c r="A673" s="1">
        <v>21063</v>
      </c>
      <c r="B673" t="s">
        <v>12</v>
      </c>
      <c r="C673" t="s">
        <v>17</v>
      </c>
      <c r="D673" s="1">
        <v>1975</v>
      </c>
      <c r="E673" s="1">
        <v>2025</v>
      </c>
      <c r="F673" s="2">
        <v>45930</v>
      </c>
      <c r="G673" s="2">
        <v>45930</v>
      </c>
      <c r="H673" s="2">
        <v>45931</v>
      </c>
      <c r="I673" s="2">
        <f>WORKDAY.INTL(F673,IF(OR(C673="MELHORIA PEQUENA",C673="MELHORIA MÉDIA"),3,1),1,ListaFeriados)</f>
        <v>45931</v>
      </c>
      <c r="J673" s="2">
        <f>WORKDAY.INTL(I673,IF(C673="MELHORIA MÉDIA",20,IF(OR(C673="MELHORIA PEQUENA",C673="BUG NÃO IMPEDITIVO"),5,2)),1,$X:$X)</f>
        <v>45933</v>
      </c>
      <c r="K673" t="str">
        <f>IF(H673&gt;J673,"ATRASO","NO PRAZO")</f>
        <v>NO PRAZO</v>
      </c>
    </row>
    <row r="674" spans="1:11">
      <c r="A674" s="1">
        <v>20015</v>
      </c>
      <c r="B674" t="s">
        <v>9</v>
      </c>
      <c r="C674" t="s">
        <v>17</v>
      </c>
      <c r="D674" s="1">
        <v>927</v>
      </c>
      <c r="E674" s="1">
        <v>2025</v>
      </c>
      <c r="F674" s="2">
        <v>45807</v>
      </c>
      <c r="G674" s="2">
        <v>45810</v>
      </c>
      <c r="H674" s="2">
        <v>45810</v>
      </c>
      <c r="I674" s="2">
        <f>WORKDAY.INTL(F674,IF(OR(C674="MELHORIA PEQUENA",C674="MELHORIA MÉDIA"),3,1),1,ListaFeriados)</f>
        <v>45810</v>
      </c>
      <c r="J674" s="2">
        <f>WORKDAY.INTL(I674,IF(C674="MELHORIA MÉDIA",20,IF(OR(C674="MELHORIA PEQUENA",C674="BUG NÃO IMPEDITIVO"),5,2)),1,$X:$X)</f>
        <v>45812</v>
      </c>
      <c r="K674" t="str">
        <f>IF(H674&gt;J674,"ATRASO","NO PRAZO")</f>
        <v>NO PRAZO</v>
      </c>
    </row>
    <row r="675" spans="1:11">
      <c r="A675" s="1">
        <v>20543</v>
      </c>
      <c r="B675" t="s">
        <v>8</v>
      </c>
      <c r="C675" t="s">
        <v>17</v>
      </c>
      <c r="D675" s="1">
        <v>1455</v>
      </c>
      <c r="E675" s="1">
        <v>2025</v>
      </c>
      <c r="F675" s="2">
        <v>45884</v>
      </c>
      <c r="G675" s="2">
        <v>45887</v>
      </c>
      <c r="H675" s="2">
        <v>45887</v>
      </c>
      <c r="I675" s="2">
        <f>WORKDAY.INTL(F675,IF(OR(C675="MELHORIA PEQUENA",C675="MELHORIA MÉDIA"),3,1),1,ListaFeriados)</f>
        <v>45887</v>
      </c>
      <c r="J675" s="2">
        <f>WORKDAY.INTL(I675,IF(C675="MELHORIA MÉDIA",20,IF(OR(C675="MELHORIA PEQUENA",C675="BUG NÃO IMPEDITIVO"),5,2)),1,$X:$X)</f>
        <v>45889</v>
      </c>
      <c r="K675" t="str">
        <f>IF(H675&gt;J675,"ATRASO","NO PRAZO")</f>
        <v>NO PRAZO</v>
      </c>
    </row>
    <row r="676" spans="1:11">
      <c r="A676" s="1">
        <v>20544</v>
      </c>
      <c r="B676" t="s">
        <v>8</v>
      </c>
      <c r="C676" t="s">
        <v>17</v>
      </c>
      <c r="D676" s="1">
        <v>1456</v>
      </c>
      <c r="E676" s="1">
        <v>2025</v>
      </c>
      <c r="F676" s="2">
        <v>45884</v>
      </c>
      <c r="G676" s="2">
        <v>45887</v>
      </c>
      <c r="H676" s="2">
        <v>45887</v>
      </c>
      <c r="I676" s="2">
        <f>WORKDAY.INTL(F676,IF(OR(C676="MELHORIA PEQUENA",C676="MELHORIA MÉDIA"),3,1),1,ListaFeriados)</f>
        <v>45887</v>
      </c>
      <c r="J676" s="2">
        <f>WORKDAY.INTL(I676,IF(C676="MELHORIA MÉDIA",20,IF(OR(C676="MELHORIA PEQUENA",C676="BUG NÃO IMPEDITIVO"),5,2)),1,$X:$X)</f>
        <v>45889</v>
      </c>
      <c r="K676" t="str">
        <f>IF(H676&gt;J676,"ATRASO","NO PRAZO")</f>
        <v>NO PRAZO</v>
      </c>
    </row>
    <row r="677" spans="1:11">
      <c r="A677" s="1">
        <v>21126</v>
      </c>
      <c r="B677" t="s">
        <v>14</v>
      </c>
      <c r="C677" t="s">
        <v>17</v>
      </c>
      <c r="D677" s="1">
        <v>2038</v>
      </c>
      <c r="E677" s="1">
        <v>2025</v>
      </c>
      <c r="F677" s="2">
        <v>45939</v>
      </c>
      <c r="G677" s="2">
        <v>45940</v>
      </c>
      <c r="H677" s="2">
        <v>45943</v>
      </c>
      <c r="I677" s="2">
        <f>WORKDAY.INTL(F677,IF(OR(C677="MELHORIA PEQUENA",C677="MELHORIA MÉDIA"),3,1),1,ListaFeriados)</f>
        <v>45940</v>
      </c>
      <c r="J677" s="2">
        <f>WORKDAY.INTL(I677,IF(C677="MELHORIA MÉDIA",20,IF(OR(C677="MELHORIA PEQUENA",C677="BUG NÃO IMPEDITIVO"),5,2)),1,$X:$X)</f>
        <v>45944</v>
      </c>
      <c r="K677" t="str">
        <f>IF(H677&gt;J677,"ATRASO","NO PRAZO")</f>
        <v>NO PRAZO</v>
      </c>
    </row>
    <row r="678" spans="1:11">
      <c r="A678" s="1">
        <v>20135</v>
      </c>
      <c r="B678" t="s">
        <v>9</v>
      </c>
      <c r="C678" t="s">
        <v>17</v>
      </c>
      <c r="D678" s="1">
        <v>1047</v>
      </c>
      <c r="E678" s="1">
        <v>2025</v>
      </c>
      <c r="F678" s="2">
        <v>45826</v>
      </c>
      <c r="G678" s="2">
        <v>45832</v>
      </c>
      <c r="H678" s="2">
        <v>45832</v>
      </c>
      <c r="I678" s="2">
        <f>WORKDAY.INTL(F678,IF(OR(C678="MELHORIA PEQUENA",C678="MELHORIA MÉDIA"),3,1),1,ListaFeriados)</f>
        <v>45828</v>
      </c>
      <c r="J678" s="2">
        <f>WORKDAY.INTL(I678,IF(C678="MELHORIA MÉDIA",20,IF(OR(C678="MELHORIA PEQUENA",C678="BUG NÃO IMPEDITIVO"),5,2)),1,$X:$X)</f>
        <v>45832</v>
      </c>
      <c r="K678" t="str">
        <f>IF(H678&gt;J678,"ATRASO","NO PRAZO")</f>
        <v>NO PRAZO</v>
      </c>
    </row>
    <row r="679" spans="1:11">
      <c r="A679" s="1">
        <v>20945</v>
      </c>
      <c r="B679" t="s">
        <v>12</v>
      </c>
      <c r="C679" t="s">
        <v>17</v>
      </c>
      <c r="D679" s="1">
        <v>1857</v>
      </c>
      <c r="E679" s="1">
        <v>2025</v>
      </c>
      <c r="F679" s="2">
        <v>45912</v>
      </c>
      <c r="G679" s="2">
        <v>45912</v>
      </c>
      <c r="H679" s="2">
        <v>45912</v>
      </c>
      <c r="I679" s="2">
        <f>WORKDAY.INTL(F679,IF(OR(C679="MELHORIA PEQUENA",C679="MELHORIA MÉDIA"),3,1),1,ListaFeriados)</f>
        <v>45915</v>
      </c>
      <c r="J679" s="2">
        <f>WORKDAY.INTL(I679,IF(C679="MELHORIA MÉDIA",20,IF(OR(C679="MELHORIA PEQUENA",C679="BUG NÃO IMPEDITIVO"),5,2)),1,$X:$X)</f>
        <v>45917</v>
      </c>
      <c r="K679" t="str">
        <f>IF(H679&gt;J679,"ATRASO","NO PRAZO")</f>
        <v>NO PRAZO</v>
      </c>
    </row>
    <row r="680" spans="1:11">
      <c r="A680" s="1">
        <v>20940</v>
      </c>
      <c r="B680" t="s">
        <v>6</v>
      </c>
      <c r="C680" t="s">
        <v>17</v>
      </c>
      <c r="D680" s="1">
        <v>1852</v>
      </c>
      <c r="E680" s="1">
        <v>2025</v>
      </c>
      <c r="F680" s="2">
        <v>45912</v>
      </c>
      <c r="G680" s="2">
        <v>45915</v>
      </c>
      <c r="H680" s="2">
        <v>45915</v>
      </c>
      <c r="I680" s="2">
        <f>WORKDAY.INTL(F680,IF(OR(C680="MELHORIA PEQUENA",C680="MELHORIA MÉDIA"),3,1),1,ListaFeriados)</f>
        <v>45915</v>
      </c>
      <c r="J680" s="2">
        <f>WORKDAY.INTL(I680,IF(C680="MELHORIA MÉDIA",20,IF(OR(C680="MELHORIA PEQUENA",C680="BUG NÃO IMPEDITIVO"),5,2)),1,$X:$X)</f>
        <v>45917</v>
      </c>
      <c r="K680" t="str">
        <f>IF(H680&gt;J680,"ATRASO","NO PRAZO")</f>
        <v>NO PRAZO</v>
      </c>
    </row>
    <row r="681" spans="1:11">
      <c r="A681" s="1">
        <v>20193</v>
      </c>
      <c r="B681" t="s">
        <v>13</v>
      </c>
      <c r="C681" t="s">
        <v>17</v>
      </c>
      <c r="D681" s="1">
        <v>1105</v>
      </c>
      <c r="E681" s="1">
        <v>2025</v>
      </c>
      <c r="F681" s="2">
        <v>45838</v>
      </c>
      <c r="G681" s="2">
        <v>45838</v>
      </c>
      <c r="H681" s="2">
        <v>45838</v>
      </c>
      <c r="I681" s="2">
        <f>WORKDAY.INTL(F681,IF(OR(C681="MELHORIA PEQUENA",C681="MELHORIA MÉDIA"),3,1),1,ListaFeriados)</f>
        <v>45839</v>
      </c>
      <c r="J681" s="2">
        <f>WORKDAY.INTL(I681,IF(C681="MELHORIA MÉDIA",20,IF(OR(C681="MELHORIA PEQUENA",C681="BUG NÃO IMPEDITIVO"),5,2)),1,$X:$X)</f>
        <v>45841</v>
      </c>
      <c r="K681" t="str">
        <f>IF(H681&gt;J681,"ATRASO","NO PRAZO")</f>
        <v>NO PRAZO</v>
      </c>
    </row>
    <row r="682" spans="1:11">
      <c r="A682" s="1">
        <v>20164</v>
      </c>
      <c r="B682" t="s">
        <v>13</v>
      </c>
      <c r="C682" t="s">
        <v>17</v>
      </c>
      <c r="D682" s="1">
        <v>1076</v>
      </c>
      <c r="E682" s="1">
        <v>2025</v>
      </c>
      <c r="F682" s="2">
        <v>45833</v>
      </c>
      <c r="G682" s="2">
        <v>45835</v>
      </c>
      <c r="H682" s="2">
        <v>45839</v>
      </c>
      <c r="I682" s="2">
        <f>WORKDAY.INTL(F682,IF(OR(C682="MELHORIA PEQUENA",C682="MELHORIA MÉDIA"),3,1),1,ListaFeriados)</f>
        <v>45834</v>
      </c>
      <c r="J682" s="2">
        <f>WORKDAY.INTL(I682,IF(C682="MELHORIA MÉDIA",20,IF(OR(C682="MELHORIA PEQUENA",C682="BUG NÃO IMPEDITIVO"),5,2)),1,$X:$X)</f>
        <v>45838</v>
      </c>
      <c r="K682" t="str">
        <f>IF(H682&gt;J682,"ATRASO","NO PRAZO")</f>
        <v>ATRASO</v>
      </c>
    </row>
    <row r="683" spans="1:11">
      <c r="A683" s="1">
        <v>21953</v>
      </c>
      <c r="B683" t="s">
        <v>8</v>
      </c>
      <c r="C683" t="s">
        <v>17</v>
      </c>
      <c r="D683" s="1">
        <v>359</v>
      </c>
      <c r="E683" s="1">
        <v>2026</v>
      </c>
      <c r="F683" s="2">
        <v>46090</v>
      </c>
      <c r="G683" s="2">
        <v>46092</v>
      </c>
      <c r="H683" s="2">
        <v>46092</v>
      </c>
      <c r="I683" s="2">
        <f>WORKDAY.INTL(F683,IF(OR(C683="MELHORIA PEQUENA",C683="MELHORIA MÉDIA"),3,1),1,ListaFeriados)</f>
        <v>46091</v>
      </c>
      <c r="J683" s="2">
        <f>WORKDAY.INTL(I683,IF(C683="MELHORIA MÉDIA",20,IF(OR(C683="MELHORIA PEQUENA",C683="BUG NÃO IMPEDITIVO"),5,2)),1,$X:$X)</f>
        <v>46093</v>
      </c>
      <c r="K683" t="str">
        <f>IF(H683&gt;J683,"ATRASO","NO PRAZO")</f>
        <v>NO PRAZO</v>
      </c>
    </row>
    <row r="684" spans="1:11">
      <c r="A684" s="1">
        <v>21311</v>
      </c>
      <c r="B684" t="s">
        <v>12</v>
      </c>
      <c r="C684" t="s">
        <v>17</v>
      </c>
      <c r="D684" s="1">
        <v>2223</v>
      </c>
      <c r="E684" s="1">
        <v>2025</v>
      </c>
      <c r="F684" s="2">
        <v>45968</v>
      </c>
      <c r="G684" s="2">
        <v>45971</v>
      </c>
      <c r="H684" s="2">
        <v>45971</v>
      </c>
      <c r="I684" s="2">
        <f>WORKDAY.INTL(F684,IF(OR(C684="MELHORIA PEQUENA",C684="MELHORIA MÉDIA"),3,1),1,ListaFeriados)</f>
        <v>45971</v>
      </c>
      <c r="J684" s="2">
        <f>WORKDAY.INTL(I684,IF(C684="MELHORIA MÉDIA",20,IF(OR(C684="MELHORIA PEQUENA",C684="BUG NÃO IMPEDITIVO"),5,2)),1,$X:$X)</f>
        <v>45973</v>
      </c>
      <c r="K684" t="str">
        <f>IF(H684&gt;J684,"ATRASO","NO PRAZO")</f>
        <v>NO PRAZO</v>
      </c>
    </row>
    <row r="685" spans="1:11">
      <c r="A685" s="1">
        <v>21862</v>
      </c>
      <c r="B685" t="s">
        <v>6</v>
      </c>
      <c r="C685" t="s">
        <v>17</v>
      </c>
      <c r="D685" s="1">
        <v>268</v>
      </c>
      <c r="E685" s="1">
        <v>2026</v>
      </c>
      <c r="F685" s="2">
        <v>46077</v>
      </c>
      <c r="G685" s="2">
        <v>46078</v>
      </c>
      <c r="H685" s="2">
        <v>46083</v>
      </c>
      <c r="I685" s="2">
        <f>WORKDAY.INTL(F685,IF(OR(C685="MELHORIA PEQUENA",C685="MELHORIA MÉDIA"),3,1),1,ListaFeriados)</f>
        <v>46078</v>
      </c>
      <c r="J685" s="2">
        <f>WORKDAY.INTL(I685,IF(C685="MELHORIA MÉDIA",20,IF(OR(C685="MELHORIA PEQUENA",C685="BUG NÃO IMPEDITIVO"),5,2)),1,$X:$X)</f>
        <v>46080</v>
      </c>
      <c r="K685" t="str">
        <f>IF(H685&gt;J685,"ATRASO","NO PRAZO")</f>
        <v>ATRASO</v>
      </c>
    </row>
    <row r="686" spans="1:11">
      <c r="A686" s="1">
        <v>21379</v>
      </c>
      <c r="B686" t="s">
        <v>6</v>
      </c>
      <c r="C686" t="s">
        <v>17</v>
      </c>
      <c r="D686" s="1">
        <v>2291</v>
      </c>
      <c r="E686" s="1">
        <v>2025</v>
      </c>
      <c r="F686" s="2">
        <v>45980</v>
      </c>
      <c r="G686" s="2">
        <v>45980</v>
      </c>
      <c r="H686" s="2">
        <v>45982</v>
      </c>
      <c r="I686" s="2">
        <f>WORKDAY.INTL(F686,IF(OR(C686="MELHORIA PEQUENA",C686="MELHORIA MÉDIA"),3,1),1,ListaFeriados)</f>
        <v>45982</v>
      </c>
      <c r="J686" s="2">
        <f>WORKDAY.INTL(I686,IF(C686="MELHORIA MÉDIA",20,IF(OR(C686="MELHORIA PEQUENA",C686="BUG NÃO IMPEDITIVO"),5,2)),1,$X:$X)</f>
        <v>45986</v>
      </c>
      <c r="K686" t="str">
        <f>IF(H686&gt;J686,"ATRASO","NO PRAZO")</f>
        <v>NO PRAZO</v>
      </c>
    </row>
    <row r="687" spans="1:11">
      <c r="A687" s="1">
        <v>21810</v>
      </c>
      <c r="B687" t="s">
        <v>10</v>
      </c>
      <c r="C687" t="s">
        <v>17</v>
      </c>
      <c r="D687" s="1">
        <v>216</v>
      </c>
      <c r="E687" s="1">
        <v>2026</v>
      </c>
      <c r="F687" s="2">
        <v>46064</v>
      </c>
      <c r="G687" s="2">
        <v>46065</v>
      </c>
      <c r="H687" s="2">
        <v>46079</v>
      </c>
      <c r="I687" s="2">
        <f>WORKDAY.INTL(F687,IF(OR(C687="MELHORIA PEQUENA",C687="MELHORIA MÉDIA"),3,1),1,ListaFeriados)</f>
        <v>46065</v>
      </c>
      <c r="J687" s="2">
        <f>WORKDAY.INTL(I687,IF(C687="MELHORIA MÉDIA",20,IF(OR(C687="MELHORIA PEQUENA",C687="BUG NÃO IMPEDITIVO"),5,2)),1,$X:$X)</f>
        <v>46071</v>
      </c>
      <c r="K687" t="str">
        <f>IF(H687&gt;J687,"ATRASO","NO PRAZO")</f>
        <v>ATRASO</v>
      </c>
    </row>
    <row r="688" spans="1:11">
      <c r="A688" s="1">
        <v>21936</v>
      </c>
      <c r="B688" t="s">
        <v>13</v>
      </c>
      <c r="C688" t="s">
        <v>17</v>
      </c>
      <c r="D688" s="1">
        <v>342</v>
      </c>
      <c r="E688" s="1">
        <v>2026</v>
      </c>
      <c r="F688" s="2">
        <v>46087</v>
      </c>
      <c r="G688" s="2">
        <v>46087</v>
      </c>
      <c r="H688" s="2">
        <v>46087</v>
      </c>
      <c r="I688" s="2">
        <f>WORKDAY.INTL(F688,IF(OR(C688="MELHORIA PEQUENA",C688="MELHORIA MÉDIA"),3,1),1,ListaFeriados)</f>
        <v>46090</v>
      </c>
      <c r="J688" s="2">
        <f>WORKDAY.INTL(I688,IF(C688="MELHORIA MÉDIA",20,IF(OR(C688="MELHORIA PEQUENA",C688="BUG NÃO IMPEDITIVO"),5,2)),1,$X:$X)</f>
        <v>46092</v>
      </c>
      <c r="K688" t="str">
        <f>IF(H688&gt;J688,"ATRASO","NO PRAZO")</f>
        <v>NO PRAZO</v>
      </c>
    </row>
    <row r="689" spans="1:11">
      <c r="A689" s="1">
        <v>21914</v>
      </c>
      <c r="B689" t="s">
        <v>10</v>
      </c>
      <c r="C689" t="s">
        <v>17</v>
      </c>
      <c r="D689" s="1">
        <v>320</v>
      </c>
      <c r="E689" s="1">
        <v>2026</v>
      </c>
      <c r="F689" s="2">
        <v>46084</v>
      </c>
      <c r="G689" s="2">
        <v>46085</v>
      </c>
      <c r="H689" s="2">
        <v>46085</v>
      </c>
      <c r="I689" s="2">
        <f>WORKDAY.INTL(F689,IF(OR(C689="MELHORIA PEQUENA",C689="MELHORIA MÉDIA"),3,1),1,ListaFeriados)</f>
        <v>46085</v>
      </c>
      <c r="J689" s="2">
        <f>WORKDAY.INTL(I689,IF(C689="MELHORIA MÉDIA",20,IF(OR(C689="MELHORIA PEQUENA",C689="BUG NÃO IMPEDITIVO"),5,2)),1,$X:$X)</f>
        <v>46087</v>
      </c>
      <c r="K689" t="str">
        <f>IF(H689&gt;J689,"ATRASO","NO PRAZO")</f>
        <v>NO PRAZO</v>
      </c>
    </row>
    <row r="690" spans="1:11">
      <c r="A690" s="1">
        <v>21916</v>
      </c>
      <c r="B690" t="s">
        <v>10</v>
      </c>
      <c r="C690" t="s">
        <v>17</v>
      </c>
      <c r="D690" s="1">
        <v>322</v>
      </c>
      <c r="E690" s="1">
        <v>2026</v>
      </c>
      <c r="F690" s="2">
        <v>46084</v>
      </c>
      <c r="G690" s="2">
        <v>46085</v>
      </c>
      <c r="H690" s="2">
        <v>46085</v>
      </c>
      <c r="I690" s="2">
        <f>WORKDAY.INTL(F690,IF(OR(C690="MELHORIA PEQUENA",C690="MELHORIA MÉDIA"),3,1),1,ListaFeriados)</f>
        <v>46085</v>
      </c>
      <c r="J690" s="2">
        <f>WORKDAY.INTL(I690,IF(C690="MELHORIA MÉDIA",20,IF(OR(C690="MELHORIA PEQUENA",C690="BUG NÃO IMPEDITIVO"),5,2)),1,$X:$X)</f>
        <v>46087</v>
      </c>
      <c r="K690" t="str">
        <f>IF(H690&gt;J690,"ATRASO","NO PRAZO")</f>
        <v>NO PRAZO</v>
      </c>
    </row>
    <row r="691" spans="1:11">
      <c r="A691" s="1">
        <v>18517</v>
      </c>
      <c r="B691" t="s">
        <v>6</v>
      </c>
      <c r="C691" t="s">
        <v>17</v>
      </c>
      <c r="D691" s="1">
        <v>2704</v>
      </c>
      <c r="E691" s="1">
        <v>2024</v>
      </c>
      <c r="F691" s="2">
        <v>45552</v>
      </c>
      <c r="G691" s="2">
        <v>45552</v>
      </c>
      <c r="H691" s="2">
        <v>45553</v>
      </c>
      <c r="I691" s="2">
        <f>WORKDAY.INTL(F691,IF(OR(C691="MELHORIA PEQUENA",C691="MELHORIA MÉDIA"),3,1),1,ListaFeriados)</f>
        <v>45553</v>
      </c>
      <c r="J691" s="2">
        <f>WORKDAY.INTL(I691,IF(C691="MELHORIA MÉDIA",20,IF(OR(C691="MELHORIA PEQUENA",C691="BUG NÃO IMPEDITIVO"),5,2)),1,$X:$X)</f>
        <v>45555</v>
      </c>
      <c r="K691" t="str">
        <f>IF(H691&gt;J691,"ATRASO","NO PRAZO")</f>
        <v>NO PRAZO</v>
      </c>
    </row>
    <row r="692" spans="1:11">
      <c r="A692" s="1">
        <v>19232</v>
      </c>
      <c r="B692" t="s">
        <v>13</v>
      </c>
      <c r="C692" t="s">
        <v>17</v>
      </c>
      <c r="D692" s="1">
        <v>144</v>
      </c>
      <c r="E692" s="1">
        <v>2025</v>
      </c>
      <c r="F692" s="2">
        <v>45681</v>
      </c>
      <c r="G692" s="2">
        <v>45684</v>
      </c>
      <c r="H692" s="2">
        <v>45685</v>
      </c>
      <c r="I692" s="2">
        <f>WORKDAY.INTL(F692,IF(OR(C692="MELHORIA PEQUENA",C692="MELHORIA MÉDIA"),3,1),1,ListaFeriados)</f>
        <v>45684</v>
      </c>
      <c r="J692" s="2">
        <f>WORKDAY.INTL(I692,IF(C692="MELHORIA MÉDIA",20,IF(OR(C692="MELHORIA PEQUENA",C692="BUG NÃO IMPEDITIVO"),5,2)),1,$X:$X)</f>
        <v>45686</v>
      </c>
      <c r="K692" t="str">
        <f>IF(H692&gt;J692,"ATRASO","NO PRAZO")</f>
        <v>NO PRAZO</v>
      </c>
    </row>
    <row r="693" spans="1:11">
      <c r="A693" s="1">
        <v>19313</v>
      </c>
      <c r="B693" t="s">
        <v>9</v>
      </c>
      <c r="C693" t="s">
        <v>17</v>
      </c>
      <c r="D693" s="1">
        <v>225</v>
      </c>
      <c r="E693" s="1">
        <v>2025</v>
      </c>
      <c r="F693" s="2">
        <v>45694</v>
      </c>
      <c r="G693" s="2">
        <v>45695</v>
      </c>
      <c r="H693" s="2">
        <v>45698</v>
      </c>
      <c r="I693" s="2">
        <f>WORKDAY.INTL(F693,IF(OR(C693="MELHORIA PEQUENA",C693="MELHORIA MÉDIA"),3,1),1,ListaFeriados)</f>
        <v>45695</v>
      </c>
      <c r="J693" s="2">
        <f>WORKDAY.INTL(I693,IF(C693="MELHORIA MÉDIA",20,IF(OR(C693="MELHORIA PEQUENA",C693="BUG NÃO IMPEDITIVO"),5,2)),1,$X:$X)</f>
        <v>45699</v>
      </c>
      <c r="K693" t="str">
        <f>IF(H693&gt;J693,"ATRASO","NO PRAZO")</f>
        <v>NO PRAZO</v>
      </c>
    </row>
    <row r="694" spans="1:11">
      <c r="A694" s="1">
        <v>19174</v>
      </c>
      <c r="B694" t="s">
        <v>6</v>
      </c>
      <c r="C694" t="s">
        <v>17</v>
      </c>
      <c r="D694" s="1">
        <v>86</v>
      </c>
      <c r="E694" s="1">
        <v>2025</v>
      </c>
      <c r="F694" s="2">
        <v>45673</v>
      </c>
      <c r="G694" s="2">
        <v>45678</v>
      </c>
      <c r="H694" s="2">
        <v>45678</v>
      </c>
      <c r="I694" s="2">
        <f>WORKDAY.INTL(F694,IF(OR(C694="MELHORIA PEQUENA",C694="MELHORIA MÉDIA"),3,1),1,ListaFeriados)</f>
        <v>45674</v>
      </c>
      <c r="J694" s="2">
        <f>WORKDAY.INTL(I694,IF(C694="MELHORIA MÉDIA",20,IF(OR(C694="MELHORIA PEQUENA",C694="BUG NÃO IMPEDITIVO"),5,2)),1,$X:$X)</f>
        <v>45679</v>
      </c>
      <c r="K694" t="str">
        <f>IF(H694&gt;J694,"ATRASO","NO PRAZO")</f>
        <v>NO PRAZO</v>
      </c>
    </row>
    <row r="695" spans="1:11">
      <c r="A695" s="1">
        <v>19309</v>
      </c>
      <c r="B695" t="s">
        <v>8</v>
      </c>
      <c r="C695" t="s">
        <v>17</v>
      </c>
      <c r="D695" s="1">
        <v>221</v>
      </c>
      <c r="E695" s="1">
        <v>2025</v>
      </c>
      <c r="F695" s="2">
        <v>45693</v>
      </c>
      <c r="G695" s="2">
        <v>45694</v>
      </c>
      <c r="H695" s="2">
        <v>45695</v>
      </c>
      <c r="I695" s="2">
        <f>WORKDAY.INTL(F695,IF(OR(C695="MELHORIA PEQUENA",C695="MELHORIA MÉDIA"),3,1),1,ListaFeriados)</f>
        <v>45694</v>
      </c>
      <c r="J695" s="2">
        <f>WORKDAY.INTL(I695,IF(C695="MELHORIA MÉDIA",20,IF(OR(C695="MELHORIA PEQUENA",C695="BUG NÃO IMPEDITIVO"),5,2)),1,$X:$X)</f>
        <v>45698</v>
      </c>
      <c r="K695" t="str">
        <f>IF(H695&gt;J695,"ATRASO","NO PRAZO")</f>
        <v>NO PRAZO</v>
      </c>
    </row>
    <row r="696" spans="1:11">
      <c r="A696" s="1">
        <v>19498</v>
      </c>
      <c r="B696" t="s">
        <v>8</v>
      </c>
      <c r="C696" t="s">
        <v>17</v>
      </c>
      <c r="D696" s="1">
        <v>410</v>
      </c>
      <c r="E696" s="1">
        <v>2025</v>
      </c>
      <c r="F696" s="2">
        <v>45728</v>
      </c>
      <c r="G696" s="2">
        <v>45729</v>
      </c>
      <c r="H696" s="2">
        <v>45729</v>
      </c>
      <c r="I696" s="2">
        <f>WORKDAY.INTL(F696,IF(OR(C696="MELHORIA PEQUENA",C696="MELHORIA MÉDIA"),3,1),1,ListaFeriados)</f>
        <v>45729</v>
      </c>
      <c r="J696" s="2">
        <f>WORKDAY.INTL(I696,IF(C696="MELHORIA MÉDIA",20,IF(OR(C696="MELHORIA PEQUENA",C696="BUG NÃO IMPEDITIVO"),5,2)),1,$X:$X)</f>
        <v>45733</v>
      </c>
      <c r="K696" t="str">
        <f>IF(H696&gt;J696,"ATRASO","NO PRAZO")</f>
        <v>NO PRAZO</v>
      </c>
    </row>
    <row r="697" spans="1:11">
      <c r="A697" s="1">
        <v>19823</v>
      </c>
      <c r="B697" t="s">
        <v>14</v>
      </c>
      <c r="C697" t="s">
        <v>17</v>
      </c>
      <c r="D697" s="1">
        <v>735</v>
      </c>
      <c r="E697" s="1">
        <v>2025</v>
      </c>
      <c r="F697" s="2">
        <v>45777</v>
      </c>
      <c r="G697" s="2">
        <v>45782</v>
      </c>
      <c r="H697" s="2">
        <v>45783</v>
      </c>
      <c r="I697" s="2">
        <f>WORKDAY.INTL(F697,IF(OR(C697="MELHORIA PEQUENA",C697="MELHORIA MÉDIA"),3,1),1,ListaFeriados)</f>
        <v>45779</v>
      </c>
      <c r="J697" s="2">
        <f>WORKDAY.INTL(I697,IF(C697="MELHORIA MÉDIA",20,IF(OR(C697="MELHORIA PEQUENA",C697="BUG NÃO IMPEDITIVO"),5,2)),1,$X:$X)</f>
        <v>45783</v>
      </c>
      <c r="K697" t="str">
        <f>IF(H697&gt;J697,"ATRASO","NO PRAZO")</f>
        <v>NO PRAZO</v>
      </c>
    </row>
    <row r="698" spans="1:11">
      <c r="A698" s="1">
        <v>19499</v>
      </c>
      <c r="B698" t="s">
        <v>6</v>
      </c>
      <c r="C698" t="s">
        <v>17</v>
      </c>
      <c r="D698" s="1">
        <v>411</v>
      </c>
      <c r="E698" s="1">
        <v>2025</v>
      </c>
      <c r="F698" s="2">
        <v>45729</v>
      </c>
      <c r="G698" s="2">
        <v>45730</v>
      </c>
      <c r="H698" s="2">
        <v>45733</v>
      </c>
      <c r="I698" s="2">
        <f>WORKDAY.INTL(F698,IF(OR(C698="MELHORIA PEQUENA",C698="MELHORIA MÉDIA"),3,1),1,ListaFeriados)</f>
        <v>45730</v>
      </c>
      <c r="J698" s="2">
        <f>WORKDAY.INTL(I698,IF(C698="MELHORIA MÉDIA",20,IF(OR(C698="MELHORIA PEQUENA",C698="BUG NÃO IMPEDITIVO"),5,2)),1,$X:$X)</f>
        <v>45734</v>
      </c>
      <c r="K698" t="str">
        <f>IF(H698&gt;J698,"ATRASO","NO PRAZO")</f>
        <v>NO PRAZO</v>
      </c>
    </row>
    <row r="699" spans="1:11">
      <c r="A699" s="1">
        <v>18852</v>
      </c>
      <c r="B699" t="s">
        <v>6</v>
      </c>
      <c r="C699" t="s">
        <v>17</v>
      </c>
      <c r="D699" s="1">
        <v>3039</v>
      </c>
      <c r="E699" s="1">
        <v>2024</v>
      </c>
      <c r="F699" s="2">
        <v>45609</v>
      </c>
      <c r="G699" s="2">
        <v>45610</v>
      </c>
      <c r="H699" s="2">
        <v>45610</v>
      </c>
      <c r="I699" s="2">
        <f>WORKDAY.INTL(F699,IF(OR(C699="MELHORIA PEQUENA",C699="MELHORIA MÉDIA"),3,1),1,ListaFeriados)</f>
        <v>45610</v>
      </c>
      <c r="J699" s="2">
        <f>WORKDAY.INTL(I699,IF(C699="MELHORIA MÉDIA",20,IF(OR(C699="MELHORIA PEQUENA",C699="BUG NÃO IMPEDITIVO"),5,2)),1,$X:$X)</f>
        <v>45615</v>
      </c>
      <c r="K699" t="str">
        <f>IF(H699&gt;J699,"ATRASO","NO PRAZO")</f>
        <v>NO PRAZO</v>
      </c>
    </row>
    <row r="700" spans="1:11">
      <c r="A700" s="1">
        <v>18945</v>
      </c>
      <c r="B700" t="s">
        <v>9</v>
      </c>
      <c r="C700" t="s">
        <v>17</v>
      </c>
      <c r="D700" s="1">
        <v>3132</v>
      </c>
      <c r="E700" s="1">
        <v>2024</v>
      </c>
      <c r="F700" s="2">
        <v>45630</v>
      </c>
      <c r="G700" s="2">
        <v>45631</v>
      </c>
      <c r="H700" s="2">
        <v>45632</v>
      </c>
      <c r="I700" s="2">
        <f>WORKDAY.INTL(F700,IF(OR(C700="MELHORIA PEQUENA",C700="MELHORIA MÉDIA"),3,1),1,ListaFeriados)</f>
        <v>45631</v>
      </c>
      <c r="J700" s="2">
        <f>WORKDAY.INTL(I700,IF(C700="MELHORIA MÉDIA",20,IF(OR(C700="MELHORIA PEQUENA",C700="BUG NÃO IMPEDITIVO"),5,2)),1,$X:$X)</f>
        <v>45635</v>
      </c>
      <c r="K700" t="str">
        <f>IF(H700&gt;J700,"ATRASO","NO PRAZO")</f>
        <v>NO PRAZO</v>
      </c>
    </row>
    <row r="701" spans="1:11">
      <c r="A701" s="1">
        <v>19489</v>
      </c>
      <c r="B701" t="s">
        <v>8</v>
      </c>
      <c r="C701" t="s">
        <v>17</v>
      </c>
      <c r="D701" s="1">
        <v>401</v>
      </c>
      <c r="E701" s="1">
        <v>2025</v>
      </c>
      <c r="F701" s="2">
        <v>45727</v>
      </c>
      <c r="G701" s="2">
        <v>45729</v>
      </c>
      <c r="H701" s="2">
        <v>45729</v>
      </c>
      <c r="I701" s="2">
        <f>WORKDAY.INTL(F701,IF(OR(C701="MELHORIA PEQUENA",C701="MELHORIA MÉDIA"),3,1),1,ListaFeriados)</f>
        <v>45728</v>
      </c>
      <c r="J701" s="2">
        <f>WORKDAY.INTL(I701,IF(C701="MELHORIA MÉDIA",20,IF(OR(C701="MELHORIA PEQUENA",C701="BUG NÃO IMPEDITIVO"),5,2)),1,$X:$X)</f>
        <v>45730</v>
      </c>
      <c r="K701" t="str">
        <f>IF(H701&gt;J701,"ATRASO","NO PRAZO")</f>
        <v>NO PRAZO</v>
      </c>
    </row>
    <row r="702" spans="1:11">
      <c r="A702" s="1">
        <v>19053</v>
      </c>
      <c r="B702" t="s">
        <v>9</v>
      </c>
      <c r="C702" t="s">
        <v>17</v>
      </c>
      <c r="D702" s="1">
        <v>3240</v>
      </c>
      <c r="E702" s="1">
        <v>2024</v>
      </c>
      <c r="F702" s="2">
        <v>45645</v>
      </c>
      <c r="G702" s="2">
        <v>45646</v>
      </c>
      <c r="H702" s="2">
        <v>45673</v>
      </c>
      <c r="I702" s="2">
        <f>WORKDAY.INTL(F702,IF(OR(C702="MELHORIA PEQUENA",C702="MELHORIA MÉDIA"),3,1),1,ListaFeriados)</f>
        <v>45646</v>
      </c>
      <c r="J702" s="2">
        <f>WORKDAY.INTL(I702,IF(C702="MELHORIA MÉDIA",20,IF(OR(C702="MELHORIA PEQUENA",C702="BUG NÃO IMPEDITIVO"),5,2)),1,$X:$X)</f>
        <v>45650</v>
      </c>
      <c r="K702" t="str">
        <f>IF(H702&gt;J702,"ATRASO","NO PRAZO")</f>
        <v>ATRASO</v>
      </c>
    </row>
    <row r="703" spans="1:11">
      <c r="A703" s="1">
        <v>19822</v>
      </c>
      <c r="B703" t="s">
        <v>14</v>
      </c>
      <c r="C703" t="s">
        <v>17</v>
      </c>
      <c r="D703" s="1">
        <v>734</v>
      </c>
      <c r="E703" s="1">
        <v>2025</v>
      </c>
      <c r="F703" s="2">
        <v>45777</v>
      </c>
      <c r="G703" s="2">
        <v>45782</v>
      </c>
      <c r="H703" s="2">
        <v>45783</v>
      </c>
      <c r="I703" s="2">
        <f>WORKDAY.INTL(F703,IF(OR(C703="MELHORIA PEQUENA",C703="MELHORIA MÉDIA"),3,1),1,ListaFeriados)</f>
        <v>45779</v>
      </c>
      <c r="J703" s="2">
        <f>WORKDAY.INTL(I703,IF(C703="MELHORIA MÉDIA",20,IF(OR(C703="MELHORIA PEQUENA",C703="BUG NÃO IMPEDITIVO"),5,2)),1,$X:$X)</f>
        <v>45783</v>
      </c>
      <c r="K703" t="str">
        <f>IF(H703&gt;J703,"ATRASO","NO PRAZO")</f>
        <v>NO PRAZO</v>
      </c>
    </row>
    <row r="704" spans="1:11">
      <c r="A704" s="1">
        <v>19847</v>
      </c>
      <c r="B704" t="s">
        <v>14</v>
      </c>
      <c r="C704" t="s">
        <v>17</v>
      </c>
      <c r="D704" s="1">
        <v>759</v>
      </c>
      <c r="E704" s="1">
        <v>2025</v>
      </c>
      <c r="F704" s="2">
        <v>45783</v>
      </c>
      <c r="G704" s="2">
        <v>45784</v>
      </c>
      <c r="H704" s="2">
        <v>45785</v>
      </c>
      <c r="I704" s="2">
        <f>WORKDAY.INTL(F704,IF(OR(C704="MELHORIA PEQUENA",C704="MELHORIA MÉDIA"),3,1),1,ListaFeriados)</f>
        <v>45784</v>
      </c>
      <c r="J704" s="2">
        <f>WORKDAY.INTL(I704,IF(C704="MELHORIA MÉDIA",20,IF(OR(C704="MELHORIA PEQUENA",C704="BUG NÃO IMPEDITIVO"),5,2)),1,$X:$X)</f>
        <v>45786</v>
      </c>
      <c r="K704" t="str">
        <f>IF(H704&gt;J704,"ATRASO","NO PRAZO")</f>
        <v>NO PRAZO</v>
      </c>
    </row>
    <row r="705" spans="1:11">
      <c r="A705" s="1">
        <v>19821</v>
      </c>
      <c r="B705" t="s">
        <v>14</v>
      </c>
      <c r="C705" t="s">
        <v>17</v>
      </c>
      <c r="D705" s="1">
        <v>733</v>
      </c>
      <c r="E705" s="1">
        <v>2025</v>
      </c>
      <c r="F705" s="2">
        <v>45777</v>
      </c>
      <c r="G705" s="2">
        <v>45782</v>
      </c>
      <c r="H705" s="2">
        <v>45783</v>
      </c>
      <c r="I705" s="2">
        <f>WORKDAY.INTL(F705,IF(OR(C705="MELHORIA PEQUENA",C705="MELHORIA MÉDIA"),3,1),1,ListaFeriados)</f>
        <v>45779</v>
      </c>
      <c r="J705" s="2">
        <f>WORKDAY.INTL(I705,IF(C705="MELHORIA MÉDIA",20,IF(OR(C705="MELHORIA PEQUENA",C705="BUG NÃO IMPEDITIVO"),5,2)),1,$X:$X)</f>
        <v>45783</v>
      </c>
      <c r="K705" t="str">
        <f>IF(H705&gt;J705,"ATRASO","NO PRAZO")</f>
        <v>NO PRAZO</v>
      </c>
    </row>
    <row r="706" spans="1:11">
      <c r="A706" s="1">
        <v>18981</v>
      </c>
      <c r="B706" t="s">
        <v>14</v>
      </c>
      <c r="C706" t="s">
        <v>17</v>
      </c>
      <c r="D706" s="1">
        <v>3168</v>
      </c>
      <c r="E706" s="1">
        <v>2024</v>
      </c>
      <c r="F706" s="2">
        <v>45635</v>
      </c>
      <c r="G706" s="2">
        <v>45636</v>
      </c>
      <c r="H706" s="2">
        <v>45637</v>
      </c>
      <c r="I706" s="2">
        <f>WORKDAY.INTL(F706,IF(OR(C706="MELHORIA PEQUENA",C706="MELHORIA MÉDIA"),3,1),1,ListaFeriados)</f>
        <v>45636</v>
      </c>
      <c r="J706" s="2">
        <f>WORKDAY.INTL(I706,IF(C706="MELHORIA MÉDIA",20,IF(OR(C706="MELHORIA PEQUENA",C706="BUG NÃO IMPEDITIVO"),5,2)),1,$X:$X)</f>
        <v>45638</v>
      </c>
      <c r="K706" t="str">
        <f>IF(H706&gt;J706,"ATRASO","NO PRAZO")</f>
        <v>NO PRAZO</v>
      </c>
    </row>
    <row r="707" spans="1:11">
      <c r="A707" s="1">
        <v>18888</v>
      </c>
      <c r="B707" t="s">
        <v>9</v>
      </c>
      <c r="C707" t="s">
        <v>17</v>
      </c>
      <c r="D707" s="1">
        <v>3075</v>
      </c>
      <c r="E707" s="1">
        <v>2024</v>
      </c>
      <c r="F707" s="2">
        <v>45618</v>
      </c>
      <c r="G707" s="2">
        <v>45621</v>
      </c>
      <c r="H707" s="2">
        <v>45622</v>
      </c>
      <c r="I707" s="2">
        <f>WORKDAY.INTL(F707,IF(OR(C707="MELHORIA PEQUENA",C707="MELHORIA MÉDIA"),3,1),1,ListaFeriados)</f>
        <v>45621</v>
      </c>
      <c r="J707" s="2">
        <f>WORKDAY.INTL(I707,IF(C707="MELHORIA MÉDIA",20,IF(OR(C707="MELHORIA PEQUENA",C707="BUG NÃO IMPEDITIVO"),5,2)),1,$X:$X)</f>
        <v>45623</v>
      </c>
      <c r="K707" t="str">
        <f>IF(H707&gt;J707,"ATRASO","NO PRAZO")</f>
        <v>NO PRAZO</v>
      </c>
    </row>
    <row r="708" spans="1:11">
      <c r="A708" s="1">
        <v>19550</v>
      </c>
      <c r="B708" t="s">
        <v>6</v>
      </c>
      <c r="C708" t="s">
        <v>17</v>
      </c>
      <c r="D708" s="1">
        <v>462</v>
      </c>
      <c r="E708" s="1">
        <v>2025</v>
      </c>
      <c r="F708" s="2">
        <v>45734</v>
      </c>
      <c r="G708" s="2">
        <v>45735</v>
      </c>
      <c r="H708" s="2">
        <v>45736</v>
      </c>
      <c r="I708" s="2">
        <f>WORKDAY.INTL(F708,IF(OR(C708="MELHORIA PEQUENA",C708="MELHORIA MÉDIA"),3,1),1,ListaFeriados)</f>
        <v>45735</v>
      </c>
      <c r="J708" s="2">
        <f>WORKDAY.INTL(I708,IF(C708="MELHORIA MÉDIA",20,IF(OR(C708="MELHORIA PEQUENA",C708="BUG NÃO IMPEDITIVO"),5,2)),1,$X:$X)</f>
        <v>45737</v>
      </c>
      <c r="K708" t="str">
        <f>IF(H708&gt;J708,"ATRASO","NO PRAZO")</f>
        <v>NO PRAZO</v>
      </c>
    </row>
    <row r="709" spans="1:11">
      <c r="A709" s="1">
        <v>15950</v>
      </c>
      <c r="B709" t="s">
        <v>14</v>
      </c>
      <c r="C709" t="s">
        <v>17</v>
      </c>
      <c r="D709" s="1">
        <v>137</v>
      </c>
      <c r="E709" s="1">
        <v>2024</v>
      </c>
      <c r="F709" s="2">
        <v>45303</v>
      </c>
      <c r="G709" s="2">
        <v>45306</v>
      </c>
      <c r="H709" s="2">
        <v>45306</v>
      </c>
      <c r="I709" s="2">
        <f>WORKDAY.INTL(F709,IF(OR(C709="MELHORIA PEQUENA",C709="MELHORIA MÉDIA"),3,1),1,ListaFeriados)</f>
        <v>45306</v>
      </c>
      <c r="J709" s="2">
        <f>WORKDAY.INTL(I709,IF(C709="MELHORIA MÉDIA",20,IF(OR(C709="MELHORIA PEQUENA",C709="BUG NÃO IMPEDITIVO"),5,2)),1,$X:$X)</f>
        <v>45308</v>
      </c>
      <c r="K709" t="str">
        <f>IF(H709&gt;J709,"ATRASO","NO PRAZO")</f>
        <v>NO PRAZO</v>
      </c>
    </row>
    <row r="710" spans="1:11">
      <c r="A710" s="1">
        <v>16017</v>
      </c>
      <c r="B710" t="s">
        <v>13</v>
      </c>
      <c r="C710" t="s">
        <v>17</v>
      </c>
      <c r="D710" s="1">
        <v>204</v>
      </c>
      <c r="E710" s="1">
        <v>2024</v>
      </c>
      <c r="F710" s="2">
        <v>45308</v>
      </c>
      <c r="G710" s="2">
        <v>45309</v>
      </c>
      <c r="H710" s="2">
        <v>45309</v>
      </c>
      <c r="I710" s="2">
        <f>WORKDAY.INTL(F710,IF(OR(C710="MELHORIA PEQUENA",C710="MELHORIA MÉDIA"),3,1),1,ListaFeriados)</f>
        <v>45309</v>
      </c>
      <c r="J710" s="2">
        <f>WORKDAY.INTL(I710,IF(C710="MELHORIA MÉDIA",20,IF(OR(C710="MELHORIA PEQUENA",C710="BUG NÃO IMPEDITIVO"),5,2)),1,$X:$X)</f>
        <v>45313</v>
      </c>
      <c r="K710" t="str">
        <f>IF(H710&gt;J710,"ATRASO","NO PRAZO")</f>
        <v>NO PRAZO</v>
      </c>
    </row>
    <row r="711" spans="1:11">
      <c r="A711" s="1">
        <v>16009</v>
      </c>
      <c r="B711" t="s">
        <v>9</v>
      </c>
      <c r="C711" t="s">
        <v>17</v>
      </c>
      <c r="D711" s="1">
        <v>196</v>
      </c>
      <c r="E711" s="1">
        <v>2024</v>
      </c>
      <c r="F711" s="2">
        <v>45308</v>
      </c>
      <c r="G711" s="2">
        <v>45309</v>
      </c>
      <c r="H711" s="2">
        <v>45309</v>
      </c>
      <c r="I711" s="2">
        <f>WORKDAY.INTL(F711,IF(OR(C711="MELHORIA PEQUENA",C711="MELHORIA MÉDIA"),3,1),1,ListaFeriados)</f>
        <v>45309</v>
      </c>
      <c r="J711" s="2">
        <f>WORKDAY.INTL(I711,IF(C711="MELHORIA MÉDIA",20,IF(OR(C711="MELHORIA PEQUENA",C711="BUG NÃO IMPEDITIVO"),5,2)),1,$X:$X)</f>
        <v>45313</v>
      </c>
      <c r="K711" t="str">
        <f>IF(H711&gt;J711,"ATRASO","NO PRAZO")</f>
        <v>NO PRAZO</v>
      </c>
    </row>
    <row r="712" spans="1:11">
      <c r="A712" s="1">
        <v>15872</v>
      </c>
      <c r="B712" t="s">
        <v>9</v>
      </c>
      <c r="C712" t="s">
        <v>17</v>
      </c>
      <c r="D712" s="1">
        <v>59</v>
      </c>
      <c r="E712" s="1">
        <v>2024</v>
      </c>
      <c r="F712" s="2">
        <v>45296</v>
      </c>
      <c r="G712" s="2">
        <v>45300</v>
      </c>
      <c r="H712" s="2">
        <v>45300</v>
      </c>
      <c r="I712" s="2">
        <f>WORKDAY.INTL(F712,IF(OR(C712="MELHORIA PEQUENA",C712="MELHORIA MÉDIA"),3,1),1,ListaFeriados)</f>
        <v>45299</v>
      </c>
      <c r="J712" s="2">
        <f>WORKDAY.INTL(I712,IF(C712="MELHORIA MÉDIA",20,IF(OR(C712="MELHORIA PEQUENA",C712="BUG NÃO IMPEDITIVO"),5,2)),1,$X:$X)</f>
        <v>45301</v>
      </c>
      <c r="K712" t="str">
        <f>IF(H712&gt;J712,"ATRASO","NO PRAZO")</f>
        <v>NO PRAZO</v>
      </c>
    </row>
    <row r="713" spans="1:11">
      <c r="A713" s="1">
        <v>15947</v>
      </c>
      <c r="B713" t="s">
        <v>13</v>
      </c>
      <c r="C713" t="s">
        <v>17</v>
      </c>
      <c r="D713" s="1">
        <v>134</v>
      </c>
      <c r="E713" s="1">
        <v>2024</v>
      </c>
      <c r="F713" s="2">
        <v>45303</v>
      </c>
      <c r="G713" s="2">
        <v>45306</v>
      </c>
      <c r="H713" s="2">
        <v>45307</v>
      </c>
      <c r="I713" s="2">
        <f>WORKDAY.INTL(F713,IF(OR(C713="MELHORIA PEQUENA",C713="MELHORIA MÉDIA"),3,1),1,ListaFeriados)</f>
        <v>45306</v>
      </c>
      <c r="J713" s="2">
        <f>WORKDAY.INTL(I713,IF(C713="MELHORIA MÉDIA",20,IF(OR(C713="MELHORIA PEQUENA",C713="BUG NÃO IMPEDITIVO"),5,2)),1,$X:$X)</f>
        <v>45308</v>
      </c>
      <c r="K713" t="str">
        <f>IF(H713&gt;J713,"ATRASO","NO PRAZO")</f>
        <v>NO PRAZO</v>
      </c>
    </row>
    <row r="714" spans="1:11">
      <c r="A714" s="1">
        <v>16016</v>
      </c>
      <c r="B714" t="s">
        <v>9</v>
      </c>
      <c r="C714" t="s">
        <v>17</v>
      </c>
      <c r="D714" s="1">
        <v>203</v>
      </c>
      <c r="E714" s="1">
        <v>2024</v>
      </c>
      <c r="F714" s="2">
        <v>45308</v>
      </c>
      <c r="G714" s="2">
        <v>45309</v>
      </c>
      <c r="H714" s="2">
        <v>45309</v>
      </c>
      <c r="I714" s="2">
        <f>WORKDAY.INTL(F714,IF(OR(C714="MELHORIA PEQUENA",C714="MELHORIA MÉDIA"),3,1),1,ListaFeriados)</f>
        <v>45309</v>
      </c>
      <c r="J714" s="2">
        <f>WORKDAY.INTL(I714,IF(C714="MELHORIA MÉDIA",20,IF(OR(C714="MELHORIA PEQUENA",C714="BUG NÃO IMPEDITIVO"),5,2)),1,$X:$X)</f>
        <v>45313</v>
      </c>
      <c r="K714" t="str">
        <f>IF(H714&gt;J714,"ATRASO","NO PRAZO")</f>
        <v>NO PRAZO</v>
      </c>
    </row>
    <row r="715" spans="1:11">
      <c r="A715" s="1">
        <v>16013</v>
      </c>
      <c r="B715" t="s">
        <v>9</v>
      </c>
      <c r="C715" t="s">
        <v>17</v>
      </c>
      <c r="D715" s="1">
        <v>200</v>
      </c>
      <c r="E715" s="1">
        <v>2024</v>
      </c>
      <c r="F715" s="2">
        <v>45308</v>
      </c>
      <c r="G715" s="2">
        <v>45309</v>
      </c>
      <c r="H715" s="2">
        <v>45309</v>
      </c>
      <c r="I715" s="2">
        <f>WORKDAY.INTL(F715,IF(OR(C715="MELHORIA PEQUENA",C715="MELHORIA MÉDIA"),3,1),1,ListaFeriados)</f>
        <v>45309</v>
      </c>
      <c r="J715" s="2">
        <f>WORKDAY.INTL(I715,IF(C715="MELHORIA MÉDIA",20,IF(OR(C715="MELHORIA PEQUENA",C715="BUG NÃO IMPEDITIVO"),5,2)),1,$X:$X)</f>
        <v>45313</v>
      </c>
      <c r="K715" t="str">
        <f>IF(H715&gt;J715,"ATRASO","NO PRAZO")</f>
        <v>NO PRAZO</v>
      </c>
    </row>
    <row r="716" spans="1:11">
      <c r="A716" s="1">
        <v>16012</v>
      </c>
      <c r="B716" t="s">
        <v>9</v>
      </c>
      <c r="C716" t="s">
        <v>17</v>
      </c>
      <c r="D716" s="1">
        <v>199</v>
      </c>
      <c r="E716" s="1">
        <v>2024</v>
      </c>
      <c r="F716" s="2">
        <v>45308</v>
      </c>
      <c r="G716" s="2">
        <v>45309</v>
      </c>
      <c r="H716" s="2">
        <v>45309</v>
      </c>
      <c r="I716" s="2">
        <f>WORKDAY.INTL(F716,IF(OR(C716="MELHORIA PEQUENA",C716="MELHORIA MÉDIA"),3,1),1,ListaFeriados)</f>
        <v>45309</v>
      </c>
      <c r="J716" s="2">
        <f>WORKDAY.INTL(I716,IF(C716="MELHORIA MÉDIA",20,IF(OR(C716="MELHORIA PEQUENA",C716="BUG NÃO IMPEDITIVO"),5,2)),1,$X:$X)</f>
        <v>45313</v>
      </c>
      <c r="K716" t="str">
        <f>IF(H716&gt;J716,"ATRASO","NO PRAZO")</f>
        <v>NO PRAZO</v>
      </c>
    </row>
    <row r="717" spans="1:11">
      <c r="A717" s="1">
        <v>16007</v>
      </c>
      <c r="B717" t="s">
        <v>9</v>
      </c>
      <c r="C717" t="s">
        <v>17</v>
      </c>
      <c r="D717" s="1">
        <v>194</v>
      </c>
      <c r="E717" s="1">
        <v>2024</v>
      </c>
      <c r="F717" s="2">
        <v>45308</v>
      </c>
      <c r="G717" s="2">
        <v>45309</v>
      </c>
      <c r="H717" s="2">
        <v>45309</v>
      </c>
      <c r="I717" s="2">
        <f>WORKDAY.INTL(F717,IF(OR(C717="MELHORIA PEQUENA",C717="MELHORIA MÉDIA"),3,1),1,ListaFeriados)</f>
        <v>45309</v>
      </c>
      <c r="J717" s="2">
        <f>WORKDAY.INTL(I717,IF(C717="MELHORIA MÉDIA",20,IF(OR(C717="MELHORIA PEQUENA",C717="BUG NÃO IMPEDITIVO"),5,2)),1,$X:$X)</f>
        <v>45313</v>
      </c>
      <c r="K717" t="str">
        <f>IF(H717&gt;J717,"ATRASO","NO PRAZO")</f>
        <v>NO PRAZO</v>
      </c>
    </row>
    <row r="718" spans="1:11">
      <c r="A718" s="1">
        <v>16005</v>
      </c>
      <c r="B718" t="s">
        <v>9</v>
      </c>
      <c r="C718" t="s">
        <v>17</v>
      </c>
      <c r="D718" s="1">
        <v>192</v>
      </c>
      <c r="E718" s="1">
        <v>2024</v>
      </c>
      <c r="F718" s="2">
        <v>45308</v>
      </c>
      <c r="G718" s="2">
        <v>45309</v>
      </c>
      <c r="H718" s="2">
        <v>45309</v>
      </c>
      <c r="I718" s="2">
        <f>WORKDAY.INTL(F718,IF(OR(C718="MELHORIA PEQUENA",C718="MELHORIA MÉDIA"),3,1),1,ListaFeriados)</f>
        <v>45309</v>
      </c>
      <c r="J718" s="2">
        <f>WORKDAY.INTL(I718,IF(C718="MELHORIA MÉDIA",20,IF(OR(C718="MELHORIA PEQUENA",C718="BUG NÃO IMPEDITIVO"),5,2)),1,$X:$X)</f>
        <v>45313</v>
      </c>
      <c r="K718" t="str">
        <f>IF(H718&gt;J718,"ATRASO","NO PRAZO")</f>
        <v>NO PRAZO</v>
      </c>
    </row>
    <row r="719" spans="1:11">
      <c r="A719" s="1">
        <v>16004</v>
      </c>
      <c r="B719" t="s">
        <v>9</v>
      </c>
      <c r="C719" t="s">
        <v>17</v>
      </c>
      <c r="D719" s="1">
        <v>191</v>
      </c>
      <c r="E719" s="1">
        <v>2024</v>
      </c>
      <c r="F719" s="2">
        <v>45308</v>
      </c>
      <c r="G719" s="2">
        <v>45309</v>
      </c>
      <c r="H719" s="2">
        <v>45309</v>
      </c>
      <c r="I719" s="2">
        <f>WORKDAY.INTL(F719,IF(OR(C719="MELHORIA PEQUENA",C719="MELHORIA MÉDIA"),3,1),1,ListaFeriados)</f>
        <v>45309</v>
      </c>
      <c r="J719" s="2">
        <f>WORKDAY.INTL(I719,IF(C719="MELHORIA MÉDIA",20,IF(OR(C719="MELHORIA PEQUENA",C719="BUG NÃO IMPEDITIVO"),5,2)),1,$X:$X)</f>
        <v>45313</v>
      </c>
      <c r="K719" t="str">
        <f>IF(H719&gt;J719,"ATRASO","NO PRAZO")</f>
        <v>NO PRAZO</v>
      </c>
    </row>
    <row r="720" spans="1:11">
      <c r="A720" s="1">
        <v>16983</v>
      </c>
      <c r="B720" t="s">
        <v>14</v>
      </c>
      <c r="C720" t="s">
        <v>17</v>
      </c>
      <c r="D720" s="1">
        <v>1170</v>
      </c>
      <c r="E720" s="1">
        <v>2024</v>
      </c>
      <c r="F720" s="2">
        <v>45384</v>
      </c>
      <c r="G720" s="2">
        <v>45385</v>
      </c>
      <c r="H720" s="2">
        <v>45385</v>
      </c>
      <c r="I720" s="2">
        <f>WORKDAY.INTL(F720,IF(OR(C720="MELHORIA PEQUENA",C720="MELHORIA MÉDIA"),3,1),1,ListaFeriados)</f>
        <v>45385</v>
      </c>
      <c r="J720" s="2">
        <f>WORKDAY.INTL(I720,IF(C720="MELHORIA MÉDIA",20,IF(OR(C720="MELHORIA PEQUENA",C720="BUG NÃO IMPEDITIVO"),5,2)),1,$X:$X)</f>
        <v>45387</v>
      </c>
      <c r="K720" t="str">
        <f>IF(H720&gt;J720,"ATRASO","NO PRAZO")</f>
        <v>NO PRAZO</v>
      </c>
    </row>
    <row r="721" spans="1:11">
      <c r="A721" s="1">
        <v>16956</v>
      </c>
      <c r="B721" t="s">
        <v>14</v>
      </c>
      <c r="C721" t="s">
        <v>17</v>
      </c>
      <c r="D721" s="1">
        <v>1143</v>
      </c>
      <c r="E721" s="1">
        <v>2024</v>
      </c>
      <c r="F721" s="2">
        <v>45383</v>
      </c>
      <c r="G721" s="2">
        <v>45384</v>
      </c>
      <c r="H721" s="2">
        <v>45385</v>
      </c>
      <c r="I721" s="2">
        <f>WORKDAY.INTL(F721,IF(OR(C721="MELHORIA PEQUENA",C721="MELHORIA MÉDIA"),3,1),1,ListaFeriados)</f>
        <v>45384</v>
      </c>
      <c r="J721" s="2">
        <f>WORKDAY.INTL(I721,IF(C721="MELHORIA MÉDIA",20,IF(OR(C721="MELHORIA PEQUENA",C721="BUG NÃO IMPEDITIVO"),5,2)),1,$X:$X)</f>
        <v>45386</v>
      </c>
      <c r="K721" t="str">
        <f>IF(H721&gt;J721,"ATRASO","NO PRAZO")</f>
        <v>NO PRAZO</v>
      </c>
    </row>
    <row r="722" spans="1:11">
      <c r="A722" s="1">
        <v>16002</v>
      </c>
      <c r="B722" t="s">
        <v>8</v>
      </c>
      <c r="C722" t="s">
        <v>17</v>
      </c>
      <c r="D722" s="1">
        <v>189</v>
      </c>
      <c r="E722" s="1">
        <v>2024</v>
      </c>
      <c r="F722" s="2">
        <v>45307</v>
      </c>
      <c r="G722" s="2">
        <v>45309</v>
      </c>
      <c r="H722" s="2">
        <v>45309</v>
      </c>
      <c r="I722" s="2">
        <f>WORKDAY.INTL(F722,IF(OR(C722="MELHORIA PEQUENA",C722="MELHORIA MÉDIA"),3,1),1,ListaFeriados)</f>
        <v>45308</v>
      </c>
      <c r="J722" s="2">
        <f>WORKDAY.INTL(I722,IF(C722="MELHORIA MÉDIA",20,IF(OR(C722="MELHORIA PEQUENA",C722="BUG NÃO IMPEDITIVO"),5,2)),1,$X:$X)</f>
        <v>45310</v>
      </c>
      <c r="K722" t="str">
        <f>IF(H722&gt;J722,"ATRASO","NO PRAZO")</f>
        <v>NO PRAZO</v>
      </c>
    </row>
    <row r="723" spans="1:11">
      <c r="A723" s="1">
        <v>16104</v>
      </c>
      <c r="B723" t="s">
        <v>6</v>
      </c>
      <c r="C723" t="s">
        <v>17</v>
      </c>
      <c r="D723" s="1">
        <v>291</v>
      </c>
      <c r="E723" s="1">
        <v>2024</v>
      </c>
      <c r="F723" s="2">
        <v>45317</v>
      </c>
      <c r="G723" s="2">
        <v>45320</v>
      </c>
      <c r="H723" s="2">
        <v>45321</v>
      </c>
      <c r="I723" s="2">
        <f>WORKDAY.INTL(F723,IF(OR(C723="MELHORIA PEQUENA",C723="MELHORIA MÉDIA"),3,1),1,ListaFeriados)</f>
        <v>45320</v>
      </c>
      <c r="J723" s="2">
        <f>WORKDAY.INTL(I723,IF(C723="MELHORIA MÉDIA",20,IF(OR(C723="MELHORIA PEQUENA",C723="BUG NÃO IMPEDITIVO"),5,2)),1,$X:$X)</f>
        <v>45322</v>
      </c>
      <c r="K723" t="str">
        <f>IF(H723&gt;J723,"ATRASO","NO PRAZO")</f>
        <v>NO PRAZO</v>
      </c>
    </row>
    <row r="724" spans="1:11">
      <c r="A724" s="1">
        <v>16467</v>
      </c>
      <c r="B724" t="s">
        <v>8</v>
      </c>
      <c r="C724" t="s">
        <v>17</v>
      </c>
      <c r="D724" s="1">
        <v>654</v>
      </c>
      <c r="E724" s="1">
        <v>2024</v>
      </c>
      <c r="F724" s="2">
        <v>45348</v>
      </c>
      <c r="G724" s="2">
        <v>45350</v>
      </c>
      <c r="H724" s="2">
        <v>45350</v>
      </c>
      <c r="I724" s="2">
        <f>WORKDAY.INTL(F724,IF(OR(C724="MELHORIA PEQUENA",C724="MELHORIA MÉDIA"),3,1),1,ListaFeriados)</f>
        <v>45349</v>
      </c>
      <c r="J724" s="2">
        <f>WORKDAY.INTL(I724,IF(C724="MELHORIA MÉDIA",20,IF(OR(C724="MELHORIA PEQUENA",C724="BUG NÃO IMPEDITIVO"),5,2)),1,$X:$X)</f>
        <v>45351</v>
      </c>
      <c r="K724" t="str">
        <f>IF(H724&gt;J724,"ATRASO","NO PRAZO")</f>
        <v>NO PRAZO</v>
      </c>
    </row>
    <row r="725" spans="1:11">
      <c r="A725" s="1">
        <v>16954</v>
      </c>
      <c r="B725" t="s">
        <v>14</v>
      </c>
      <c r="C725" t="s">
        <v>17</v>
      </c>
      <c r="D725" s="1">
        <v>1141</v>
      </c>
      <c r="E725" s="1">
        <v>2024</v>
      </c>
      <c r="F725" s="2">
        <v>45383</v>
      </c>
      <c r="G725" s="2">
        <v>45384</v>
      </c>
      <c r="H725" s="2">
        <v>45385</v>
      </c>
      <c r="I725" s="2">
        <f>WORKDAY.INTL(F725,IF(OR(C725="MELHORIA PEQUENA",C725="MELHORIA MÉDIA"),3,1),1,ListaFeriados)</f>
        <v>45384</v>
      </c>
      <c r="J725" s="2">
        <f>WORKDAY.INTL(I725,IF(C725="MELHORIA MÉDIA",20,IF(OR(C725="MELHORIA PEQUENA",C725="BUG NÃO IMPEDITIVO"),5,2)),1,$X:$X)</f>
        <v>45386</v>
      </c>
      <c r="K725" t="str">
        <f>IF(H725&gt;J725,"ATRASO","NO PRAZO")</f>
        <v>NO PRAZO</v>
      </c>
    </row>
    <row r="726" spans="1:11">
      <c r="A726" s="1">
        <v>16756</v>
      </c>
      <c r="B726" t="s">
        <v>9</v>
      </c>
      <c r="C726" t="s">
        <v>17</v>
      </c>
      <c r="D726" s="1">
        <v>943</v>
      </c>
      <c r="E726" s="1">
        <v>2024</v>
      </c>
      <c r="F726" s="2">
        <v>45365</v>
      </c>
      <c r="G726" s="2">
        <v>45369</v>
      </c>
      <c r="H726" s="2">
        <v>45369</v>
      </c>
      <c r="I726" s="2">
        <f>WORKDAY.INTL(F726,IF(OR(C726="MELHORIA PEQUENA",C726="MELHORIA MÉDIA"),3,1),1,ListaFeriados)</f>
        <v>45366</v>
      </c>
      <c r="J726" s="2">
        <f>WORKDAY.INTL(I726,IF(C726="MELHORIA MÉDIA",20,IF(OR(C726="MELHORIA PEQUENA",C726="BUG NÃO IMPEDITIVO"),5,2)),1,$X:$X)</f>
        <v>45370</v>
      </c>
      <c r="K726" t="str">
        <f>IF(H726&gt;J726,"ATRASO","NO PRAZO")</f>
        <v>NO PRAZO</v>
      </c>
    </row>
    <row r="727" spans="1:11">
      <c r="A727" s="1">
        <v>17082</v>
      </c>
      <c r="B727" t="s">
        <v>14</v>
      </c>
      <c r="C727" t="s">
        <v>17</v>
      </c>
      <c r="D727" s="1">
        <v>1269</v>
      </c>
      <c r="E727" s="1">
        <v>2024</v>
      </c>
      <c r="F727" s="2">
        <v>45392</v>
      </c>
      <c r="G727" s="2">
        <v>45393</v>
      </c>
      <c r="H727" s="2">
        <v>45394</v>
      </c>
      <c r="I727" s="2">
        <f>WORKDAY.INTL(F727,IF(OR(C727="MELHORIA PEQUENA",C727="MELHORIA MÉDIA"),3,1),1,ListaFeriados)</f>
        <v>45393</v>
      </c>
      <c r="J727" s="2">
        <f>WORKDAY.INTL(I727,IF(C727="MELHORIA MÉDIA",20,IF(OR(C727="MELHORIA PEQUENA",C727="BUG NÃO IMPEDITIVO"),5,2)),1,$X:$X)</f>
        <v>45397</v>
      </c>
      <c r="K727" t="str">
        <f>IF(H727&gt;J727,"ATRASO","NO PRAZO")</f>
        <v>NO PRAZO</v>
      </c>
    </row>
    <row r="728" spans="1:11">
      <c r="A728" s="1">
        <v>16026</v>
      </c>
      <c r="B728" t="s">
        <v>9</v>
      </c>
      <c r="C728" t="s">
        <v>17</v>
      </c>
      <c r="D728" s="1">
        <v>213</v>
      </c>
      <c r="E728" s="1">
        <v>2024</v>
      </c>
      <c r="F728" s="2">
        <v>45310</v>
      </c>
      <c r="G728" s="2">
        <v>45313</v>
      </c>
      <c r="H728" s="2">
        <v>45313</v>
      </c>
      <c r="I728" s="2">
        <f>WORKDAY.INTL(F728,IF(OR(C728="MELHORIA PEQUENA",C728="MELHORIA MÉDIA"),3,1),1,ListaFeriados)</f>
        <v>45313</v>
      </c>
      <c r="J728" s="2">
        <f>WORKDAY.INTL(I728,IF(C728="MELHORIA MÉDIA",20,IF(OR(C728="MELHORIA PEQUENA",C728="BUG NÃO IMPEDITIVO"),5,2)),1,$X:$X)</f>
        <v>45315</v>
      </c>
      <c r="K728" t="str">
        <f>IF(H728&gt;J728,"ATRASO","NO PRAZO")</f>
        <v>NO PRAZO</v>
      </c>
    </row>
    <row r="729" spans="1:11">
      <c r="A729" s="1">
        <v>17644</v>
      </c>
      <c r="B729" t="s">
        <v>10</v>
      </c>
      <c r="C729" t="s">
        <v>17</v>
      </c>
      <c r="D729" s="1">
        <v>1831</v>
      </c>
      <c r="E729" s="1">
        <v>2024</v>
      </c>
      <c r="F729" s="2">
        <v>45439</v>
      </c>
      <c r="G729" s="2">
        <v>45440</v>
      </c>
      <c r="H729" s="2">
        <v>45533</v>
      </c>
      <c r="I729" s="2">
        <f>WORKDAY.INTL(F729,IF(OR(C729="MELHORIA PEQUENA",C729="MELHORIA MÉDIA"),3,1),1,ListaFeriados)</f>
        <v>45440</v>
      </c>
      <c r="J729" s="2">
        <f>WORKDAY.INTL(I729,IF(C729="MELHORIA MÉDIA",20,IF(OR(C729="MELHORIA PEQUENA",C729="BUG NÃO IMPEDITIVO"),5,2)),1,$X:$X)</f>
        <v>45443</v>
      </c>
      <c r="K729" t="str">
        <f>IF(H729&gt;J729,"ATRASO","NO PRAZO")</f>
        <v>ATRASO</v>
      </c>
    </row>
    <row r="730" spans="1:11">
      <c r="A730" s="1">
        <v>18263</v>
      </c>
      <c r="B730" t="s">
        <v>13</v>
      </c>
      <c r="C730" t="s">
        <v>17</v>
      </c>
      <c r="D730" s="1">
        <v>2450</v>
      </c>
      <c r="E730" s="1">
        <v>2024</v>
      </c>
      <c r="F730" s="2">
        <v>45519</v>
      </c>
      <c r="G730" s="2">
        <v>45520</v>
      </c>
      <c r="H730" s="2">
        <v>45520</v>
      </c>
      <c r="I730" s="2">
        <f>WORKDAY.INTL(F730,IF(OR(C730="MELHORIA PEQUENA",C730="MELHORIA MÉDIA"),3,1),1,ListaFeriados)</f>
        <v>45520</v>
      </c>
      <c r="J730" s="2">
        <f>WORKDAY.INTL(I730,IF(C730="MELHORIA MÉDIA",20,IF(OR(C730="MELHORIA PEQUENA",C730="BUG NÃO IMPEDITIVO"),5,2)),1,$X:$X)</f>
        <v>45524</v>
      </c>
      <c r="K730" t="str">
        <f>IF(H730&gt;J730,"ATRASO","NO PRAZO")</f>
        <v>NO PRAZO</v>
      </c>
    </row>
    <row r="731" spans="1:11">
      <c r="A731" s="1">
        <v>17934</v>
      </c>
      <c r="B731" t="s">
        <v>13</v>
      </c>
      <c r="C731" t="s">
        <v>17</v>
      </c>
      <c r="D731" s="1">
        <v>2121</v>
      </c>
      <c r="E731" s="1">
        <v>2024</v>
      </c>
      <c r="F731" s="2">
        <v>45475</v>
      </c>
      <c r="G731" s="2">
        <v>45475</v>
      </c>
      <c r="H731" s="2">
        <v>45475</v>
      </c>
      <c r="I731" s="2">
        <f>WORKDAY.INTL(F731,IF(OR(C731="MELHORIA PEQUENA",C731="MELHORIA MÉDIA"),3,1),1,ListaFeriados)</f>
        <v>45476</v>
      </c>
      <c r="J731" s="2">
        <f>WORKDAY.INTL(I731,IF(C731="MELHORIA MÉDIA",20,IF(OR(C731="MELHORIA PEQUENA",C731="BUG NÃO IMPEDITIVO"),5,2)),1,$X:$X)</f>
        <v>45478</v>
      </c>
      <c r="K731" t="str">
        <f>IF(H731&gt;J731,"ATRASO","NO PRAZO")</f>
        <v>NO PRAZO</v>
      </c>
    </row>
    <row r="732" spans="1:11">
      <c r="A732" s="1">
        <v>18414</v>
      </c>
      <c r="B732" t="s">
        <v>13</v>
      </c>
      <c r="C732" t="s">
        <v>17</v>
      </c>
      <c r="D732" s="1">
        <v>2601</v>
      </c>
      <c r="E732" s="1">
        <v>2024</v>
      </c>
      <c r="F732" s="2">
        <v>45539</v>
      </c>
      <c r="G732" s="2">
        <v>45540</v>
      </c>
      <c r="H732" s="2">
        <v>45540</v>
      </c>
      <c r="I732" s="2">
        <f>WORKDAY.INTL(F732,IF(OR(C732="MELHORIA PEQUENA",C732="MELHORIA MÉDIA"),3,1),1,ListaFeriados)</f>
        <v>45540</v>
      </c>
      <c r="J732" s="2">
        <f>WORKDAY.INTL(I732,IF(C732="MELHORIA MÉDIA",20,IF(OR(C732="MELHORIA PEQUENA",C732="BUG NÃO IMPEDITIVO"),5,2)),1,$X:$X)</f>
        <v>45544</v>
      </c>
      <c r="K732" t="str">
        <f>IF(H732&gt;J732,"ATRASO","NO PRAZO")</f>
        <v>NO PRAZO</v>
      </c>
    </row>
    <row r="733" spans="1:11">
      <c r="A733" s="1">
        <v>18514</v>
      </c>
      <c r="B733" t="s">
        <v>6</v>
      </c>
      <c r="C733" t="s">
        <v>17</v>
      </c>
      <c r="D733" s="1">
        <v>2701</v>
      </c>
      <c r="E733" s="1">
        <v>2024</v>
      </c>
      <c r="F733" s="2">
        <v>45552</v>
      </c>
      <c r="G733" s="2">
        <v>45552</v>
      </c>
      <c r="H733" s="2">
        <v>45553</v>
      </c>
      <c r="I733" s="2">
        <f>WORKDAY.INTL(F733,IF(OR(C733="MELHORIA PEQUENA",C733="MELHORIA MÉDIA"),3,1),1,ListaFeriados)</f>
        <v>45553</v>
      </c>
      <c r="J733" s="2">
        <f>WORKDAY.INTL(I733,IF(C733="MELHORIA MÉDIA",20,IF(OR(C733="MELHORIA PEQUENA",C733="BUG NÃO IMPEDITIVO"),5,2)),1,$X:$X)</f>
        <v>45555</v>
      </c>
      <c r="K733" t="str">
        <f>IF(H733&gt;J733,"ATRASO","NO PRAZO")</f>
        <v>NO PRAZO</v>
      </c>
    </row>
    <row r="734" spans="1:11">
      <c r="A734" s="1">
        <v>18516</v>
      </c>
      <c r="B734" t="s">
        <v>6</v>
      </c>
      <c r="C734" t="s">
        <v>17</v>
      </c>
      <c r="D734" s="1">
        <v>2703</v>
      </c>
      <c r="E734" s="1">
        <v>2024</v>
      </c>
      <c r="F734" s="2">
        <v>45552</v>
      </c>
      <c r="G734" s="2">
        <v>45552</v>
      </c>
      <c r="H734" s="2">
        <v>45553</v>
      </c>
      <c r="I734" s="2">
        <f>WORKDAY.INTL(F734,IF(OR(C734="MELHORIA PEQUENA",C734="MELHORIA MÉDIA"),3,1),1,ListaFeriados)</f>
        <v>45553</v>
      </c>
      <c r="J734" s="2">
        <f>WORKDAY.INTL(I734,IF(C734="MELHORIA MÉDIA",20,IF(OR(C734="MELHORIA PEQUENA",C734="BUG NÃO IMPEDITIVO"),5,2)),1,$X:$X)</f>
        <v>45555</v>
      </c>
      <c r="K734" t="str">
        <f>IF(H734&gt;J734,"ATRASO","NO PRAZO")</f>
        <v>NO PRAZO</v>
      </c>
    </row>
    <row r="735" spans="1:11">
      <c r="A735" s="1">
        <v>17994</v>
      </c>
      <c r="B735" t="s">
        <v>13</v>
      </c>
      <c r="C735" t="s">
        <v>17</v>
      </c>
      <c r="D735" s="1">
        <v>2181</v>
      </c>
      <c r="E735" s="1">
        <v>2024</v>
      </c>
      <c r="F735" s="2">
        <v>45484</v>
      </c>
      <c r="G735" s="2">
        <v>45488</v>
      </c>
      <c r="H735" s="2">
        <v>45489</v>
      </c>
      <c r="I735" s="2">
        <f>WORKDAY.INTL(F735,IF(OR(C735="MELHORIA PEQUENA",C735="MELHORIA MÉDIA"),3,1),1,ListaFeriados)</f>
        <v>45485</v>
      </c>
      <c r="J735" s="2">
        <f>WORKDAY.INTL(I735,IF(C735="MELHORIA MÉDIA",20,IF(OR(C735="MELHORIA PEQUENA",C735="BUG NÃO IMPEDITIVO"),5,2)),1,$X:$X)</f>
        <v>45489</v>
      </c>
      <c r="K735" t="str">
        <f>IF(H735&gt;J735,"ATRASO","NO PRAZO")</f>
        <v>NO PRAZO</v>
      </c>
    </row>
    <row r="736" spans="1:11">
      <c r="A736" s="1">
        <v>17909</v>
      </c>
      <c r="B736" t="s">
        <v>6</v>
      </c>
      <c r="C736" t="s">
        <v>17</v>
      </c>
      <c r="D736" s="1">
        <v>2096</v>
      </c>
      <c r="E736" s="1">
        <v>2024</v>
      </c>
      <c r="F736" s="2">
        <v>45470</v>
      </c>
      <c r="G736" s="2">
        <v>45474</v>
      </c>
      <c r="H736" s="2">
        <v>45474</v>
      </c>
      <c r="I736" s="2">
        <f>WORKDAY.INTL(F736,IF(OR(C736="MELHORIA PEQUENA",C736="MELHORIA MÉDIA"),3,1),1,ListaFeriados)</f>
        <v>45471</v>
      </c>
      <c r="J736" s="2">
        <f>WORKDAY.INTL(I736,IF(C736="MELHORIA MÉDIA",20,IF(OR(C736="MELHORIA PEQUENA",C736="BUG NÃO IMPEDITIVO"),5,2)),1,$X:$X)</f>
        <v>45475</v>
      </c>
      <c r="K736" t="str">
        <f>IF(H736&gt;J736,"ATRASO","NO PRAZO")</f>
        <v>NO PRAZO</v>
      </c>
    </row>
    <row r="737" spans="1:11">
      <c r="A737" s="1">
        <v>18606</v>
      </c>
      <c r="B737" t="s">
        <v>13</v>
      </c>
      <c r="C737" t="s">
        <v>17</v>
      </c>
      <c r="D737" s="1">
        <v>2793</v>
      </c>
      <c r="E737" s="1">
        <v>2024</v>
      </c>
      <c r="F737" s="2">
        <v>45566</v>
      </c>
      <c r="G737" s="2">
        <v>45567</v>
      </c>
      <c r="H737" s="2">
        <v>45568</v>
      </c>
      <c r="I737" s="2">
        <f>WORKDAY.INTL(F737,IF(OR(C737="MELHORIA PEQUENA",C737="MELHORIA MÉDIA"),3,1),1,ListaFeriados)</f>
        <v>45567</v>
      </c>
      <c r="J737" s="2">
        <f>WORKDAY.INTL(I737,IF(C737="MELHORIA MÉDIA",20,IF(OR(C737="MELHORIA PEQUENA",C737="BUG NÃO IMPEDITIVO"),5,2)),1,$X:$X)</f>
        <v>45569</v>
      </c>
      <c r="K737" t="str">
        <f>IF(H737&gt;J737,"ATRASO","NO PRAZO")</f>
        <v>NO PRAZO</v>
      </c>
    </row>
    <row r="738" spans="1:11">
      <c r="A738" s="1">
        <v>18104</v>
      </c>
      <c r="B738" t="s">
        <v>9</v>
      </c>
      <c r="C738" t="s">
        <v>17</v>
      </c>
      <c r="D738" s="1">
        <v>2291</v>
      </c>
      <c r="E738" s="1">
        <v>2024</v>
      </c>
      <c r="F738" s="2">
        <v>45502</v>
      </c>
      <c r="G738" s="2">
        <v>45503</v>
      </c>
      <c r="H738" s="2">
        <v>45504</v>
      </c>
      <c r="I738" s="2">
        <f>WORKDAY.INTL(F738,IF(OR(C738="MELHORIA PEQUENA",C738="MELHORIA MÉDIA"),3,1),1,ListaFeriados)</f>
        <v>45503</v>
      </c>
      <c r="J738" s="2">
        <f>WORKDAY.INTL(I738,IF(C738="MELHORIA MÉDIA",20,IF(OR(C738="MELHORIA PEQUENA",C738="BUG NÃO IMPEDITIVO"),5,2)),1,$X:$X)</f>
        <v>45505</v>
      </c>
      <c r="K738" t="str">
        <f>IF(H738&gt;J738,"ATRASO","NO PRAZO")</f>
        <v>NO PRAZO</v>
      </c>
    </row>
    <row r="739" spans="1:11">
      <c r="A739" s="1">
        <v>17894</v>
      </c>
      <c r="B739" t="s">
        <v>6</v>
      </c>
      <c r="C739" t="s">
        <v>17</v>
      </c>
      <c r="D739" s="1">
        <v>2081</v>
      </c>
      <c r="E739" s="1">
        <v>2024</v>
      </c>
      <c r="F739" s="2">
        <v>45469</v>
      </c>
      <c r="G739" s="2">
        <v>45474</v>
      </c>
      <c r="H739" s="2">
        <v>45474</v>
      </c>
      <c r="I739" s="2">
        <f>WORKDAY.INTL(F739,IF(OR(C739="MELHORIA PEQUENA",C739="MELHORIA MÉDIA"),3,1),1,ListaFeriados)</f>
        <v>45470</v>
      </c>
      <c r="J739" s="2">
        <f>WORKDAY.INTL(I739,IF(C739="MELHORIA MÉDIA",20,IF(OR(C739="MELHORIA PEQUENA",C739="BUG NÃO IMPEDITIVO"),5,2)),1,$X:$X)</f>
        <v>45474</v>
      </c>
      <c r="K739" t="str">
        <f>IF(H739&gt;J739,"ATRASO","NO PRAZO")</f>
        <v>NO PRAZO</v>
      </c>
    </row>
    <row r="740" spans="1:11">
      <c r="A740" s="1">
        <v>18290</v>
      </c>
      <c r="B740" t="s">
        <v>10</v>
      </c>
      <c r="C740" t="s">
        <v>17</v>
      </c>
      <c r="D740" s="1">
        <v>2477</v>
      </c>
      <c r="E740" s="1">
        <v>2024</v>
      </c>
      <c r="F740" s="2">
        <v>45523</v>
      </c>
      <c r="G740" s="2">
        <v>45523</v>
      </c>
      <c r="H740" s="2">
        <v>45527</v>
      </c>
      <c r="I740" s="2">
        <f>WORKDAY.INTL(F740,IF(OR(C740="MELHORIA PEQUENA",C740="MELHORIA MÉDIA"),3,1),1,ListaFeriados)</f>
        <v>45524</v>
      </c>
      <c r="J740" s="2">
        <f>WORKDAY.INTL(I740,IF(C740="MELHORIA MÉDIA",20,IF(OR(C740="MELHORIA PEQUENA",C740="BUG NÃO IMPEDITIVO"),5,2)),1,$X:$X)</f>
        <v>45526</v>
      </c>
      <c r="K740" t="str">
        <f>IF(H740&gt;J740,"ATRASO","NO PRAZO")</f>
        <v>ATRASO</v>
      </c>
    </row>
    <row r="741" spans="1:11">
      <c r="A741" s="1">
        <v>17968</v>
      </c>
      <c r="B741" t="s">
        <v>6</v>
      </c>
      <c r="C741" t="s">
        <v>17</v>
      </c>
      <c r="D741" s="1">
        <v>2155</v>
      </c>
      <c r="E741" s="1">
        <v>2024</v>
      </c>
      <c r="F741" s="2">
        <v>45482</v>
      </c>
      <c r="G741" s="2">
        <v>45482</v>
      </c>
      <c r="H741" s="2">
        <v>45492</v>
      </c>
      <c r="I741" s="2">
        <f>WORKDAY.INTL(F741,IF(OR(C741="MELHORIA PEQUENA",C741="MELHORIA MÉDIA"),3,1),1,ListaFeriados)</f>
        <v>45483</v>
      </c>
      <c r="J741" s="2">
        <f>WORKDAY.INTL(I741,IF(C741="MELHORIA MÉDIA",20,IF(OR(C741="MELHORIA PEQUENA",C741="BUG NÃO IMPEDITIVO"),5,2)),1,$X:$X)</f>
        <v>45485</v>
      </c>
      <c r="K741" t="str">
        <f>IF(H741&gt;J741,"ATRASO","NO PRAZO")</f>
        <v>ATRASO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Exportar Planilha</vt:lpstr>
      <vt:lpstr>ListaFeriados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Gilberto da Silva Cunha</cp:lastModifiedBy>
  <dcterms:created xsi:type="dcterms:W3CDTF">2026-05-14T11:29:49Z</dcterms:created>
  <dcterms:modified xsi:type="dcterms:W3CDTF">2026-05-14T21:43:02Z</dcterms:modified>
</cp:coreProperties>
</file>